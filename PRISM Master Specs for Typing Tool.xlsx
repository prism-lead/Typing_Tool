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e2777c86b94f1aa8/Desktop/"/>
    </mc:Choice>
  </mc:AlternateContent>
  <xr:revisionPtr revIDLastSave="0" documentId="8_{0BFEE25D-140D-4C28-8111-1203374E05B9}" xr6:coauthVersionLast="47" xr6:coauthVersionMax="47" xr10:uidLastSave="{00000000-0000-0000-0000-000000000000}"/>
  <bookViews>
    <workbookView xWindow="1530" yWindow="315" windowWidth="21435" windowHeight="20880" activeTab="1" xr2:uid="{00000000-000D-0000-FFFF-FFFF00000000}"/>
  </bookViews>
  <sheets>
    <sheet name="Variable Map" sheetId="1" r:id="rId1"/>
    <sheet name="Master Question Map" sheetId="4" r:id="rId2"/>
    <sheet name="Reduced Typing Tool" sheetId="5" r:id="rId3"/>
    <sheet name="Current XML" sheetId="6" r:id="rId4"/>
    <sheet name="Design Specs" sheetId="2" r:id="rId5"/>
    <sheet name="HTML Render Tracker" sheetId="8" r:id="rId6"/>
    <sheet name="Routing &amp; Terminati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2" i="5" l="1"/>
  <c r="U61" i="5"/>
  <c r="T30" i="5"/>
  <c r="X30" i="5" s="1"/>
  <c r="T75" i="5" s="1"/>
  <c r="T29" i="5"/>
  <c r="X29" i="5" s="1"/>
  <c r="T74" i="5" s="1"/>
  <c r="T28" i="5"/>
  <c r="X28" i="5" s="1"/>
  <c r="T73" i="5" s="1"/>
  <c r="T27" i="5"/>
  <c r="X27" i="5" s="1"/>
  <c r="T72" i="5" s="1"/>
  <c r="T26" i="5"/>
  <c r="X26" i="5" s="1"/>
  <c r="T71" i="5" s="1"/>
  <c r="T25" i="5"/>
  <c r="X25" i="5" s="1"/>
  <c r="T70" i="5" s="1"/>
  <c r="T24" i="5"/>
  <c r="X24" i="5" s="1"/>
  <c r="T69" i="5" s="1"/>
  <c r="T23" i="5"/>
  <c r="X23" i="5" s="1"/>
  <c r="T68" i="5" s="1"/>
  <c r="T22" i="5"/>
  <c r="X22" i="5" s="1"/>
  <c r="T67" i="5" s="1"/>
  <c r="T21" i="5"/>
  <c r="X21" i="5" s="1"/>
  <c r="T66" i="5" s="1"/>
  <c r="T15" i="5"/>
  <c r="X15" i="5" s="1"/>
  <c r="T54" i="5" s="1"/>
  <c r="T14" i="5"/>
  <c r="X14" i="5" s="1"/>
  <c r="T53" i="5" s="1"/>
  <c r="T13" i="5"/>
  <c r="X13" i="5" s="1"/>
  <c r="T52" i="5" s="1"/>
  <c r="T12" i="5"/>
  <c r="X12" i="5" s="1"/>
  <c r="T51" i="5" s="1"/>
  <c r="T11" i="5"/>
  <c r="X11" i="5" s="1"/>
  <c r="T50" i="5" s="1"/>
  <c r="T10" i="5"/>
  <c r="X10" i="5" s="1"/>
  <c r="T49" i="5" s="1"/>
  <c r="T9" i="5"/>
  <c r="X9" i="5" s="1"/>
  <c r="T48" i="5" s="1"/>
  <c r="Z48" i="5" s="1"/>
  <c r="T8" i="5"/>
  <c r="X8" i="5" s="1"/>
  <c r="T47" i="5" s="1"/>
  <c r="X3" i="5"/>
  <c r="T38" i="5" s="1"/>
  <c r="X38" i="5" s="1"/>
  <c r="T56" i="5" s="1"/>
  <c r="X2" i="5"/>
  <c r="T36" i="5" s="1"/>
  <c r="X36" i="5" s="1"/>
  <c r="T55" i="5" s="1"/>
  <c r="L51" i="4"/>
  <c r="L42" i="4"/>
  <c r="P26" i="1"/>
  <c r="AA58" i="5"/>
  <c r="S70" i="5"/>
  <c r="S53" i="5"/>
  <c r="S69" i="5"/>
  <c r="S54" i="5"/>
  <c r="S73" i="5"/>
  <c r="S66" i="5"/>
  <c r="S67" i="5"/>
  <c r="AA47" i="5"/>
  <c r="S68" i="5"/>
  <c r="S51" i="5"/>
  <c r="AA57" i="5"/>
  <c r="S50" i="5"/>
  <c r="S56" i="5"/>
  <c r="S48" i="5"/>
  <c r="S52" i="5"/>
  <c r="S55" i="5"/>
  <c r="S36" i="5"/>
  <c r="S75" i="5"/>
  <c r="S71" i="5"/>
  <c r="S38" i="5"/>
  <c r="S72" i="5"/>
  <c r="S49" i="5"/>
  <c r="S47" i="5"/>
  <c r="S74" i="5"/>
  <c r="AD66" i="5" l="1"/>
  <c r="Y66" i="5"/>
  <c r="AD72" i="5"/>
  <c r="Y72" i="5"/>
  <c r="Y48" i="5"/>
  <c r="AD67" i="5"/>
  <c r="V67" i="5"/>
  <c r="AC67" i="5"/>
  <c r="AB67" i="5"/>
  <c r="AA67" i="5"/>
  <c r="X67" i="5"/>
  <c r="W67" i="5"/>
  <c r="Z67" i="5"/>
  <c r="Y67" i="5"/>
  <c r="U67" i="5"/>
  <c r="AB68" i="5"/>
  <c r="V68" i="5"/>
  <c r="AA68" i="5"/>
  <c r="Z68" i="5"/>
  <c r="Y68" i="5"/>
  <c r="X68" i="5"/>
  <c r="W68" i="5"/>
  <c r="AD68" i="5"/>
  <c r="AC68" i="5"/>
  <c r="U68" i="5"/>
  <c r="X55" i="5"/>
  <c r="W55" i="5"/>
  <c r="V55" i="5"/>
  <c r="U55" i="5"/>
  <c r="Z55" i="5"/>
  <c r="Y55" i="5"/>
  <c r="Z56" i="5"/>
  <c r="Y56" i="5"/>
  <c r="X56" i="5"/>
  <c r="W56" i="5"/>
  <c r="V56" i="5"/>
  <c r="U56" i="5"/>
  <c r="X49" i="5"/>
  <c r="Z49" i="5"/>
  <c r="W49" i="5"/>
  <c r="V49" i="5"/>
  <c r="U49" i="5"/>
  <c r="Y49" i="5"/>
  <c r="AD69" i="5"/>
  <c r="AC69" i="5"/>
  <c r="Z69" i="5"/>
  <c r="AB69" i="5"/>
  <c r="AA69" i="5"/>
  <c r="Y69" i="5"/>
  <c r="X69" i="5"/>
  <c r="W69" i="5"/>
  <c r="V69" i="5"/>
  <c r="U69" i="5"/>
  <c r="Y47" i="5"/>
  <c r="X47" i="5"/>
  <c r="W47" i="5"/>
  <c r="V47" i="5"/>
  <c r="U47" i="5"/>
  <c r="Z47" i="5"/>
  <c r="Y50" i="5"/>
  <c r="Z50" i="5"/>
  <c r="X50" i="5"/>
  <c r="W50" i="5"/>
  <c r="V50" i="5"/>
  <c r="U50" i="5"/>
  <c r="X51" i="5"/>
  <c r="W51" i="5"/>
  <c r="V51" i="5"/>
  <c r="U51" i="5"/>
  <c r="Z51" i="5"/>
  <c r="Y51" i="5"/>
  <c r="X70" i="5"/>
  <c r="W70" i="5"/>
  <c r="V70" i="5"/>
  <c r="U70" i="5"/>
  <c r="AA70" i="5"/>
  <c r="Z70" i="5"/>
  <c r="AB70" i="5"/>
  <c r="AD70" i="5"/>
  <c r="AC70" i="5"/>
  <c r="Y70" i="5"/>
  <c r="Z52" i="5"/>
  <c r="X52" i="5"/>
  <c r="W52" i="5"/>
  <c r="V52" i="5"/>
  <c r="U52" i="5"/>
  <c r="Y52" i="5"/>
  <c r="AB71" i="5"/>
  <c r="V71" i="5"/>
  <c r="AA71" i="5"/>
  <c r="Z71" i="5"/>
  <c r="Y71" i="5"/>
  <c r="X71" i="5"/>
  <c r="W71" i="5"/>
  <c r="AD71" i="5"/>
  <c r="U71" i="5"/>
  <c r="AC71" i="5"/>
  <c r="X53" i="5"/>
  <c r="W53" i="5"/>
  <c r="V53" i="5"/>
  <c r="Z53" i="5"/>
  <c r="U53" i="5"/>
  <c r="Y53" i="5"/>
  <c r="AB75" i="5"/>
  <c r="AA75" i="5"/>
  <c r="Z75" i="5"/>
  <c r="Y75" i="5"/>
  <c r="X75" i="5"/>
  <c r="W75" i="5"/>
  <c r="V75" i="5"/>
  <c r="U75" i="5"/>
  <c r="AD75" i="5"/>
  <c r="AC75" i="5"/>
  <c r="X54" i="5"/>
  <c r="W54" i="5"/>
  <c r="V54" i="5"/>
  <c r="U54" i="5"/>
  <c r="Z54" i="5"/>
  <c r="Y54" i="5"/>
  <c r="AD73" i="5"/>
  <c r="AC73" i="5"/>
  <c r="W73" i="5"/>
  <c r="V73" i="5"/>
  <c r="AB73" i="5"/>
  <c r="AA73" i="5"/>
  <c r="X73" i="5"/>
  <c r="Z73" i="5"/>
  <c r="Y73" i="5"/>
  <c r="U73" i="5"/>
  <c r="X74" i="5"/>
  <c r="W74" i="5"/>
  <c r="V74" i="5"/>
  <c r="U74" i="5"/>
  <c r="AD74" i="5"/>
  <c r="AB74" i="5"/>
  <c r="AA74" i="5"/>
  <c r="Z74" i="5"/>
  <c r="AC74" i="5"/>
  <c r="Y74" i="5"/>
  <c r="Z72" i="5"/>
  <c r="U48" i="5"/>
  <c r="U66" i="5"/>
  <c r="U72" i="5"/>
  <c r="V48" i="5"/>
  <c r="V66" i="5"/>
  <c r="V72" i="5"/>
  <c r="W48" i="5"/>
  <c r="W66" i="5"/>
  <c r="W72" i="5"/>
  <c r="X48" i="5"/>
  <c r="X66" i="5"/>
  <c r="X72" i="5"/>
  <c r="Z66" i="5"/>
  <c r="AA66" i="5"/>
  <c r="AA72" i="5"/>
  <c r="AB66" i="5"/>
  <c r="AB72" i="5"/>
  <c r="AC66" i="5"/>
  <c r="AC72" i="5"/>
  <c r="V76" i="5" l="1"/>
  <c r="V79" i="5" s="1"/>
  <c r="V80" i="5" s="1"/>
  <c r="Y76" i="5"/>
  <c r="Y79" i="5" s="1"/>
  <c r="Y80" i="5" s="1"/>
  <c r="AD76" i="5"/>
  <c r="AD79" i="5" s="1"/>
  <c r="AD80" i="5" s="1"/>
  <c r="U57" i="5"/>
  <c r="Z76" i="5"/>
  <c r="Z79" i="5" s="1"/>
  <c r="Z80" i="5" s="1"/>
  <c r="X76" i="5"/>
  <c r="X79" i="5" s="1"/>
  <c r="X80" i="5" s="1"/>
  <c r="Z57" i="5"/>
  <c r="Z58" i="5" s="1"/>
  <c r="Z59" i="5" s="1"/>
  <c r="V57" i="5"/>
  <c r="V58" i="5" s="1"/>
  <c r="V59" i="5" s="1"/>
  <c r="W57" i="5"/>
  <c r="W58" i="5" s="1"/>
  <c r="W59" i="5" s="1"/>
  <c r="W76" i="5"/>
  <c r="W79" i="5" s="1"/>
  <c r="W80" i="5" s="1"/>
  <c r="X57" i="5"/>
  <c r="X58" i="5" s="1"/>
  <c r="X59" i="5" s="1"/>
  <c r="Y57" i="5"/>
  <c r="Y58" i="5" s="1"/>
  <c r="Y59" i="5" s="1"/>
  <c r="AC76" i="5"/>
  <c r="AC79" i="5" s="1"/>
  <c r="AC80" i="5" s="1"/>
  <c r="U58" i="5"/>
  <c r="U59" i="5" s="1"/>
  <c r="T62" i="5"/>
  <c r="AB76" i="5"/>
  <c r="AB79" i="5" s="1"/>
  <c r="AB80" i="5" s="1"/>
  <c r="U76" i="5"/>
  <c r="U79" i="5" s="1"/>
  <c r="AA76" i="5"/>
  <c r="AA79" i="5" s="1"/>
  <c r="AA80" i="5" s="1"/>
  <c r="T61" i="5" l="1"/>
  <c r="U80" i="5"/>
  <c r="AE79" i="5"/>
  <c r="U83" i="5" l="1"/>
  <c r="T83" i="5"/>
  <c r="U82" i="5"/>
  <c r="T82" i="5"/>
  <c r="X77" i="5" l="1"/>
  <c r="X78" i="5" s="1"/>
  <c r="T84" i="5"/>
  <c r="W77" i="5"/>
  <c r="W78" i="5" s="1"/>
  <c r="V77" i="5"/>
  <c r="V78" i="5" s="1"/>
  <c r="U77" i="5"/>
  <c r="U78" i="5" s="1"/>
  <c r="AD77" i="5"/>
  <c r="AD78" i="5" s="1"/>
  <c r="AC77" i="5"/>
  <c r="AC78" i="5" s="1"/>
  <c r="AB77" i="5"/>
  <c r="AB78" i="5" s="1"/>
  <c r="AA77" i="5"/>
  <c r="AA78" i="5" s="1"/>
  <c r="Y77" i="5"/>
  <c r="Y78" i="5" s="1"/>
  <c r="Z77" i="5"/>
  <c r="Z78" i="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<sst xmlns="http://schemas.openxmlformats.org/spreadsheetml/2006/main" count="12896" uniqueCount="6526">
  <si>
    <t>#</t>
  </si>
  <si>
    <t>Canonical Variable</t>
  </si>
  <si>
    <t>Decipher Label Pattern</t>
  </si>
  <si>
    <t>Layer</t>
  </si>
  <si>
    <t>Type</t>
  </si>
  <si>
    <t>Scale/Range</t>
  </si>
  <si>
    <t>Fixed/
Config</t>
  </si>
  <si>
    <t>Config Key
(prism_study_config.json)</t>
  </si>
  <si>
    <t>TT</t>
  </si>
  <si>
    <t>ROI</t>
  </si>
  <si>
    <t>DQMA</t>
  </si>
  <si>
    <t>Rpt</t>
  </si>
  <si>
    <t>ROI Role</t>
  </si>
  <si>
    <t>Req?</t>
  </si>
  <si>
    <t>Source / Formula</t>
  </si>
  <si>
    <t>Validation / Constraints</t>
  </si>
  <si>
    <t>MQM
Row</t>
  </si>
  <si>
    <t>LAYER 1: FIXED SURVEY INPUTS — Collected identically in every study. No analyst configuration.</t>
  </si>
  <si>
    <t>qvote</t>
  </si>
  <si>
    <t>Survey</t>
  </si>
  <si>
    <t>Cat</t>
  </si>
  <si>
    <t>r1-r3</t>
  </si>
  <si>
    <t>FIXED</t>
  </si>
  <si>
    <t>—</t>
  </si>
  <si>
    <t>✓</t>
  </si>
  <si>
    <t>Y</t>
  </si>
  <si>
    <t>Direct: "Are you registered to vote?"</t>
  </si>
  <si>
    <t>r3 → terminate</t>
  </si>
  <si>
    <t>qzip</t>
  </si>
  <si>
    <t>Text</t>
  </si>
  <si>
    <t>5-digit</t>
  </si>
  <si>
    <t>Direct: "Enter your ZIP code"</t>
  </si>
  <si>
    <t>Lookup → state, division, region, congress_dist</t>
  </si>
  <si>
    <t>qage</t>
  </si>
  <si>
    <t>Num</t>
  </si>
  <si>
    <t>18-99</t>
  </si>
  <si>
    <t>Direct: "What is your age?"</t>
  </si>
  <si>
    <t>&lt;18 → terminate</t>
  </si>
  <si>
    <t>qgender</t>
  </si>
  <si>
    <t>Direct: Male/Female/Other</t>
  </si>
  <si>
    <t>Study-specific routing (e.g., PREG)</t>
  </si>
  <si>
    <t>q2024vote</t>
  </si>
  <si>
    <t>r1-r5</t>
  </si>
  <si>
    <t>Direct: "Who did you vote for?"</t>
  </si>
  <si>
    <t>r1→GOP model, r2→DEM model, r3-r5→qparty chain</t>
  </si>
  <si>
    <t>qparty1</t>
  </si>
  <si>
    <t>Direct: "Do you consider yourself R/D/I?"</t>
  </si>
  <si>
    <t>Fallback if q2024vote≠r1,r2</t>
  </si>
  <si>
    <t>qparty2</t>
  </si>
  <si>
    <t>r1-r2</t>
  </si>
  <si>
    <t>Direct: "Strong or not-so-strong?"</t>
  </si>
  <si>
    <t>Strength measure only</t>
  </si>
  <si>
    <t>qparty3</t>
  </si>
  <si>
    <t>Cond</t>
  </si>
  <si>
    <t>Direct: "Lean R or D?"</t>
  </si>
  <si>
    <t>Final routing fallback. r3 (no lean) → GOP default</t>
  </si>
  <si>
    <t>vector_justice</t>
  </si>
  <si>
    <t>qvector4_r1</t>
  </si>
  <si>
    <t>1-7</t>
  </si>
  <si>
    <t>7-pt agree/disagree. Equity funding item.</t>
  </si>
  <si>
    <t>Z-standardized: (raw−5.009)/1.284</t>
  </si>
  <si>
    <t>vector_industry</t>
  </si>
  <si>
    <t>qvector4_r2</t>
  </si>
  <si>
    <t>7-pt agree/disagree. Corporate influence item.</t>
  </si>
  <si>
    <t>Z-standardized: (raw−5.631)/1.021</t>
  </si>
  <si>
    <t>vector_reform</t>
  </si>
  <si>
    <t>VECTOR_REFORM</t>
  </si>
  <si>
    <t>Recode</t>
  </si>
  <si>
    <t>MEAN(reform1, reform2, reform3)</t>
  </si>
  <si>
    <t>Composite of qvector2 r1,r2,r3</t>
  </si>
  <si>
    <t>32-34</t>
  </si>
  <si>
    <t>vector_freedom</t>
  </si>
  <si>
    <t>qvector2_r6</t>
  </si>
  <si>
    <t>7-pt agree/disagree. Liberty/mandate item.</t>
  </si>
  <si>
    <t>Z-standardized per Typing Tool norms</t>
  </si>
  <si>
    <t>vector_leadership</t>
  </si>
  <si>
    <t>qvector3_r1</t>
  </si>
  <si>
    <t>7-pt semantic diff. Global leader ↔ America first.</t>
  </si>
  <si>
    <t>vector_markets</t>
  </si>
  <si>
    <t>qvector3_r2</t>
  </si>
  <si>
    <t>7-pt semantic diff. HC right ↔ free market.</t>
  </si>
  <si>
    <t>maxdiff_dem</t>
  </si>
  <si>
    <t>MaxDiff</t>
  </si>
  <si>
    <t>8 items</t>
  </si>
  <si>
    <t>DEM BIBD: 8 tasks × 4 items. HB → utilities.</t>
  </si>
  <si>
    <t>Only if party model = DEM</t>
  </si>
  <si>
    <t>maxdiff_gop</t>
  </si>
  <si>
    <t>12 items</t>
  </si>
  <si>
    <t>GOP BIBD: 10 tasks × 5 items. HB → utilities.</t>
  </si>
  <si>
    <t>Only if party model = GOP</t>
  </si>
  <si>
    <t>qinf360</t>
  </si>
  <si>
    <t>Multi</t>
  </si>
  <si>
    <t>BCS gate</t>
  </si>
  <si>
    <t>Multi-select: "How have you made your voice heard?"</t>
  </si>
  <si>
    <t>Routes to follow-up grids</t>
  </si>
  <si>
    <t>qinf360_eliteup</t>
  </si>
  <si>
    <t>r1-r4</t>
  </si>
  <si>
    <t>BCS → L2,L3</t>
  </si>
  <si>
    <t>Multi-select: held office, staffer, appointed, testified.</t>
  </si>
  <si>
    <t>r1-r3→L3, r4→L2</t>
  </si>
  <si>
    <t>qinf360_recruitup</t>
  </si>
  <si>
    <t>BCS → L3</t>
  </si>
  <si>
    <t>Multi-select: recruited candidate, recruited staff.</t>
  </si>
  <si>
    <t>r1,r2→L3</t>
  </si>
  <si>
    <t>qinf360_orglat</t>
  </si>
  <si>
    <t>Multi-select: met staff, board, op-ed, event.</t>
  </si>
  <si>
    <t>r1→L2; r2-r4→L3</t>
  </si>
  <si>
    <t>qinf360_medialat</t>
  </si>
  <si>
    <t>Multi-select: spoke publicly, wrote op-ed.</t>
  </si>
  <si>
    <t>qinf360_down</t>
  </si>
  <si>
    <t>Multi-select: volunteered, organized.</t>
  </si>
  <si>
    <t>r1→L2; r2→L3</t>
  </si>
  <si>
    <t>qlowinf</t>
  </si>
  <si>
    <t>BCS → L1</t>
  </si>
  <si>
    <t>Y*</t>
  </si>
  <si>
    <t>Multi-select: petition, meeting, donated.</t>
  </si>
  <si>
    <t>Any checked → L1=1. *GAP: missing ESI/MA/GLP1</t>
  </si>
  <si>
    <t>qtot_followers</t>
  </si>
  <si>
    <t>Ord</t>
  </si>
  <si>
    <t>0-6 cats</t>
  </si>
  <si>
    <t>OverclaimFlag</t>
  </si>
  <si>
    <t>"How many followers?" Ordinal.</t>
  </si>
  <si>
    <t>qsocialinfluence</t>
  </si>
  <si>
    <t>Grid</t>
  </si>
  <si>
    <t>BCS → L0</t>
  </si>
  <si>
    <t>Frequency grid: shared, commented, posted. r4=attention trap.</t>
  </si>
  <si>
    <t>Recode: 1→0,2→0,3→1,5→3,7→6. *GAP: missing ESI/MA/GLP1</t>
  </si>
  <si>
    <t>d2_hispanic</t>
  </si>
  <si>
    <t>d2</t>
  </si>
  <si>
    <t>Binary</t>
  </si>
  <si>
    <t>Direct: Hispanic/Latino background.</t>
  </si>
  <si>
    <t>Feeds RACEETHNIC recode with d3</t>
  </si>
  <si>
    <t>d3_race</t>
  </si>
  <si>
    <t>d3</t>
  </si>
  <si>
    <t>Direct: White/Black/Asian/Other.</t>
  </si>
  <si>
    <t>RACEETHNIC: 1=White NH, 2=Black NH, 3=Asian NH, 4=Hispanic</t>
  </si>
  <si>
    <t>edu</t>
  </si>
  <si>
    <t>1-8</t>
  </si>
  <si>
    <t>Direct: Highest education completed.</t>
  </si>
  <si>
    <t>EDUCAT recode: 1-4</t>
  </si>
  <si>
    <t>income</t>
  </si>
  <si>
    <t>1-10</t>
  </si>
  <si>
    <t>Direct: Total family income.</t>
  </si>
  <si>
    <t>HHI recode: 1-5</t>
  </si>
  <si>
    <t>optin</t>
  </si>
  <si>
    <t>Validation</t>
  </si>
  <si>
    <t>Direct: Willing to be contacted for follow-up?</t>
  </si>
  <si>
    <t>r1|r2 → validates ARS. Feeds ACTPROB DV.</t>
  </si>
  <si>
    <t>LAYER 2: FIXED COMPUTED INTERMEDIATES — Derived from Layer 1. Shared across all studies. Computed once per respondent.</t>
  </si>
  <si>
    <t>XSEG_ASSIGNED</t>
  </si>
  <si>
    <t>Computed</t>
  </si>
  <si>
    <t>Int</t>
  </si>
  <si>
    <t>1-16</t>
  </si>
  <si>
    <t>Segment ID</t>
  </si>
  <si>
    <t>Reduced Typing Tool: nearest-centroid from HB utilities + vectors.</t>
  </si>
  <si>
    <t>Output of typing tool. Input to all downstream.</t>
  </si>
  <si>
    <t>L3</t>
  </si>
  <si>
    <t>L3_FLAG</t>
  </si>
  <si>
    <t>0/1</t>
  </si>
  <si>
    <t>BCS component</t>
  </si>
  <si>
    <t>1 if ANY L3 item checked across all influence grids.</t>
  </si>
  <si>
    <t>Weight in BCS = 0.30</t>
  </si>
  <si>
    <t>L2</t>
  </si>
  <si>
    <t>L2_FLAG</t>
  </si>
  <si>
    <t>1 if ANY L2 item checked across all influence grids.</t>
  </si>
  <si>
    <t>Weight in BCS = 0.45</t>
  </si>
  <si>
    <t>L1</t>
  </si>
  <si>
    <t>L1_FLAG</t>
  </si>
  <si>
    <t>1 if ANY LOWINF item checked. GAP: missing in 4 studies.</t>
  </si>
  <si>
    <t>Weight in BCS = 0.15</t>
  </si>
  <si>
    <t>L0</t>
  </si>
  <si>
    <t>L0_FLAG</t>
  </si>
  <si>
    <t>Cont</t>
  </si>
  <si>
    <t>0-1</t>
  </si>
  <si>
    <t>sum(recoded SOCIALINF r1,r2,r3) / 18, cap 1.0</t>
  </si>
  <si>
    <t>Weight in BCS = 0.10. GAP: missing in 4 studies.</t>
  </si>
  <si>
    <t>BCS</t>
  </si>
  <si>
    <t>BCS_SCORE</t>
  </si>
  <si>
    <t>ACTIVATION input</t>
  </si>
  <si>
    <t>0.45×L2 + 0.30×L3 + 0.15×L1 + 0.10×L0</t>
  </si>
  <si>
    <t>Computed once, reused for all study modules.</t>
  </si>
  <si>
    <t>OVERCLAIM_FLAG</t>
  </si>
  <si>
    <t>ARS penalty</t>
  </si>
  <si>
    <t>1 if (any SOCIALINF=7 AND NOT(L1 OR L2 OR L3))</t>
  </si>
  <si>
    <t>Contributes to ValidityFlag → ARS penalty ×0.60</t>
  </si>
  <si>
    <t>LAYER 3: CONFIGURABLE SURVEY INPUTS — Analyst provides content per study. Prefixed with study code (XX).</t>
  </si>
  <si>
    <t>XX_AWARE</t>
  </si>
  <si>
    <t>{XX}_AWARE</t>
  </si>
  <si>
    <t>3-5 cats</t>
  </si>
  <si>
    <t>CONFIG</t>
  </si>
  <si>
    <t>awareness_block</t>
  </si>
  <si>
    <t>Context only</t>
  </si>
  <si>
    <t>Opt</t>
  </si>
  <si>
    <t>Analyst: question text + response items.</t>
  </si>
  <si>
    <t>Ordinal. Items about topic awareness.</t>
  </si>
  <si>
    <t>XX_INFO</t>
  </si>
  <si>
    <t>{XX}_INFO</t>
  </si>
  <si>
    <t>multi-sel</t>
  </si>
  <si>
    <t>info_channels</t>
  </si>
  <si>
    <t>Analyst: 15-25 channel items in categories.</t>
  </si>
  <si>
    <t>HCP, media, digital, interpersonal groupings.</t>
  </si>
  <si>
    <t>XX_ISSUES</t>
  </si>
  <si>
    <t>{XX}_ISSUES</t>
  </si>
  <si>
    <t>Varies</t>
  </si>
  <si>
    <t>varies</t>
  </si>
  <si>
    <t>issue_items</t>
  </si>
  <si>
    <t>✓?</t>
  </si>
  <si>
    <t>PRE_ALIGN if mapped</t>
  </si>
  <si>
    <t>Analyst: topic-specific attitude items. Scale varies.</t>
  </si>
  <si>
    <t>May feed PRE_ALIGN if listed in pre_items[]</t>
  </si>
  <si>
    <t>XX_IMP</t>
  </si>
  <si>
    <t>{XX}_IMP</t>
  </si>
  <si>
    <t>7-pt fav</t>
  </si>
  <si>
    <t>impressions_entities</t>
  </si>
  <si>
    <t>Analyst: 8-14 entities. Shuffle=ON.</t>
  </si>
  <si>
    <t>7-pt Very Unfav → Very Fav. Trusted messenger profiling.</t>
  </si>
  <si>
    <t>CRITIC_1-N</t>
  </si>
  <si>
    <t>{XX}_CRITICr{n}</t>
  </si>
  <si>
    <t>7-pt agree</t>
  </si>
  <si>
    <t>critic_items[]</t>
  </si>
  <si>
    <t>PRE_ALIGN (reverse)</t>
  </si>
  <si>
    <t>Analyst: 15-17 opposition narrative statements.</t>
  </si>
  <si>
    <t>REVERSE-CODED: 8−raw. Pre+post. Block A/B rotation.</t>
  </si>
  <si>
    <t>XX_PRE (agree)</t>
  </si>
  <si>
    <t>{XX}_PREr{n}</t>
  </si>
  <si>
    <t>pre_items[]</t>
  </si>
  <si>
    <t>PRE_ALIGN input</t>
  </si>
  <si>
    <t>Analyst: alignment items. reversals[] flags per item.</t>
  </si>
  <si>
    <t>Must have 1:1 match with XX_POST items.</t>
  </si>
  <si>
    <t>XX_PRE (semantic)</t>
  </si>
  <si>
    <t>{XX}_PRE_SEM</t>
  </si>
  <si>
    <t>7-pt bipolar</t>
  </si>
  <si>
    <t>Analyst: bipolar statements. Analyst declares aligned pole.</t>
  </si>
  <si>
    <t>Optional question type. Same reversals[] handling.</t>
  </si>
  <si>
    <t>XX_PRE (rank)</t>
  </si>
  <si>
    <t>{XX}_PRE_RANK</t>
  </si>
  <si>
    <t>Rank</t>
  </si>
  <si>
    <t>1-N</t>
  </si>
  <si>
    <t>pre_items[] + pre_transform</t>
  </si>
  <si>
    <t>Analyst: 3-7 items to rank. Target item rank → 0-7.</t>
  </si>
  <si>
    <t>Requires pre_transform config for normalization.</t>
  </si>
  <si>
    <t>MSG_MAXDIFF</t>
  </si>
  <si>
    <t>{XX}_MSG_MAXDIFF</t>
  </si>
  <si>
    <t>6-15 items</t>
  </si>
  <si>
    <t>message_maxdiff</t>
  </si>
  <si>
    <t>Treatment exposure</t>
  </si>
  <si>
    <t>Analyst: core messages + optional 16 persona variants per item.</t>
  </si>
  <si>
    <t>BIBD params in config. Split SPLIT_1/SPLIT_2.</t>
  </si>
  <si>
    <t>XX_POST (all)</t>
  </si>
  <si>
    <t>{XX}_POSTr{n}</t>
  </si>
  <si>
    <t>mirrors PRE</t>
  </si>
  <si>
    <t>post_items[]</t>
  </si>
  <si>
    <t>POST_ALIGN input</t>
  </si>
  <si>
    <t>MUST mirror XX_PRE exactly. Same items, same scales.</t>
  </si>
  <si>
    <t>1:1 correspondence with pre_items[]. Same reversals[].</t>
  </si>
  <si>
    <t>has_adv</t>
  </si>
  <si>
    <t>(config flag)</t>
  </si>
  <si>
    <t>Config</t>
  </si>
  <si>
    <t>Bool</t>
  </si>
  <si>
    <t>T/F</t>
  </si>
  <si>
    <t>adv_p1 (null=false)</t>
  </si>
  <si>
    <t>ARS gate</t>
  </si>
  <si>
    <t>Analyst decides: include activation measurement?</t>
  </si>
  <si>
    <t>If false: ACTIVATION = BCS×15 only (ARS=0).</t>
  </si>
  <si>
    <t>ADV_P1</t>
  </si>
  <si>
    <t>{XX}_ADV_P1</t>
  </si>
  <si>
    <t>1-4</t>
  </si>
  <si>
    <t>adv_p1</t>
  </si>
  <si>
    <t>ARS → P1n</t>
  </si>
  <si>
    <t>Analyst: timing question wording. "{topic}" noun varies.</t>
  </si>
  <si>
    <t>P1n = (raw−1)/3. Weight=0.40. Cond on has_adv.</t>
  </si>
  <si>
    <t>ADV_P2</t>
  </si>
  <si>
    <t>{XX}_ADV_P2</t>
  </si>
  <si>
    <t>1-5</t>
  </si>
  <si>
    <t>adv_p2</t>
  </si>
  <si>
    <t>ARS → P2n</t>
  </si>
  <si>
    <t>Analyst: motivation question wording.</t>
  </si>
  <si>
    <t>P2n = (raw−1)/4. Weight=0.30. Cond on has_adv.</t>
  </si>
  <si>
    <t>ADV_P2n</t>
  </si>
  <si>
    <t>{XX}_ADV_P2n</t>
  </si>
  <si>
    <t>adv_p2n</t>
  </si>
  <si>
    <t>ARS → P2pn</t>
  </si>
  <si>
    <t>Analyst: alt-likelihood question wording.</t>
  </si>
  <si>
    <t>P2pn = (raw−1)/3. Weight=0.30. Cond on has_adv.</t>
  </si>
  <si>
    <t>qtrust</t>
  </si>
  <si>
    <t>{XX}_TRUST</t>
  </si>
  <si>
    <t>7-pt trust</t>
  </si>
  <si>
    <t>trust_entities</t>
  </si>
  <si>
    <t>Analyst: 10-20 institutions. Topic-relevant.</t>
  </si>
  <si>
    <t>Trusted messenger profiling per segment.</t>
  </si>
  <si>
    <t>Study screener(s)</t>
  </si>
  <si>
    <t>{varies}</t>
  </si>
  <si>
    <t>filter_var + filter_value</t>
  </si>
  <si>
    <t>Analyst: which existing screener routes to this study.</t>
  </si>
  <si>
    <t>Maps to config filter_var/filter_value. E.g., qins2=r1|r2.</t>
  </si>
  <si>
    <t>66-69</t>
  </si>
  <si>
    <t>intro_main</t>
  </si>
  <si>
    <t>display</t>
  </si>
  <si>
    <t>intro_text</t>
  </si>
  <si>
    <t>Analyst: topic-framing paragraph.</t>
  </si>
  <si>
    <t>Display only. No data collected.</t>
  </si>
  <si>
    <t>LAYER 4: STUDY-SPECIFIC COMPUTED OUTPUTS — Generated by ROI engine from Layers 1-3. One set per study per respondent.</t>
  </si>
  <si>
    <t>[TOPIC]_PRE_ALIGN</t>
  </si>
  <si>
    <t>{XX}_PRE_ALIGN</t>
  </si>
  <si>
    <t>AUTO</t>
  </si>
  <si>
    <t>Alignment baseline</t>
  </si>
  <si>
    <t>mean(pre_items after reversal)</t>
  </si>
  <si>
    <t>Inputs from pre_items[] + reversals[]</t>
  </si>
  <si>
    <t>[TOPIC]_POST_ALIGN</t>
  </si>
  <si>
    <t>{XX}_POST_ALIGN</t>
  </si>
  <si>
    <t>Alignment destination</t>
  </si>
  <si>
    <t>mean(post_items after reversal)</t>
  </si>
  <si>
    <t>POST_ALIGN drives COALITION_CAT + DEST_WGT</t>
  </si>
  <si>
    <t>[TOPIC]_ALIGN_MOVE</t>
  </si>
  <si>
    <t>{XX}_ALIGN_MOVE</t>
  </si>
  <si>
    <t>-6 to +6</t>
  </si>
  <si>
    <t>Movement</t>
  </si>
  <si>
    <t>POST_ALIGN − PRE_ALIGN</t>
  </si>
  <si>
    <t>Typical range ±0.3 to ±0.8</t>
  </si>
  <si>
    <t>[TOPIC]_PERSUASION</t>
  </si>
  <si>
    <t>{XX}_PERSUASION</t>
  </si>
  <si>
    <t>0-40</t>
  </si>
  <si>
    <t>ROI Component 1</t>
  </si>
  <si>
    <t>min(1, max(0, MOVE/0.8)) × 40</t>
  </si>
  <si>
    <t>Ceiling at ±0.8 movement. 40% of max ROI.</t>
  </si>
  <si>
    <t>[TOPIC]_COAL_CAT</t>
  </si>
  <si>
    <t>{XX}_COAL_CAT</t>
  </si>
  <si>
    <t>Coalition position</t>
  </si>
  <si>
    <t>Thresholds: ≥6.0→5(Champion), ≥5.0→4, ≥3.0→3, &lt;3.0→1</t>
  </si>
  <si>
    <t>Categorical coalition assignment</t>
  </si>
  <si>
    <t>[TOPIC]_COALITION</t>
  </si>
  <si>
    <t>{XX}_COALITION</t>
  </si>
  <si>
    <t>0-30</t>
  </si>
  <si>
    <t>ROI Component 2</t>
  </si>
  <si>
    <t>(0.60×COAL_NORM + 0.40×DEST_WGT) × 30</t>
  </si>
  <si>
    <t>COAL_NORM=(CC−1)/4; DEST_WGT=POST/7</t>
  </si>
  <si>
    <t>[TOPIC]_ARS</t>
  </si>
  <si>
    <t>{XX}_ARS</t>
  </si>
  <si>
    <t>Readiness score</t>
  </si>
  <si>
    <t>0.40×P1n + 0.30×P2n + 0.30×P2pn</t>
  </si>
  <si>
    <t>Only if has_adv=true</t>
  </si>
  <si>
    <t>[TOPIC]_ARS_ADJ</t>
  </si>
  <si>
    <t>{XX}_ARS_ADJ</t>
  </si>
  <si>
    <t>Adj readiness</t>
  </si>
  <si>
    <t>ARS × penalty × boost, cap 1.0</t>
  </si>
  <si>
    <t>penalty=0.60 if VF; boost=1.10 if L2|L3</t>
  </si>
  <si>
    <t>[TOPIC]_ACTIVATION</t>
  </si>
  <si>
    <t>{XX}_ACTIVATION</t>
  </si>
  <si>
    <t>ROI Component 3</t>
  </si>
  <si>
    <t>BCS×15 + ARS_adj×15</t>
  </si>
  <si>
    <t>If no ADV items: ARS_adj=0 → ACTIVATION=BCS×15 only</t>
  </si>
  <si>
    <t>[TOPIC]_ROI_SCORE</t>
  </si>
  <si>
    <t>{XX}_ROI_SCORE</t>
  </si>
  <si>
    <t>0-100</t>
  </si>
  <si>
    <t>TOTAL ROI</t>
  </si>
  <si>
    <t>PERSUASION + COALITION + ACTIVATION</t>
  </si>
  <si>
    <t>Primary output. Segment means → DQMA quotas.</t>
  </si>
  <si>
    <t>[TOPIC]_ROI_CAT</t>
  </si>
  <si>
    <t>{XX}_ROI_CAT</t>
  </si>
  <si>
    <t>ROI classification</t>
  </si>
  <si>
    <t>Decision tree: MOVE, ACT_LIKELIHOOD, POST thresholds</t>
  </si>
  <si>
    <t>1=Highest, 2=Strong, 3=Persuadable, 4=Low, 5=Backlash</t>
  </si>
  <si>
    <t>[TOPIC]_ACT_LIKELIHOOD</t>
  </si>
  <si>
    <t>{XX}_ACT_LIKELIHOOD</t>
  </si>
  <si>
    <t>Dashboard metric</t>
  </si>
  <si>
    <t>ARS_adj × 100</t>
  </si>
  <si>
    <t>Scaled for dashboard use</t>
  </si>
  <si>
    <t>[TOPIC]_ACT_CLASS</t>
  </si>
  <si>
    <t>{XX}_ACT_CLASS</t>
  </si>
  <si>
    <t>Activation class</t>
  </si>
  <si>
    <t>1=High-Confidence, 2=Probable, 3=Expressive, 4=Validity-flagged</t>
  </si>
  <si>
    <t>ARS≥0.65 + L2|L3 → class 1</t>
  </si>
  <si>
    <t>LAYER 5: CONFIGURATION KEYS — Required fields in prism_study_config.json per study entry.</t>
  </si>
  <si>
    <t>topic_prefix</t>
  </si>
  <si>
    <t>(config)</t>
  </si>
  <si>
    <t>String</t>
  </si>
  <si>
    <t>2-5 char</t>
  </si>
  <si>
    <t>Variable prefix</t>
  </si>
  <si>
    <t>Analyst provides. E.g., "VAX", "AL", "PREG".</t>
  </si>
  <si>
    <t>Must be unique. Prefixes all output vars.</t>
  </si>
  <si>
    <t>scale</t>
  </si>
  <si>
    <t>7 (default)</t>
  </si>
  <si>
    <t>PRE/POST scale</t>
  </si>
  <si>
    <t>Maximum of rating scale. Usually 7.</t>
  </si>
  <si>
    <t>Used in reverse-coding: (scale+1)−raw. And DEST_WGT: POST/scale.</t>
  </si>
  <si>
    <t>Array</t>
  </si>
  <si>
    <t>var names</t>
  </si>
  <si>
    <t>pre_items</t>
  </si>
  <si>
    <t>PRE_ALIGN vars</t>
  </si>
  <si>
    <t>Analyst maps survey vars to this array.</t>
  </si>
  <si>
    <t>1:1 with post_items[] and reversals[].</t>
  </si>
  <si>
    <t>post_items</t>
  </si>
  <si>
    <t>POST_ALIGN vars</t>
  </si>
  <si>
    <t>Must mirror pre_items[] exactly.</t>
  </si>
  <si>
    <t>Same length. Same item order.</t>
  </si>
  <si>
    <t>reversals[]</t>
  </si>
  <si>
    <t>bool</t>
  </si>
  <si>
    <t>reversals</t>
  </si>
  <si>
    <t>Reverse-code flags</t>
  </si>
  <si>
    <t>true = item reversed (8−raw for 7-pt scale).</t>
  </si>
  <si>
    <t>CRITICAL: wrong flag corrupts PERSUASION. Same length as pre_items[].</t>
  </si>
  <si>
    <t>pre_transform</t>
  </si>
  <si>
    <t>Dict</t>
  </si>
  <si>
    <t>var→fn</t>
  </si>
  <si>
    <t>Scale conversion</t>
  </si>
  <si>
    <t>E.g., {"QESI_PRE_ATT": "slider_to_7"}.</t>
  </si>
  <si>
    <t>Converts 0-100 slider → 1-7. Used by ESI.</t>
  </si>
  <si>
    <t>filter_var</t>
  </si>
  <si>
    <t>var name</t>
  </si>
  <si>
    <t>Study routing</t>
  </si>
  <si>
    <t>Decipher variable that gates study assignment.</t>
  </si>
  <si>
    <t>E.g., "STUDY_BLOCK" or "qins2".</t>
  </si>
  <si>
    <t>filter_value</t>
  </si>
  <si>
    <t>Value of filter_var that selects this study.</t>
  </si>
  <si>
    <t>ROI engine: if getattr(p, filter_var) == filter_value.</t>
  </si>
  <si>
    <t>active</t>
  </si>
  <si>
    <t>Study enable</t>
  </si>
  <si>
    <t>Default true. Set false to disable without deleting.</t>
  </si>
  <si>
    <t>ROI engine skips inactive studies.</t>
  </si>
  <si>
    <t>Object</t>
  </si>
  <si>
    <t>nested</t>
  </si>
  <si>
    <t>MaxDiff config</t>
  </si>
  <si>
    <t>n_items, items_per_task, n_tasks, bibd, split_ratio, control_text[], variant_text[16][]</t>
  </si>
  <si>
    <t>NOT YET IN EXISTING CONFIG. Needs to be added.</t>
  </si>
  <si>
    <t>1. DESIGN TOKENS — Extracted from Canva Artboards (Feb 2026)</t>
  </si>
  <si>
    <t>1.1 Colors</t>
  </si>
  <si>
    <t>Token</t>
  </si>
  <si>
    <t>Hex</t>
  </si>
  <si>
    <t>Where Applied</t>
  </si>
  <si>
    <t>Source Artboard</t>
  </si>
  <si>
    <t>brand_green (CTA)</t>
  </si>
  <si>
    <t>#6B7F4E</t>
  </si>
  <si>
    <t>Continue buttons, CTA pills: "READY SET GO", "LET'S DO THIS", "ENJOY!", "CONTINUE &gt;", "THANK YOU!"</t>
  </si>
  <si>
    <t>Olive/army green. All artboards.</t>
  </si>
  <si>
    <t>brand_green_dark</t>
  </si>
  <si>
    <t>#5A6B42</t>
  </si>
  <si>
    <t>CTA hover state (estimated)</t>
  </si>
  <si>
    <t>Needs Canva confirmation</t>
  </si>
  <si>
    <t>bg_page</t>
  </si>
  <si>
    <t>#F5F2ED</t>
  </si>
  <si>
    <t>Survey page background — warm cream/parchment behind all question cards</t>
  </si>
  <si>
    <t>p1 (screeners), all pages</t>
  </si>
  <si>
    <t>bg_card</t>
  </si>
  <si>
    <t>#FFFFFF</t>
  </si>
  <si>
    <t>Question card background</t>
  </si>
  <si>
    <t>All question cards</t>
  </si>
  <si>
    <t>bg_card_alt</t>
  </si>
  <si>
    <t>#F8F5F0</t>
  </si>
  <si>
    <t>Lighter warm card variant used for intro/header blocks</t>
  </si>
  <si>
    <t>p1 intro block</t>
  </si>
  <si>
    <t>bg_input</t>
  </si>
  <si>
    <t>#E8E4DE</t>
  </si>
  <si>
    <t>Text input fields (email, phone), dropdown backgrounds</t>
  </si>
  <si>
    <t>p11 optin fields</t>
  </si>
  <si>
    <t>text_primary</t>
  </si>
  <si>
    <t>#333333</t>
  </si>
  <si>
    <t>Question text, option labels</t>
  </si>
  <si>
    <t>Approximate — dark brown-black, not pure black</t>
  </si>
  <si>
    <t>text_secondary</t>
  </si>
  <si>
    <t>#888888</t>
  </si>
  <si>
    <t>Helper text, subtext, scale anchor midpoints ("Neutral/Unsure")</t>
  </si>
  <si>
    <t>p4 (activation), p7 (main qnnaire)</t>
  </si>
  <si>
    <t>text_red</t>
  </si>
  <si>
    <t>#C62828</t>
  </si>
  <si>
    <t>Scale endpoint: "Strongly Disagree", "VERY Unsafe", "Much LESS Motivating"</t>
  </si>
  <si>
    <t>p4, p7, p8 (inf360)</t>
  </si>
  <si>
    <t>text_green</t>
  </si>
  <si>
    <t>#2E7D32</t>
  </si>
  <si>
    <t>Scale endpoint: "Strongly Agree", "VERY Safe", "Much MORE Motivating"</t>
  </si>
  <si>
    <t>p4, p7, p3 (trust)</t>
  </si>
  <si>
    <t>radio_selected_green</t>
  </si>
  <si>
    <t>#4CAF50</t>
  </si>
  <si>
    <t>Filled radio button — large green circle on agreement scales. Gradient: darker at strong-agree end.</t>
  </si>
  <si>
    <t>p10 (vectors), p4 (mob), p3 (trust)</t>
  </si>
  <si>
    <t>radio_selected_red</t>
  </si>
  <si>
    <t>Filled radio button — red circle for disagree-end selections or LEAST in MaxDiff</t>
  </si>
  <si>
    <t>p10 (vectors), p5 (msg maxdiff), p9 (typing maxdiff)</t>
  </si>
  <si>
    <t>radio_unselected</t>
  </si>
  <si>
    <t>#D5D0C8</t>
  </si>
  <si>
    <t>Empty radio circle outline. Warm gray, not cool gray.</t>
  </si>
  <si>
    <t>All radio scales</t>
  </si>
  <si>
    <t>card_selected_green</t>
  </si>
  <si>
    <t>#E8F5E9</t>
  </si>
  <si>
    <t>MaxDiff: row background highlight for MOST selected item</t>
  </si>
  <si>
    <t>p5 (msg maxdiff), p9 (typing maxdiff)</t>
  </si>
  <si>
    <t>card_selected_red</t>
  </si>
  <si>
    <t>#FFEBEE</t>
  </si>
  <si>
    <t>MaxDiff: row background highlight for LEAST selected item</t>
  </si>
  <si>
    <t>card_border</t>
  </si>
  <si>
    <t>#E0DCD6</t>
  </si>
  <si>
    <t>Question card border and option card border</t>
  </si>
  <si>
    <t>All cards</t>
  </si>
  <si>
    <t>progress_blue</t>
  </si>
  <si>
    <t>#1565C0</t>
  </si>
  <si>
    <t>Progress bar fill</t>
  </si>
  <si>
    <t>p1, p5, p9 — section progress</t>
  </si>
  <si>
    <t>progress_track</t>
  </si>
  <si>
    <t>#E0E0E0</t>
  </si>
  <si>
    <t>Progress bar track (unfilled)</t>
  </si>
  <si>
    <t>All pages with progress</t>
  </si>
  <si>
    <t>section_label_red</t>
  </si>
  <si>
    <t>Section name text above progress bar: "SECTION 2: VALUES &amp; IDENTITY"</t>
  </si>
  <si>
    <t>p5, p9</t>
  </si>
  <si>
    <t>checkbox_green</t>
  </si>
  <si>
    <t>Checked checkbox fill with white checkmark</t>
  </si>
  <si>
    <t>p8 (inf360), p7 (checklist), p10 (demographics)</t>
  </si>
  <si>
    <t>button_outline</t>
  </si>
  <si>
    <t>#999999</t>
  </si>
  <si>
    <t>Unselected STYLE.BUTTON.HORIZONTAL border</t>
  </si>
  <si>
    <t>p4 (P1, P2n), p7 (issues)</t>
  </si>
  <si>
    <t>button_selected_fill</t>
  </si>
  <si>
    <t>#555555</t>
  </si>
  <si>
    <t>Selected button fill in STYLE.BUTTON.HORIZONTAL</t>
  </si>
  <si>
    <t>p7 (GLP-1 effectiveness — "Only Slightly")</t>
  </si>
  <si>
    <t>pnta_gray</t>
  </si>
  <si>
    <t>PNTA checkbox + text color</t>
  </si>
  <si>
    <t>All pages with PNTA</t>
  </si>
  <si>
    <t>footer_gray</t>
  </si>
  <si>
    <t>#AAAAAA</t>
  </si>
  <si>
    <t>Footer privacy text</t>
  </si>
  <si>
    <t>All pages</t>
  </si>
  <si>
    <t>engagement_bg</t>
  </si>
  <si>
    <t>#FFF9C4</t>
  </si>
  <si>
    <t>Fun fact / "Why we ask" callout background (yellow-ish)</t>
  </si>
  <si>
    <t>p1 ZIP code callout</t>
  </si>
  <si>
    <t>1.2 Typography</t>
  </si>
  <si>
    <t>Value</t>
  </si>
  <si>
    <t>Notes</t>
  </si>
  <si>
    <t>font_family</t>
  </si>
  <si>
    <t>Fraunces (question text, headings, statements) + Inter (helper text, instructions, scale labels, subtext)</t>
  </si>
  <si>
    <t>Fraunces: Google Font, serif with optical sizing. Used for all primary respondent-facing text. Inter: clean sans-serif for secondary/instructional text. Both available via Google Fonts CDN.</t>
  </si>
  <si>
    <t>question_text_size</t>
  </si>
  <si>
    <t>~18-20px</t>
  </si>
  <si>
    <t>Bold. "How familiar are you with…" style.</t>
  </si>
  <si>
    <t>question_text_weight</t>
  </si>
  <si>
    <t>Bold (700)</t>
  </si>
  <si>
    <t>Consistent across all question types.</t>
  </si>
  <si>
    <t>helper_text_size</t>
  </si>
  <si>
    <t>~13-14px</t>
  </si>
  <si>
    <t>"Tap where you fall on each statement…" "Tell us how old you are. (We won't tell)"</t>
  </si>
  <si>
    <t>helper_text_color</t>
  </si>
  <si>
    <t>Lighter gray, smaller than question text.</t>
  </si>
  <si>
    <t>option_label_size</t>
  </si>
  <si>
    <t>~14-15px</t>
  </si>
  <si>
    <t>Checkbox/radio item text. Regular weight.</t>
  </si>
  <si>
    <t>scale_anchor_size</t>
  </si>
  <si>
    <t>~11-12px</t>
  </si>
  <si>
    <t>"Strongly Disagree" / "Neutral/Unsure" / "Strongly Agree" below radio scales.</t>
  </si>
  <si>
    <t>scale_anchor_weight</t>
  </si>
  <si>
    <t>Semibold or Bold</t>
  </si>
  <si>
    <t>Endpoint anchors appear heavier than midpoint.</t>
  </si>
  <si>
    <t>button_label_size</t>
  </si>
  <si>
    <t>~12-13px</t>
  </si>
  <si>
    <t>Inside STYLE.BUTTON.HORIZONTAL: "Definitely NO", "Probably No", etc.</t>
  </si>
  <si>
    <t>card_statement_size</t>
  </si>
  <si>
    <t>MaxDiff item text, critic item text. Centered in card.</t>
  </si>
  <si>
    <t>section_label_size</t>
  </si>
  <si>
    <t>~11px uppercase</t>
  </si>
  <si>
    <t>"SECTION 2: VALUES &amp; IDENTITY" — small caps, red text.</t>
  </si>
  <si>
    <t>counter_size</t>
  </si>
  <si>
    <t>~11px</t>
  </si>
  <si>
    <t>"3 of 6 Questions", "1 of 12 Cards" — right-aligned, gray.</t>
  </si>
  <si>
    <t>cta_button_size</t>
  </si>
  <si>
    <t>~14px uppercase</t>
  </si>
  <si>
    <t>"CONTINUE &gt;", "READY, SET, GO!" — white text on green pill.</t>
  </si>
  <si>
    <t>footer_size</t>
  </si>
  <si>
    <t>~10px</t>
  </si>
  <si>
    <t>Privacy policy line at bottom of every page.</t>
  </si>
  <si>
    <t>intro_body_size</t>
  </si>
  <si>
    <t>Centered body text in intro blocks. May be serif or light sans.</t>
  </si>
  <si>
    <t>PRISM_logo</t>
  </si>
  <si>
    <t>Custom mark + "PRISM" text</t>
  </si>
  <si>
    <t>Appears centered at top of every page. Mountain/arrow motif. ~80px wide.</t>
  </si>
  <si>
    <t>1.3 Spacing &amp; Layout</t>
  </si>
  <si>
    <t>max_content_width</t>
  </si>
  <si>
    <t>~600-680px</t>
  </si>
  <si>
    <t>All question cards constrained to this width, centered.</t>
  </si>
  <si>
    <t>card_padding</t>
  </si>
  <si>
    <t>~20-24px</t>
  </si>
  <si>
    <t>Internal padding of white question cards.</t>
  </si>
  <si>
    <t>card_border_radius</t>
  </si>
  <si>
    <t>~8-12px</t>
  </si>
  <si>
    <t>Subtle rounded corners on all cards.</t>
  </si>
  <si>
    <t>card_shadow</t>
  </si>
  <si>
    <t>None or very subtle</t>
  </si>
  <si>
    <t>Cards appear flat — differentiated by border, not shadow.</t>
  </si>
  <si>
    <t>card_margin_bottom</t>
  </si>
  <si>
    <t>~24-32px</t>
  </si>
  <si>
    <t>Space between question cards on same page.</t>
  </si>
  <si>
    <t>radio_size</t>
  </si>
  <si>
    <t>~28-32px diameter</t>
  </si>
  <si>
    <t>Large touch targets. Hollow when unselected, solid fill when selected.</t>
  </si>
  <si>
    <t>radio_gap</t>
  </si>
  <si>
    <t>~40-48px</t>
  </si>
  <si>
    <t>Horizontal spacing between radio circles on 7-pt scale.</t>
  </si>
  <si>
    <t>checkbox_size</t>
  </si>
  <si>
    <t>~20-22px</t>
  </si>
  <si>
    <t>Smaller than radio. Square with rounded corners.</t>
  </si>
  <si>
    <t>button_height</t>
  </si>
  <si>
    <t>~40-44px</t>
  </si>
  <si>
    <t>STYLE.BUTTON.HORIZONTAL individual option buttons.</t>
  </si>
  <si>
    <t>button_border_radius</t>
  </si>
  <si>
    <t>~6-8px</t>
  </si>
  <si>
    <t>Slightly rounded rectangular buttons.</t>
  </si>
  <si>
    <t>button_gap</t>
  </si>
  <si>
    <t>Space between horizontal buttons.</t>
  </si>
  <si>
    <t>cta_height</t>
  </si>
  <si>
    <t>~44-48px</t>
  </si>
  <si>
    <t>Continue/CTA pill button.</t>
  </si>
  <si>
    <t>cta_border_radius</t>
  </si>
  <si>
    <t>~24px</t>
  </si>
  <si>
    <t>Pill-shaped: fully rounded ends.</t>
  </si>
  <si>
    <t>progress_height</t>
  </si>
  <si>
    <t>~4-6px</t>
  </si>
  <si>
    <t>Thin bar below section label.</t>
  </si>
  <si>
    <t>page_top_padding</t>
  </si>
  <si>
    <t>From PRISM logo to first content block.</t>
  </si>
  <si>
    <t>page_bottom_padding</t>
  </si>
  <si>
    <t>~40-60px</t>
  </si>
  <si>
    <t>From last element to footer line.</t>
  </si>
  <si>
    <t>intro_block_padding</t>
  </si>
  <si>
    <t>Centered intro text blocks with more generous padding.</t>
  </si>
  <si>
    <t>maxdiff_card_padding</t>
  </si>
  <si>
    <t>~16-20px</t>
  </si>
  <si>
    <t>Individual message cards in MaxDiff task.</t>
  </si>
  <si>
    <t>maxdiff_row_height</t>
  </si>
  <si>
    <t>~80-100px</t>
  </si>
  <si>
    <t>Per-statement row including padding. Varies by text length.</t>
  </si>
  <si>
    <t>rank_item_height</t>
  </si>
  <si>
    <t>Draggable rank items in STYLE.RANKSORT.</t>
  </si>
  <si>
    <t>dropdown_width</t>
  </si>
  <si>
    <t>~300px</t>
  </si>
  <si>
    <t>Religion and income dropdowns (p10).</t>
  </si>
  <si>
    <t>2. COMPONENT API — One entry per UI component style. Defines what is configurable per instance.</t>
  </si>
  <si>
    <t>2.1 STYLE.HORIZONTAL.RADIO</t>
  </si>
  <si>
    <t>Description</t>
  </si>
  <si>
    <t>Horizontal row of radio circles with labels below. Large circular touch targets.</t>
  </si>
  <si>
    <t>qvote (3 opts), qgender (3 opts)</t>
  </si>
  <si>
    <t>Configurable:</t>
  </si>
  <si>
    <t xml:space="preserve">  option_count</t>
  </si>
  <si>
    <t>2-5</t>
  </si>
  <si>
    <t>Number of radio buttons in row</t>
  </si>
  <si>
    <t xml:space="preserve">  option_labels[]</t>
  </si>
  <si>
    <t>String array</t>
  </si>
  <si>
    <t>Text below each radio. E.g., ["YES", "NO", "Not Sure"]</t>
  </si>
  <si>
    <t xml:space="preserve">  option_icons[]</t>
  </si>
  <si>
    <t>Optional</t>
  </si>
  <si>
    <t>Some instances use icon fills (e.g., green checkmark for YES, party logos for PARTYID)</t>
  </si>
  <si>
    <t xml:space="preserve">  has_pnta</t>
  </si>
  <si>
    <t>Boolean</t>
  </si>
  <si>
    <t>"Prefer not to respond" checkbox below. Default: true.</t>
  </si>
  <si>
    <t>Fixed:</t>
  </si>
  <si>
    <t xml:space="preserve">  Radio size, colors, spacing per design tokens</t>
  </si>
  <si>
    <t>2.2 STYLE.DIGITBOXES</t>
  </si>
  <si>
    <t>Individual digit-entry boxes side by side. Numeric input only.</t>
  </si>
  <si>
    <t>qzip (5 boxes), qage (2 boxes)</t>
  </si>
  <si>
    <t xml:space="preserve">  box_count</t>
  </si>
  <si>
    <t>2 or 5</t>
  </si>
  <si>
    <t>Number of boxes. Determines variable width.</t>
  </si>
  <si>
    <t>Default: true.</t>
  </si>
  <si>
    <t xml:space="preserve">  has_engagement_callout</t>
  </si>
  <si>
    <t>ZIP shows "Why we ask" / "Fun Fact" callout with ? icon.</t>
  </si>
  <si>
    <t xml:space="preserve">  Box size (~40×48px), border, background per tokens</t>
  </si>
  <si>
    <t>2.3 CUSTOM.BALLOT</t>
  </si>
  <si>
    <t>Presidential vote question. Radio options with dark side-bar markers. Unique layout.</t>
  </si>
  <si>
    <t>q2024vote only</t>
  </si>
  <si>
    <t>Fixed: Non-configurable. Single-use custom component.</t>
  </si>
  <si>
    <t>Options: Trump (R), Harris (D), Another Candidate, "I didn't have the chance", PNTA</t>
  </si>
  <si>
    <t>2.4 CUSTOM.PARTYID</t>
  </si>
  <si>
    <t>Party identification chain: 3 linked questions with party logo icons (elephant/donkey/IND).</t>
  </si>
  <si>
    <t>qparty1-3</t>
  </si>
  <si>
    <t>Fixed: Non-configurable. Three-question chain with conditional display logic.</t>
  </si>
  <si>
    <t>qparty2 conditional on R/D. qparty3 conditional on Independent.</t>
  </si>
  <si>
    <t>2.5 STYLE.CARDSHUFFLE</t>
  </si>
  <si>
    <t>Single-card-at-a-time display with swipe/arrow navigation. Card shows statement text + 7-pt radio scale below. Cards randomized.</t>
  </si>
  <si>
    <t>Critics (15-17 items), PRE/POST items (3-5 items), Trust entities (10-20 items)</t>
  </si>
  <si>
    <t xml:space="preserve">  items[]</t>
  </si>
  <si>
    <t>Array of {text, variable_name}</t>
  </si>
  <si>
    <t>Statement text shown on each card. Analyst provides.</t>
  </si>
  <si>
    <t xml:space="preserve">  item_count</t>
  </si>
  <si>
    <t>3-20</t>
  </si>
  <si>
    <t>Determines number of cards in shuffle deck.</t>
  </si>
  <si>
    <t xml:space="preserve">  scale_points</t>
  </si>
  <si>
    <t>Number of radio circles below card. Always 7 for current studies.</t>
  </si>
  <si>
    <t xml:space="preserve">  scale_anchors</t>
  </si>
  <si>
    <t>["Disagree a great deal", "Neutral/Unsure", "Trust a great deal"]</t>
  </si>
  <si>
    <t>3-anchor pattern: left, center, right. Text configurable. Color: red/gray/green.</t>
  </si>
  <si>
    <t xml:space="preserve">  question_stem</t>
  </si>
  <si>
    <t>"Here are some things you may have heard about XXXXX…" — analyst provides topic noun.</t>
  </si>
  <si>
    <t>PNTA checkbox. Default: true for grid, false for individual cards.</t>
  </si>
  <si>
    <t xml:space="preserve">  shuffle</t>
  </si>
  <si>
    <t>Randomize card order. Default: true.</t>
  </si>
  <si>
    <t xml:space="preserve">  Card dimensions, swipe animation, arrow (&gt;) indicator, radio colors per tokens</t>
  </si>
  <si>
    <t xml:space="preserve">  Scale gradient: red endpoint → gray midpoint → green endpoint</t>
  </si>
  <si>
    <t>2.6 STYLE.7PTSEMANTIC</t>
  </si>
  <si>
    <t>7-point semantic differential. Two opposing statements on left and right with radio circles between. Labels only at endpoints + optional midpoint.</t>
  </si>
  <si>
    <t>PRE_4, VECTOR_LEADERSHIP, VECTOR_MARKETS</t>
  </si>
  <si>
    <t xml:space="preserve">  left_anchor</t>
  </si>
  <si>
    <t>String (paragraph)</t>
  </si>
  <si>
    <t>Left-side statement. Can be multi-line. E.g., "Keep a no-fault vaccine injury compensation program as the primary route"</t>
  </si>
  <si>
    <t xml:space="preserve">  right_anchor</t>
  </si>
  <si>
    <t>Right-side statement. E.g., "Make it easier to sue vaccine manufacturers directly in civil court"</t>
  </si>
  <si>
    <t xml:space="preserve">  midpoint_label</t>
  </si>
  <si>
    <t>String or null</t>
  </si>
  <si>
    <t>"Neutral/Unsure" if shown. Optional.</t>
  </si>
  <si>
    <t xml:space="preserve">  7 radio circles, center-aligned. Endpoint labels: regular weight, dark text. Midpoint: lighter gray.</t>
  </si>
  <si>
    <t>2.7 STYLE.RANKSORT</t>
  </si>
  <si>
    <t>Drag-and-drop ranking. Items shown as labeled bars with rank numbers (①②③④⑤). Respondent reorders by dragging.</t>
  </si>
  <si>
    <t>RANK_PRE_4 (5 industries)</t>
  </si>
  <si>
    <t>Array of strings</t>
  </si>
  <si>
    <t>Items to rank. E.g., ["Oil &amp; Gas", "Biopharmaceuticals", "Automotive Manufacturing", "AI/Tech", "Aerospace"]</t>
  </si>
  <si>
    <t>3-7</t>
  </si>
  <si>
    <t>Number of items. Determines list height.</t>
  </si>
  <si>
    <t xml:space="preserve">  question_text</t>
  </si>
  <si>
    <t>"Which of the following industries is most important for America to be a global leader?"</t>
  </si>
  <si>
    <t xml:space="preserve">  helper_text</t>
  </si>
  <si>
    <t>"Rank these industries in order of importance by dragging and sorting."</t>
  </si>
  <si>
    <t xml:space="preserve">  Rank number circles (green, numbered ①-⑤), item bar styling, drag interaction</t>
  </si>
  <si>
    <t>2.8 STYLE.RADIO.VERTICAL</t>
  </si>
  <si>
    <t>Vertical stacked radio options. Each option is a full-width row with radio circle + label. Standard single-select list.</t>
  </si>
  <si>
    <t>XX_AWARE, MAHA2, MAHA4, d3 (race)</t>
  </si>
  <si>
    <t xml:space="preserve">  options[]</t>
  </si>
  <si>
    <t>Array of {label, value}</t>
  </si>
  <si>
    <t>Option text and response code.</t>
  </si>
  <si>
    <t>3-10</t>
  </si>
  <si>
    <t>Number of options.</t>
  </si>
  <si>
    <t xml:space="preserve">  has_specify</t>
  </si>
  <si>
    <t>"Other" option with &gt;&gt; Specify open-end text field.</t>
  </si>
  <si>
    <t xml:space="preserve">  has_not_sure</t>
  </si>
  <si>
    <t>"Not Sure" button (styled differently, below main options).</t>
  </si>
  <si>
    <t xml:space="preserve">  Radio circle left-aligned, label to right. Selected: filled dark circle.</t>
  </si>
  <si>
    <t>2.9 STYLE.RADIO.HORIZONTAL</t>
  </si>
  <si>
    <t>Horizontal radio scale with large circles, connected by dotted line. Endpoint labels below in color (red/green). Optional midpoint label.</t>
  </si>
  <si>
    <t>P2, XX_IMP, MAHA3 (impression)</t>
  </si>
  <si>
    <t>5 or 7</t>
  </si>
  <si>
    <t>Number of radio circles.</t>
  </si>
  <si>
    <t>Confirmed in p7 annotation: "Number of scale points 5 or 7"</t>
  </si>
  <si>
    <t>Left endpoint label. Red text. E.g., "VERY Unsafe", "Much LESS Motivating", "VERY Unfavorable"</t>
  </si>
  <si>
    <t>Right endpoint label. Green text. E.g., "VERY Safe", "Much MORE Motivating", "VERY Favorable"</t>
  </si>
  <si>
    <t>"Neutral/Unsure", "About the same". Gray text.</t>
  </si>
  <si>
    <t xml:space="preserve">  scale_gradient</t>
  </si>
  <si>
    <t>Radio fill follows red→green gradient. Default: true.</t>
  </si>
  <si>
    <t>Confirmed in p7: "Scale gradient from agree/disagree"</t>
  </si>
  <si>
    <t xml:space="preserve">  button_colors</t>
  </si>
  <si>
    <t>gray/standard/hover/fill</t>
  </si>
  <si>
    <t>Color set for radio states.</t>
  </si>
  <si>
    <t>Confirmed in p7: "No button colors (gray/standard hover/fill)"</t>
  </si>
  <si>
    <t xml:space="preserve">  has_or_99</t>
  </si>
  <si>
    <t>Adds "Not Sure" or "OR 99" option outside scale.</t>
  </si>
  <si>
    <t>Confirmed in p7: "Addition of OR OR 99"</t>
  </si>
  <si>
    <t xml:space="preserve">  Dotted connector line between circles. Circle size per tokens. Color gradient per tokens.</t>
  </si>
  <si>
    <t>2.10 STYLE.BUTTON.HORIZONTAL</t>
  </si>
  <si>
    <t>Row of rectangular buttons with text labels. Mutually exclusive selection. Selected button fills solid.</t>
  </si>
  <si>
    <t>P1, P2n, XX_ISSUES (effectiveness), MAHA1, edu, optin</t>
  </si>
  <si>
    <t>4-7</t>
  </si>
  <si>
    <t>Number of buttons.</t>
  </si>
  <si>
    <t>Confirmed in p7 annotation: "Number of scale points 4-7"</t>
  </si>
  <si>
    <t xml:space="preserve">  button_labels[]</t>
  </si>
  <si>
    <t>Text inside each button. E.g., ["Definitely NO", "Probably No", "Not Sure", "Probably Yes", "Definitely YES"]</t>
  </si>
  <si>
    <t>Confirmed: "All wording (question text, instructions/layer 2 text, response categories)"</t>
  </si>
  <si>
    <t>Color set.</t>
  </si>
  <si>
    <t>Confirmed in p7</t>
  </si>
  <si>
    <t>Whether buttons follow agree/disagree color gradient.</t>
  </si>
  <si>
    <t>"Not Sure" or PNTA option outside the button row.</t>
  </si>
  <si>
    <t>Confirmed in p7: "Addition of OR OR 99 (Not sure, PNTA)"</t>
  </si>
  <si>
    <t>Separate PNTA checkbox. Default: true.</t>
  </si>
  <si>
    <t>Fully configurable.</t>
  </si>
  <si>
    <t>Subtext below question. Configurable.</t>
  </si>
  <si>
    <t xml:space="preserve">  Button dimensions, border-radius, gap, selected fill treatment per tokens</t>
  </si>
  <si>
    <t>2.11 STYLE.BUTTONSELECT</t>
  </si>
  <si>
    <t>Grid of rectangular buttons (2×3 or 3×3). Single-select. For categorical responses with many options.</t>
  </si>
  <si>
    <t>qtot_followers (2×3), edu (3×3)</t>
  </si>
  <si>
    <t>Button labels.</t>
  </si>
  <si>
    <t xml:space="preserve">  grid_cols</t>
  </si>
  <si>
    <t>2 or 3</t>
  </si>
  <si>
    <t>Column count. Row count auto from option_count.</t>
  </si>
  <si>
    <t xml:space="preserve">  Button size, grid gap, selected treatment per tokens</t>
  </si>
  <si>
    <t>2.12 STYLE.CHECKLIST</t>
  </si>
  <si>
    <t>Multi-select checkbox list. Vertical stack. Each option has checkbox + label. "None of these" button at bottom.</t>
  </si>
  <si>
    <t>qinf360 (gateway), qlowinf</t>
  </si>
  <si>
    <t>Checkbox item text and response code.</t>
  </si>
  <si>
    <t>3-8</t>
  </si>
  <si>
    <t>Number of checkboxes.</t>
  </si>
  <si>
    <t xml:space="preserve">  has_none</t>
  </si>
  <si>
    <t>"None of these" exclusive option. Default: true. Styled as small gray button.</t>
  </si>
  <si>
    <t>Separate from "None of these". Default: false for checklists.</t>
  </si>
  <si>
    <t xml:space="preserve">  Checkbox styling (green fill + white check when selected), item spacing per tokens</t>
  </si>
  <si>
    <t>2.13 STYLE.CHECKLIST.EXPAND</t>
  </si>
  <si>
    <t>Hierarchical multi-select. Parent categories expand to show child items. Parent acts as category header; children are individual checkboxes.</t>
  </si>
  <si>
    <t>XX_INFO (information channels)</t>
  </si>
  <si>
    <t xml:space="preserve">  categories[]</t>
  </si>
  <si>
    <t>Array of {label, children: [{label, value}]}</t>
  </si>
  <si>
    <t>Parent: "In-person conversation". Children: "with my doctor", "with a pharmacist", "with a teacher", etc.</t>
  </si>
  <si>
    <t>"None of these" at bottom. Default: true.</t>
  </si>
  <si>
    <t>Default: false.</t>
  </si>
  <si>
    <t xml:space="preserve">  Expand/collapse animation, indent level for children, checkbox styling per tokens</t>
  </si>
  <si>
    <t>2.14 STYLE.BUTTON.CARD.SHUFFLE</t>
  </si>
  <si>
    <t>Card-at-a-time display where each card shows an activity statement, with a frequency button scale below. Cards shuffle.</t>
  </si>
  <si>
    <t>qsocialinfluence (3 activity cards + attention trap)</t>
  </si>
  <si>
    <t xml:space="preserve">  cards[]</t>
  </si>
  <si>
    <t>Activity statements. E.g., "Shared or reposted content", "Commented or replied to posts", "Created an original post or video"</t>
  </si>
  <si>
    <t xml:space="preserve">  freq_labels[]</t>
  </si>
  <si>
    <t>["Never", "Not in the past 30 days", "One time", "2-4 times", "5+ times"]</t>
  </si>
  <si>
    <t xml:space="preserve">  Card + button hybrid layout. Arrow (&gt;) for next card. Button styling per tokens.</t>
  </si>
  <si>
    <t>2.15 MAXDIFF (Typing)</t>
  </si>
  <si>
    <t>Most/Least MaxDiff for PRISM typing tool. Shows N items per task (4 for DEM, 5 for GOP). Respondent selects one MOST LIKE ME and one LEAST LIKE ME. Green/red radio columns.</t>
  </si>
  <si>
    <t>maxdiff_dem, maxdiff_gop</t>
  </si>
  <si>
    <t>Configurable: NONE (fixed). Item text, item count, and BIBD design are fixed for typing tool.</t>
  </si>
  <si>
    <t>Visual elements:</t>
  </si>
  <si>
    <t xml:space="preserve">  Left column: "MOST LIKE ME" — green radio. Right column: "LEAST LIKE ME" — gray radio.</t>
  </si>
  <si>
    <t xml:space="preserve">  Selected MOST: green fill. Selected LEAST: stays gray (no red on typing).</t>
  </si>
  <si>
    <t xml:space="preserve">  Red/green directional arrows in instruction line.</t>
  </si>
  <si>
    <t xml:space="preserve">  Statement text centered between radio columns.</t>
  </si>
  <si>
    <t xml:space="preserve">  Card counter: "1 of 8 Cards" (DEM) or "1 of 12 Cards" (GOP)</t>
  </si>
  <si>
    <t>2.16 MAXDIFF (Message)</t>
  </si>
  <si>
    <t>Most/Least Compelling MaxDiff for message testing. Shows N items per task. Respondent selects MOST COMPELLING and LEAST COMPELLING. Row highlights with color on selection.</t>
  </si>
  <si>
    <t>MSG_MAXDIFF (6-15 items per study)</t>
  </si>
  <si>
    <t>Message statements. Paragraph-length. Analyst-written.</t>
  </si>
  <si>
    <t xml:space="preserve">  items_per_task</t>
  </si>
  <si>
    <t>3-5</t>
  </si>
  <si>
    <t>Statements shown per MaxDiff task.</t>
  </si>
  <si>
    <t xml:space="preserve">  n_tasks</t>
  </si>
  <si>
    <t>6-15</t>
  </si>
  <si>
    <t>Total tasks respondent completes.</t>
  </si>
  <si>
    <t xml:space="preserve">  bibd_design</t>
  </si>
  <si>
    <t>Matrix or auto</t>
  </si>
  <si>
    <t>Balanced Incomplete Block Design specification.</t>
  </si>
  <si>
    <t xml:space="preserve">  persona_variant</t>
  </si>
  <si>
    <t>If true: segment-specific text replaces generic text for SPLIT_1 respondents.</t>
  </si>
  <si>
    <t xml:space="preserve">  variant_text[16][]</t>
  </si>
  <si>
    <t>Array per segment per item</t>
  </si>
  <si>
    <t>Only if persona_variant=true. 16 alternative texts per item.</t>
  </si>
  <si>
    <t xml:space="preserve">  Left column: "MOST COMPELLING" — green radio.</t>
  </si>
  <si>
    <t xml:space="preserve">  Right column: "LEAST COMPELLING" — red radio.</t>
  </si>
  <si>
    <t xml:space="preserve">  Selected MOST row: green background highlight (#E8F5E9). Selected LEAST row: red background highlight (#FFEBEE).</t>
  </si>
  <si>
    <t xml:space="preserve">  Unselected rows: white background.</t>
  </si>
  <si>
    <t xml:space="preserve">  Card counter: "1 of N Cards".</t>
  </si>
  <si>
    <t>3. GLOBAL PAGE ELEMENTS — Present on every survey page</t>
  </si>
  <si>
    <t>PRISM Logo</t>
  </si>
  <si>
    <t>Centered top. Mountain/arrow mark + "PRISM" text. ~80px wide.</t>
  </si>
  <si>
    <t>Fixed. Not configurable. Present on every page.</t>
  </si>
  <si>
    <t>Progress Bar</t>
  </si>
  <si>
    <t>Thin horizontal bar below section label. Blue fill on gray track.</t>
  </si>
  <si>
    <t>Section label in red text + uppercase. Counter in gray right-aligned ("3 of 6 Questions"). Bar shows proportion complete within section, not overall survey.</t>
  </si>
  <si>
    <t>Continue Button</t>
  </si>
  <si>
    <t>Pill-shaped CTA. brand_green background, white uppercase text. Centered below last question.</t>
  </si>
  <si>
    <t>Text varies: "CONTINUE &gt;", "READY, SET, GO!", "LET'S DO THIS", "ENJOY!", "THANK YOU!". Text is configurable per page in page_group config.</t>
  </si>
  <si>
    <t>PNTA Toggle</t>
  </si>
  <si>
    <t>"Prefer not to respond" — checkbox + gray text below question card. Not inside card.</t>
  </si>
  <si>
    <t>Global option. can_disable per question. When checked, skips validation for that question.</t>
  </si>
  <si>
    <t>Footer</t>
  </si>
  <si>
    <t>Thin gray rule + small gray text: "Your responses are held strictly confidential. See our Privacy Policy and commitment to research ethics and integrity."</t>
  </si>
  <si>
    <t>Fixed. Present on every page. Privacy Policy is a link.</t>
  </si>
  <si>
    <t>Engagement Callouts</t>
  </si>
  <si>
    <t>"?" icon (blue/teal circle) + expandable text block. "Why we ask" or "Fun Fact" content.</t>
  </si>
  <si>
    <t>Optional per page. Yellow-ish background (#FFF9C4). Currently used on ZIP code and semantic differential pages.</t>
  </si>
  <si>
    <t>Section Intro Block</t>
  </si>
  <si>
    <t>Centered text in off-white card. Body text explaining next section. CTA button to proceed.</t>
  </si>
  <si>
    <t>Text configurable per section. CTA text configurable. Used before: typing, vectors, main questionnaire, activation, demographics, optin.</t>
  </si>
  <si>
    <t>Page Group Labels</t>
  </si>
  <si>
    <t>Green monospace callout boxes in left margin: "page.group.1", "page.typing.maxdiff", etc.</t>
  </si>
  <si>
    <t>ANNOTATION LAYER — NOT respondent-facing. Canva design reference only. Maps to Decipher page_group variable.</t>
  </si>
  <si>
    <t>3.1 Brand Assets — SVG source files for survey rendering</t>
  </si>
  <si>
    <t>Asset</t>
  </si>
  <si>
    <t>Filename</t>
  </si>
  <si>
    <t>Key Colors</t>
  </si>
  <si>
    <t>Used By</t>
  </si>
  <si>
    <t>PRISM Logomark</t>
  </si>
  <si>
    <t>PRISM_glyph.svg</t>
  </si>
  <si>
    <t>#E8D9D0 (bg), #786A5A (mid), #605241 (shadow), #2C261C (dark detail), #FEFEFC (highlight)</t>
  </si>
  <si>
    <t>Every survey page — centered top</t>
  </si>
  <si>
    <t>46KB. Multi-layer earth tone mountain/arrow glyph. Renders at ~80px wide. SVG path-based, no text — "PRISM" wordmark is separate or part of the paths.</t>
  </si>
  <si>
    <t>GOP Party Icon</t>
  </si>
  <si>
    <t>GOP_Icon.svg</t>
  </si>
  <si>
    <t>#F2042E (red elephant), #FDFEFD (white bg)</t>
  </si>
  <si>
    <t>CUSTOM.PARTYID: qparty1, qparty2, qparty3</t>
  </si>
  <si>
    <t>18KB. Red elephant silhouette with white stars. 648×648 viewBox. Used as radio button icon for Republican identification.</t>
  </si>
  <si>
    <t>DEM Party Icon</t>
  </si>
  <si>
    <t>DEM_icon.svg</t>
  </si>
  <si>
    <t>#0877C1 / #0F67B3 (blue donkey), #FDFDFD (white bg)</t>
  </si>
  <si>
    <t>29KB. Blue donkey silhouette with white stars. 648×648 viewBox. Used as radio button icon for Democrat identification.</t>
  </si>
  <si>
    <t>IND Label</t>
  </si>
  <si>
    <t>(text-based, no SVG)</t>
  </si>
  <si>
    <t>text_primary on neutral bg</t>
  </si>
  <si>
    <t>CUSTOM.PARTYID: qparty1</t>
  </si>
  <si>
    <t>Independent/Other option uses text "IND" in a circle, not an SVG icon. Rendered via CSS.</t>
  </si>
  <si>
    <t>Embedding notes:</t>
  </si>
  <si>
    <t>SVGs can be inlined in Decipher XML or referenced as external files. For Decipher, inline &lt;svg&gt; in custom HTML blocks is preferred — avoids external file dependencies. All three are path-based (no embedded fonts or raster images), so they render cleanly at any scale.</t>
  </si>
  <si>
    <t>PRISM glyph palette:</t>
  </si>
  <si>
    <t>#E8D9D0 (warm tan), #786A5A (earth mid), #605241 (earth dark), #2C261C (near-black), #877B65 (warm gray), #FEFEFC (off-white highlight)</t>
  </si>
  <si>
    <t>4. VARIABLE → COMPONENT MAPPING — Links Variable Map entries to their UI component</t>
  </si>
  <si>
    <t>Variable</t>
  </si>
  <si>
    <t>Component Style</t>
  </si>
  <si>
    <t>Page Group</t>
  </si>
  <si>
    <t>Artboard</t>
  </si>
  <si>
    <t>STYLE.HORIZONTAL.RADIO</t>
  </si>
  <si>
    <t>page.group.1</t>
  </si>
  <si>
    <t>p1</t>
  </si>
  <si>
    <t>STYLE.DIGITBOXES (5)</t>
  </si>
  <si>
    <t>STYLE.DIGITBOXES (2)</t>
  </si>
  <si>
    <t>CUSTOM.BALLOT</t>
  </si>
  <si>
    <t>CUSTOM.PARTYID</t>
  </si>
  <si>
    <t>qtrustvector</t>
  </si>
  <si>
    <t>STYLE.CARDSHUFFLE</t>
  </si>
  <si>
    <t>page.group.2.optional</t>
  </si>
  <si>
    <t>p2</t>
  </si>
  <si>
    <t>qvector2 (reform/justice/industry/freedom)</t>
  </si>
  <si>
    <t>STYLE.CARDSHUFFLE (matrix)</t>
  </si>
  <si>
    <t>qvector3 (leadership/markets)</t>
  </si>
  <si>
    <t>STYLE.7PTSEMANTIC</t>
  </si>
  <si>
    <t>MAXDIFF (Typing)</t>
  </si>
  <si>
    <t>page.group.3 / page.typing.maxdiff</t>
  </si>
  <si>
    <t>p9</t>
  </si>
  <si>
    <t>page.group.3 / TYPINGTOOL.MAXDIFF.GOP</t>
  </si>
  <si>
    <t>qvector4 (justice/industry)</t>
  </si>
  <si>
    <t>STYLE.CARDSHUFFLE (2-item matrix)</t>
  </si>
  <si>
    <t>page.group.4 / TYPINGTOOL.VECTORS.DEM</t>
  </si>
  <si>
    <t>STYLE.CHECKLIST</t>
  </si>
  <si>
    <t>page.inf360 / INFLUENCE360.SCREEN</t>
  </si>
  <si>
    <t>p8</t>
  </si>
  <si>
    <t>qinf360_eliteup/recruitup/orglat/medialat/down</t>
  </si>
  <si>
    <t>page.inf360.2 / INFLUENCE360.SCREEN2</t>
  </si>
  <si>
    <t>page.inf360.2</t>
  </si>
  <si>
    <t>STYLE.BUTTONSELECT (2×3)</t>
  </si>
  <si>
    <t>STYLE.BUTTON.CARD.SHUFFLE</t>
  </si>
  <si>
    <t>STYLE.RADIO.VERTICAL</t>
  </si>
  <si>
    <t>page.main.qnnaire</t>
  </si>
  <si>
    <t>p7</t>
  </si>
  <si>
    <t>STYLE.CHECKLIST.EXPAND</t>
  </si>
  <si>
    <t>STYLE.BUTTON.HORIZONTAL (4-5 pt)</t>
  </si>
  <si>
    <t>STYLE.RADIO.HORIZONTAL (7-pt)</t>
  </si>
  <si>
    <t>page.critics.ordera/orderb</t>
  </si>
  <si>
    <t>p6</t>
  </si>
  <si>
    <t>page.pretest</t>
  </si>
  <si>
    <t>STYLE.RANKSORT</t>
  </si>
  <si>
    <t>MAXDIFF (Message)</t>
  </si>
  <si>
    <t>page.typing.maxdiff (msg)</t>
  </si>
  <si>
    <t>p5</t>
  </si>
  <si>
    <t>Mirrors XX_PRE component types</t>
  </si>
  <si>
    <t>page.posttest</t>
  </si>
  <si>
    <t>qmob_1-5</t>
  </si>
  <si>
    <t>page.activation.mob</t>
  </si>
  <si>
    <t>p4</t>
  </si>
  <si>
    <t>adv_P1</t>
  </si>
  <si>
    <t>STYLE.BUTTON.HORIZONTAL (5-pt)</t>
  </si>
  <si>
    <t>adv_P2</t>
  </si>
  <si>
    <t>STYLE.RADIO.HORIZONTAL (5-pt)</t>
  </si>
  <si>
    <t>adv_P2n</t>
  </si>
  <si>
    <t>p3</t>
  </si>
  <si>
    <t>qmaha_aware</t>
  </si>
  <si>
    <t>page.group.x (demographics)</t>
  </si>
  <si>
    <t>p9/p3</t>
  </si>
  <si>
    <t>qmaha_percep</t>
  </si>
  <si>
    <t>page.group.x</t>
  </si>
  <si>
    <t>qmaha_impression</t>
  </si>
  <si>
    <t>qmaha_id</t>
  </si>
  <si>
    <t>STYLE.HORIZONTAL.RADIO (icon)</t>
  </si>
  <si>
    <t>p10</t>
  </si>
  <si>
    <t>vet</t>
  </si>
  <si>
    <t>union</t>
  </si>
  <si>
    <t>STYLE.BUTTONSELECT (3×3)</t>
  </si>
  <si>
    <t>rel</t>
  </si>
  <si>
    <t>Dropdown</t>
  </si>
  <si>
    <t>evangel</t>
  </si>
  <si>
    <t>page.optin</t>
  </si>
  <si>
    <t>p11</t>
  </si>
  <si>
    <t>optin_email</t>
  </si>
  <si>
    <t>Text input</t>
  </si>
  <si>
    <t>optin_phone</t>
  </si>
  <si>
    <t>optin_consent</t>
  </si>
  <si>
    <t>Checkbox (single)</t>
  </si>
  <si>
    <t>7</t>
  </si>
  <si>
    <t>5</t>
  </si>
  <si>
    <t>4</t>
  </si>
  <si>
    <t>CONFIG?</t>
  </si>
  <si>
    <t>page_group</t>
  </si>
  <si>
    <t>Question Text</t>
  </si>
  <si>
    <t>Instruction/Body Text</t>
  </si>
  <si>
    <t>Response Cats (columns)</t>
  </si>
  <si>
    <t>Items (rows)</t>
  </si>
  <si>
    <t>Component
(Canva)</t>
  </si>
  <si>
    <t>Decipher
Impl.</t>
  </si>
  <si>
    <t>Key Feature</t>
  </si>
  <si>
    <t>Status</t>
  </si>
  <si>
    <t>cond
(display)</t>
  </si>
  <si>
    <t>validation</t>
  </si>
  <si>
    <t>term
(terminate)</t>
  </si>
  <si>
    <t>shuffle</t>
  </si>
  <si>
    <t>noanswer</t>
  </si>
  <si>
    <t>recodes/new variables</t>
  </si>
  <si>
    <t>comp</t>
  </si>
  <si>
    <t>bibd_spec</t>
  </si>
  <si>
    <t>html_render</t>
  </si>
  <si>
    <t>Notes / Open Questions</t>
  </si>
  <si>
    <t>Typing Tool (PRISM segmentation model)</t>
  </si>
  <si>
    <t>ROI Algorithm</t>
  </si>
  <si>
    <t>Sample Router (DQMA)</t>
  </si>
  <si>
    <t>INTRODUCTIONS/HEADERS/TEXT ELEMENTS</t>
  </si>
  <si>
    <t xml:space="preserve">❌ </t>
  </si>
  <si>
    <t>intro_1</t>
  </si>
  <si>
    <t>Page 1</t>
  </si>
  <si>
    <t>Thanks for taking part. This survey helps us understand how people think about health care and public policy today. There are no right or wrong answers—we’re interested in your point of view. Let’s begin.</t>
  </si>
  <si>
    <t>intro</t>
  </si>
  <si>
    <t>??</t>
  </si>
  <si>
    <t>[NEXT] button text: 'READY, SET, GO!"</t>
  </si>
  <si>
    <t>NATIVE</t>
  </si>
  <si>
    <t>Required</t>
  </si>
  <si>
    <t>intro_optional</t>
  </si>
  <si>
    <t>Page 2 [OPTIONAL]</t>
  </si>
  <si>
    <t>In this section we’ll ask about a mix of political and social issues.  Some questions may feel personal, and some statements you may agree with strongly and others not so much. Always just go with your first, honest reaction.</t>
  </si>
  <si>
    <t>[NEXT] button text: 'LET'S GO!"</t>
  </si>
  <si>
    <t>intro_typing</t>
  </si>
  <si>
    <t>Page 3 &amp; Page 11</t>
  </si>
  <si>
    <t>In this section we’ll ask about a mix of political and social issues. Some questions may feel personal, and some statements you may agree with strongly and others not so much. Always just go with your first, honest reaction. 
You’ll see a series of cards, each with [four / five] statements. On each card, choose the one that sounds most like you and the one that sounds least like you.
Some statements may show up again—that’s intentional. There are no right or wrong answers. Go with the statement that feels most true—and most familiar—to you.</t>
  </si>
  <si>
    <t>Display gate: shown to ALL respondents before typing MaxDiff. No data collected.</t>
  </si>
  <si>
    <t>intro_inf360</t>
  </si>
  <si>
    <t>Page 22</t>
  </si>
  <si>
    <t>People shape decisions in different ways. The questions that follow help us understand how you tend to engage and where your influence shows up. At the end of the survey, we’ll share a snapshot of your influence profile.</t>
  </si>
  <si>
    <t xml:space="preserve">✅
</t>
  </si>
  <si>
    <t>Page 25</t>
  </si>
  <si>
    <t xml:space="preserve">Now, let’s focus on health coverage provided through the workplace.  Also known as “employer-sponsored insurance,” it is the dominant source of health insurance in the US, covering 185 millon Americans. </t>
  </si>
  <si>
    <t>CONFIG: Text body defined in prism_study_config.json → intro_text. Routed per study block assignment.</t>
  </si>
  <si>
    <t>intro_critics</t>
  </si>
  <si>
    <t>You’ll now see a handful of statements drawn from people who see this issue from a variety of perspectives. We’re interested in your honest reaction to how these arguments land with you.</t>
  </si>
  <si>
    <t>Display gate before CRITIC battery. No data collected, but signals start of PRE_ALIGN measurement zone.</t>
  </si>
  <si>
    <t>intro_maxdiff</t>
  </si>
  <si>
    <t>Display gate before MSG_MAXDIFF. No data collected. Signals transition between CRITIC (agreement) and MaxDiff (preference) modes.</t>
  </si>
  <si>
    <t>intro_posttest</t>
  </si>
  <si>
    <t>You may notice that a few of the next questions look familiar. After reviewing additional information and hearing various arguments, we’re interested in how your perspective has evolved--or not.</t>
  </si>
  <si>
    <t>Display gate before POST_ALIGN battery. Alerts respondent that items repeat from pre-test. No data collected.</t>
  </si>
  <si>
    <t>intro_ACTIVATION</t>
  </si>
  <si>
    <t>The following statements explore whether — and to what extent — you feel motivated to take action on this issue.</t>
  </si>
  <si>
    <t>Display gate before ADV_P1/P2/P2n. Signals start of ACTIVATION measurement zone.</t>
  </si>
  <si>
    <t>intro_SOURCES</t>
  </si>
  <si>
    <t>Before we conclude, we’d like to understand where you personally turn for information on this issue — and which sources you trust most.</t>
  </si>
  <si>
    <t>intro_demographics</t>
  </si>
  <si>
    <t>We promise this is the last stretch.  Just a few background questions so we can see how different walks of life connect with different ways of thinking</t>
  </si>
  <si>
    <t>intro_optin</t>
  </si>
  <si>
    <t>Thank you for sharing your views!
From time to time, we invite people who complete this survey to help further by reviewing information, joining a short briefing, or being offered an optional way to get involved on this issue. Participation is always voluntary.</t>
  </si>
  <si>
    <t>PRISM SCREENERS</t>
  </si>
  <si>
    <t>Are you registered to vote?</t>
  </si>
  <si>
    <t>YES (r1)
NO (r2)</t>
  </si>
  <si>
    <t>HORIZONTAL.RADIO</t>
  </si>
  <si>
    <t>&lt;radio&gt; + atmtable.6</t>
  </si>
  <si>
    <t>btn_css radius:50%</t>
  </si>
  <si>
    <t>TERM if value=2 (No)</t>
  </si>
  <si>
    <t>❌ Need atmtable.6</t>
  </si>
  <si>
    <t>2-3 options. System Outline Table 1 confirms TERMINATE on "No"</t>
  </si>
  <si>
    <t>SCREEN: qvote=r3 (not registered) → terminate per Routing rule. Panel screener.</t>
  </si>
  <si>
    <t>Please enter your 5-digit ZIP Code</t>
  </si>
  <si>
    <t>The Zip Code of your primary residence where you are registered to vote</t>
  </si>
  <si>
    <t>[OE]</t>
  </si>
  <si>
    <t>DIGITBOXES</t>
  </si>
  <si>
    <t>&lt;text&gt; + custom JS</t>
  </si>
  <si>
    <t>Auto-advance focus</t>
  </si>
  <si>
    <t>MINIMAL</t>
  </si>
  <si>
    <t>5-digit numeric; size="5"</t>
  </si>
  <si>
    <t>TERM if PNTA (writes 00000)</t>
  </si>
  <si>
    <t>r? (PNTA)</t>
  </si>
  <si>
    <t>links to file to match:
state 
division (Census 15 divisions)
region (Census 4 region)
congress (district:ST-00)
ruca (ruca urbanicity code:00.00)
houserep (house member:Rep. XX XX)
senator1 (senior senator:Sen. XX XX)
senator2 (junior senator :Sen. XX XX)</t>
  </si>
  <si>
    <t>❌ Need digitbox JS</t>
  </si>
  <si>
    <t>PNTA writes 00000. Needs custom JS for digit-box auto-advance</t>
  </si>
  <si>
    <t>SCREEN: Lookup → state, division, region, congress_dist. Used for geographic quota balancing and client reporting. Not consumed by DQMA algorithm but stored for weighting.</t>
  </si>
  <si>
    <t>What is your age?</t>
  </si>
  <si>
    <t>Tell us how old you are. (We won’t tell)</t>
  </si>
  <si>
    <t>Reuses ZIP pattern</t>
  </si>
  <si>
    <t>2-digit numeric; min=18 max=99; size="3"</t>
  </si>
  <si>
    <t>TERM if PNTA (writes 00)</t>
  </si>
  <si>
    <t>agecat (1=18-29, 2=30-44; 3=45-54; 4=55-64; 5=65+)</t>
  </si>
  <si>
    <t>PNTA writes 00. Reuses ZIP JS pattern</t>
  </si>
  <si>
    <t>SCREEN: qage &lt; 18 → terminate. agecat recode used for demographic quota balancing.</t>
  </si>
  <si>
    <t>Which of the following best describes your gender?</t>
  </si>
  <si>
    <t>MALE (r1)
FEMALE (r2)
OTHER (r3)</t>
  </si>
  <si>
    <t>Images in &lt;col&gt;</t>
  </si>
  <si>
    <t>TERM if PNTA</t>
  </si>
  <si>
    <t>r4 (PNTA)</t>
  </si>
  <si>
    <t>❌ Need atmtable.6 w/ images</t>
  </si>
  <si>
    <t>Male/Female/Other + PNTA. System Outline Table 4</t>
  </si>
  <si>
    <t>SCREEN: Used for demographic quota balancing. Study-specific requirements (e.g., PREG routes on gender + PR1).</t>
  </si>
  <si>
    <t>Who did you vote for in the latest (2024) Presidential election?</t>
  </si>
  <si>
    <t>Donald J Trump (R) (r1)
Kamala Harris (D) (r2)
Another Candidate (r3)
I didn’t have the chance to vote in this election (r4)</t>
  </si>
  <si>
    <t>row_dividers, custom btn_css</t>
  </si>
  <si>
    <t>CUSTOM</t>
  </si>
  <si>
    <t>TERM if "I did not have the chance to vote" or PTNA</t>
  </si>
  <si>
    <t>r5 (PNTA)</t>
  </si>
  <si>
    <t>❌ Need CUSTOM render</t>
  </si>
  <si>
    <t>Trump(R)→GOP model, Harris(D)→DEM model, Someone else→use PARTYID. Table 5</t>
  </si>
  <si>
    <t>MODEL ROUTING: q2024vote determines party model assignment.
r1 (Trump) → GOP model (maxdiff_gop, 10 segments)
r2 (Harris) → DEM model (maxdiff_dem, 6 segments)
r3/r4/r5 → routed by qparty1/qparty2/qparty3 fallback chain.</t>
  </si>
  <si>
    <t>DQMA receives segment_id (1–16) from typing tool. Does not directly consume vote variable, but segment implies party model.</t>
  </si>
  <si>
    <t>In politics today, do you consider yourself a…?</t>
  </si>
  <si>
    <t>Republican (r1)
Democrat (r2)
Independent/Other (r3)</t>
  </si>
  <si>
    <t xml:space="preserve">TERM if PNTA </t>
  </si>
  <si>
    <t>Republican/Democrat/Independent-Other/PNTA. Table 6</t>
  </si>
  <si>
    <t>MODEL ROUTING FALLBACK: For q2024vote ≠ r1,r2. qparty1=r1 (Republican) → GOP model. qparty1=r2 (Democrat) → DEM model. qparty1=r3 (Independent) → qparty3 lean.</t>
  </si>
  <si>
    <t>Would you say you are a strong or not-so-strong [R/D]?</t>
  </si>
  <si>
    <t xml:space="preserve">Strong (r1)
Not-so-strong (r2)
</t>
  </si>
  <si>
    <t>btn_css radius:30px</t>
  </si>
  <si>
    <t>QPARTY1=Republican OR Democrat</t>
  </si>
  <si>
    <t>❌ Need atmtable.6 pill</t>
  </si>
  <si>
    <t>Strong R (1), Not-so-strong R (2), Strong D (6), Not-so-strong D (7). Table 6</t>
  </si>
  <si>
    <t>Strength measure. Not used for model routing. Stored for analysis.</t>
  </si>
  <si>
    <t>Do you lean towards the Republican or Democratic Party?</t>
  </si>
  <si>
    <t>Republican (r1)
Democrat (r2)
I do not lean toward either party (r3)</t>
  </si>
  <si>
    <t>QPARTY1=Independent/Other</t>
  </si>
  <si>
    <t>qparty (1=Strong Republican; 2=Not-so-strong Republican; 3=Lean Republican; 4=Independent/Other; 5=Lean Democrat; 6=Not-so-strong Democrat; 7=Strong Democrat)</t>
  </si>
  <si>
    <t>conditional var:
IF (VOTE2024=TRUMP) AND (PARTY&lt;5) TYPING.MODEL=GOPMODEL;
 IF (VOTE2024=TRUMP) AND (PARTY&gt;4) TYPING.MODEL=GOPMODEL AND DEMMODEL; 
IF (VOTE2024=HARRIS) AND (PARTY&lt;4) TYPING.MODEL=GOPMODEL AND DEMMODEL; 
IF (VOTE2024=HARRIS) AND (PARTY&gt;3) TYPING.MODEL=DEMMODEL;
IF (VOTE2024=OTHER) AND (PARTY&gt;4) TYPING.MODEL= DEMMODEL;
 IF (VOTE2024=OTHER) AND (PARTY&lt;4) TYPING.MODEL= DEMMODEL;
 IF (VOTE2024=OTHER) AND (PARTY=3) TYPING.MODEL=GOPMODEL AND DEMMODEL</t>
  </si>
  <si>
    <t>Lean R (3), Neither (4)→TERM if VOTE24=3, Lean D (5). Table 6</t>
  </si>
  <si>
    <t>FINAL ROUTING FALLBACK: qparty3=r1 (lean R) → GOP model. qparty3=r2 (lean D) → DEM model. qparty3=r3 (no lean) → GOP model (default). Recode: qparty (1–7 scale) stored for analysis.</t>
  </si>
  <si>
    <t>II. PRISM VECTORS (Optional Battery)</t>
  </si>
  <si>
    <t>How much do you trust or distrust each of the following?</t>
  </si>
  <si>
    <t>Tap where your level of trust falls</t>
  </si>
  <si>
    <t>Distrust a great deal (c1)
(c2) 
(c3)
Neutral/Unsure (c4)
(c5) 
(c6) 
Trust a great deal (c7)</t>
  </si>
  <si>
    <t>CARDSHUFFLE</t>
  </si>
  <si>
    <t>col_legend_text anchors
1=Distrust…7=Trust</t>
  </si>
  <si>
    <t>Required per row</t>
  </si>
  <si>
    <t>rows</t>
  </si>
  <si>
    <t>✅ Have (as default grid)
❌ Need atmtable.6</t>
  </si>
  <si>
    <t>4 rows: Hospitals, HCPs, NIH, Pharma. 7-pt scale</t>
  </si>
  <si>
    <t>OPTIONAL INPUT: Trust items may feed typing tool as supplementary discriminant variables if included in study. Not part of core MaxDiff-based classification. Z-standardized against norms if used.</t>
  </si>
  <si>
    <t>Pharmaceutical companies</t>
  </si>
  <si>
    <t>vector_trust1 
VECTOR_TRUST=MEAN(vector_trust1, vector_trust2, vector_trust3)</t>
  </si>
  <si>
    <t>Hospitals</t>
  </si>
  <si>
    <t>vector_trust2
VECTOR_TRUST=MEAN(vector_trust1, vector_trust2, vector_trust3)</t>
  </si>
  <si>
    <t>Health care providers</t>
  </si>
  <si>
    <t>vector_trust3
VECTOR_TRUST=MEAN(vector_trust1, vector_trust2, vector_trust3)</t>
  </si>
  <si>
    <t>National Institutes of Health (NIH)</t>
  </si>
  <si>
    <t>vector_science1 
VECTOR_SCIENCE=MEAN(vector_science1, vector_science2)</t>
  </si>
  <si>
    <t>Academic research centers</t>
  </si>
  <si>
    <t>vector_science2 
VECTOR_SCIENCE=MEAN(vector_science1, vector_science2)</t>
  </si>
  <si>
    <t>qvector2</t>
  </si>
  <si>
    <t>Here are a few statements you may have heard before.</t>
  </si>
  <si>
    <t>Tell us how much you agree or disagree with each. Tap where you fall on each statement...</t>
  </si>
  <si>
    <t>Strongly Disagree (c1)
(c2) 
(c3)
Neutral/Unsure (c4)
(c5) 
(cr6) 
Strongly Agree (c7)</t>
  </si>
  <si>
    <t>7PTGRID.PROGRESSIVE</t>
  </si>
  <si>
    <t>col_legend_text anchors
1=Str Disagree…7=Str Agree</t>
  </si>
  <si>
    <t>NO SHUFFLE</t>
  </si>
  <si>
    <t>3 rows: Employer mandate, Medical liberty, Corp influence</t>
  </si>
  <si>
    <t>VECTOR BATTERY: 6 items on 7-pt agree/disagree scale. Items recode to named vectors used as supplementary typing inputs.</t>
  </si>
  <si>
    <t>qvector2.r1</t>
  </si>
  <si>
    <t>Health insurance should be provided through a single national health insurance system run by the government.</t>
  </si>
  <si>
    <t>vector_reform1
VECTOR_REFORM = MEAN(vector_reform1, vector_reform2, vector_reform3)</t>
  </si>
  <si>
    <t>Recode → vector_reform1. Averaged with r2, r3 → VECTOR_REFORM. Input to typing classifier z-standardization matrix.</t>
  </si>
  <si>
    <t>qvector2.r2</t>
  </si>
  <si>
    <t>The government should create a public insurance option to compete with private plans.</t>
  </si>
  <si>
    <t>vector_reform2
VECTOR_REFORM = MEAN(vector_reform1, vector_reform2, vector_reform3)</t>
  </si>
  <si>
    <t>Recode → vector_reform2. Component of VECTOR_REFORM = MEAN(reform1, reform2, reform3).</t>
  </si>
  <si>
    <t>qvector2.r3</t>
  </si>
  <si>
    <t xml:space="preserve"> Large employers should be required to provide health insurance to their workers.:</t>
  </si>
  <si>
    <t>vector_reform3
VECTOR_REFORM = MEAN(vector_reform1, vector_reform2, vector_reform3)</t>
  </si>
  <si>
    <t>Recode → vector_reform3. Component of VECTOR_REFORM = MEAN(reform1, reform2, reform3).</t>
  </si>
  <si>
    <t>qvector2.r4</t>
  </si>
  <si>
    <t>Big corporations have too much influence over public health policies.</t>
  </si>
  <si>
    <t>Recode → vector_industry. Standalone typing input. Z-standardized in Reduced Typing Tool col X: =(T-V)/W where V=μ=5.631, W=σ=1.021.</t>
  </si>
  <si>
    <t>qvector2.r5</t>
  </si>
  <si>
    <t>The federal government should invest extra funds in communities of color that have suffered historic health injustices, even if it means higher taxes</t>
  </si>
  <si>
    <t>Recode → vector_justice. Standalone typing input. Z-standardized in Reduced Typing Tool col X: =(T-V)/W where V=μ=5.009, W=σ=1.284.</t>
  </si>
  <si>
    <t>qvector2.r6</t>
  </si>
  <si>
    <t>Mandating any medical treatment violates personal liberty'</t>
  </si>
  <si>
    <t>Recode → vector_freedom. Standalone typing input. Z-standardized against stored μ/σ in Reduced Typing Tool.</t>
  </si>
  <si>
    <t>qvector3</t>
  </si>
  <si>
    <t>Which statement comes closer to your own point of view?</t>
  </si>
  <si>
    <t>col_legend_text anchors
+ HTML comment block for anchors</t>
  </si>
  <si>
    <t>✅ Have (as default radio)
❌ Need atmtable.6</t>
  </si>
  <si>
    <t>5-pt scale. Left: "Healthcare is a right…" Right: "Private market…"</t>
  </si>
  <si>
    <t>SEMANTIC DIFFERENTIAL BATTERY: 7-pt bipolar items. Each recodes to named vector for typing.</t>
  </si>
  <si>
    <t>qvector3.r1</t>
  </si>
  <si>
    <t>America is better off as a leader in the global economy &lt;-&gt;
We need to focus on America first</t>
  </si>
  <si>
    <t>Recode → vector_leadership. Z-standardized typing input. Global leader ←→ America first.</t>
  </si>
  <si>
    <t>qvector3.r2</t>
  </si>
  <si>
    <t>Healthcare is a basic right and government should be responsible for providing healthcare to all America --&gt; 
The private, free market healthcare system is better because it protects patient choice and access to higher quality care</t>
  </si>
  <si>
    <t>Recode → vector_markets. Z-standardized typing input. Healthcare as right ←→ free market.</t>
  </si>
  <si>
    <t>III. PRISM TYPING TOOL</t>
  </si>
  <si>
    <t>Pages 3-10</t>
  </si>
  <si>
    <t>From the set of short statements expressing different points of view about politics, culture and health.</t>
  </si>
  <si>
    <t>Select one statement that sounds MOST like your own point of view, and
the one statement that sounds LEAST like you</t>
  </si>
  <si>
    <t>MOST LIKE ME
LEAST LIKE ME</t>
  </si>
  <si>
    <t>MAXDIFF.DEM</t>
  </si>
  <si>
    <t>&lt;maxdiff&gt; module</t>
  </si>
  <si>
    <t>BIBD rotation</t>
  </si>
  <si>
    <t>Required: MOST + LEAST per set</t>
  </si>
  <si>
    <t>8 tasks × 4 items
BIBD design</t>
  </si>
  <si>
    <t>❌ Need &lt;maxdiff&gt; module HTML</t>
  </si>
  <si>
    <t>Custom card CSS. MOST/LEAST paired selection per set</t>
  </si>
  <si>
    <t>CORE INPUT: DEM classification MaxDiff. 8 items × 8 tasks × 4 items/task (BIBD). Produces HB utility scores per item → fed to nearest-centroid classifier in Reduced Typing Tool. ONLY administered if party model = DEM (q2024vote=r2, or qparty chain → DEM).</t>
  </si>
  <si>
    <t>maxdiff_dem_r1</t>
  </si>
  <si>
    <t>Tech and data can improve care, but only if we stop bias, protect privacy, and provide benefits fairly.</t>
  </si>
  <si>
    <t>HB UTILITY INPUT: r1 → rescaled utility → z-standardized → squared Euclidean distance to 6 DEM centroids (cols U–Z in Reduced Typing Tool). Tech equity → loads on Abundance (s=14).</t>
  </si>
  <si>
    <t>maxdiff_dem_r2</t>
  </si>
  <si>
    <t>I trust mainstream experts and prefer step-by-step fixes—strengthening the ACA, not ripping it up.</t>
  </si>
  <si>
    <t>HB UTILITY INPUT: r2 → rescaled utility → z-standardized → squared Euclidean distance to 6 DEM centroids (cols U–Z in Reduced Typing Tool). Mainstream experts/ACA → loads on Incrementalists (s=15).</t>
  </si>
  <si>
    <t>maxdiff_dem_r3</t>
  </si>
  <si>
    <t>Digital tools, AI, and start-ups can universalize care faster than big bureaucracies—let’s remove red tape.</t>
  </si>
  <si>
    <t>HB UTILITY INPUT: r3 → rescaled utility → z-standardized → squared Euclidean distance to 6 DEM centroids (cols U–Z in Reduced Typing Tool). Digital tools/startups → loads on Abundance (s=14).</t>
  </si>
  <si>
    <t>maxdiff_dem_r4</t>
  </si>
  <si>
    <t>Corporate greed hurts ordinary people. Government must crack down on prices, ads, and junk food.</t>
  </si>
  <si>
    <t>HB UTILITY INPUT: r4 → rescaled utility → z-standardized → squared Euclidean distance to 6 DEM centroids (cols U–Z in Reduced Typing Tool). Corporate greed/regulation → loads on Protectionists (s=13).</t>
  </si>
  <si>
    <t>maxdiff_dem_r5</t>
  </si>
  <si>
    <t>Healthcare is a human right. We need Medicare-for-All or something very close to it.</t>
  </si>
  <si>
    <t>HB UTILITY INPUT: r5 → rescaled utility → z-standardized → squared Euclidean distance to 6 DEM centroids (cols U–Z in Reduced Typing Tool). Medicare-for-All → loads on Idealists (s=11).</t>
  </si>
  <si>
    <t>maxdiff_dem_r6</t>
  </si>
  <si>
    <t>Unions fought for good coverage. Policy should protect employer benefits and bargaining power.</t>
  </si>
  <si>
    <t>HB UTILITY INPUT: r6 → rescaled utility → z-standardized → squared Euclidean distance to 6 DEM centroids (cols U–Z in Reduced Typing Tool). Union coverage → loads on Protectionists (s=13).</t>
  </si>
  <si>
    <t>maxdiff_dem_r7</t>
  </si>
  <si>
    <t>Racism and inequality drive poor health. Equity must be built into every health decision and budget.</t>
  </si>
  <si>
    <t>HB UTILITY INPUT: r7 → rescaled utility → z-standardized → squared Euclidean distance to 6 DEM centroids (cols U–Z in Reduced Typing Tool). Racism/equity → loads on Progressives (s=12).</t>
  </si>
  <si>
    <t>maxdiff_dem_r9</t>
  </si>
  <si>
    <t>My faith calls me to fight for the poor and for broader access—especially in under-served communities.</t>
  </si>
  <si>
    <t>HB UTILITY INPUT: r9 → rescaled utility → z-standardized → squared Euclidean distance to 6 DEM centroids (cols U–Z in Reduced Typing Tool). Faith/access → loads on Progressives (s=12).</t>
  </si>
  <si>
    <t>Pages 11-20</t>
  </si>
  <si>
    <t>MAXDIFF.GOP</t>
  </si>
  <si>
    <t>10 tasks × 5 items
BIBD design</t>
  </si>
  <si>
    <t>CORE INPUT: GOP classification MaxDiff. 12 items × 10 tasks × 5 items/task (BIBD). Produces HB utility scores per item → fed to nearest-centroid classifier in Reduced Typing Tool. ONLY administered if party model = GOP (q2024vote=r1, or qparty chain → GOP).</t>
  </si>
  <si>
    <t>maxdiff_gop_r1</t>
  </si>
  <si>
    <t>Government should stay small but defend marriage, family life, and personal responsibility.</t>
  </si>
  <si>
    <t>HB UTILITY INPUT: r1 → rescaled utility → z-standardized → squared Euclidean distance to 10 GOP centroids (cols U–AD in Reduced Typing Tool). Small govt/family → loads on Traditional Conservatives (s=3).</t>
  </si>
  <si>
    <t>Big pharma and big agribusiness can’t be trusted; local food and local control are healthier.</t>
  </si>
  <si>
    <t>HB UTILITY INPUT: r2 → rescaled utility → z-standardized → squared Euclidean distance to 10 GOP centroids (cols U–AD in Reduced Typing Tool). Pharma distrust/local → loads on Holistic Health Naturalists (s=2).</t>
  </si>
  <si>
    <t>maxdiff_gop_r4</t>
  </si>
  <si>
    <t>Small-town hospitals keep closing. Government must improve access to care for rural America.</t>
  </si>
  <si>
    <t>HB UTILITY INPUT: r4 → rescaled utility → z-standardized → squared Euclidean distance to 10 GOP centroids (cols U–AD in Reduced Typing Tool). Rural hospitals → loads on Price Populists (s=5).</t>
  </si>
  <si>
    <t>maxdiff_gop_r5</t>
  </si>
  <si>
    <t>Vaccines are unsafe, full stop. No one should be forced or pressured to take them.</t>
  </si>
  <si>
    <t>HB UTILITY INPUT: r5 → rescaled utility → z-standardized → squared Euclidean distance to 10 GOP centroids (cols U–AD in Reduced Typing Tool). Vaccine unsafe → loads on Vaccine Skeptics (s=8).</t>
  </si>
  <si>
    <t>maxdiff_gop_r7</t>
  </si>
  <si>
    <t>Modern medicine ignores the whole person. Natural and alternative therapies deserve equal respect and coverage.</t>
  </si>
  <si>
    <t>HB UTILITY INPUT: r7 → rescaled utility → z-standardized → squared Euclidean distance to 10 GOP centroids (cols U–AD in Reduced Typing Tool). Natural therapies → loads on Wellness Evangelists (s=6).</t>
  </si>
  <si>
    <t>maxdiff_gop_r8</t>
  </si>
  <si>
    <t>Clean, whole-food living—not pills—keeps us healthy. The system ignores it because there’s no profit in it.</t>
  </si>
  <si>
    <t>HB UTILITY INPUT: r8 → rescaled utility → z-standardized → squared Euclidean distance to 10 GOP centroids (cols U–AD in Reduced Typing Tool). Whole-food living → loads on Holistic Health Naturalists (s=2).</t>
  </si>
  <si>
    <t>maxdiff_gop_r9</t>
  </si>
  <si>
    <t>Human beings thrive on meat-heavy, low-carb diets. Government guidelines are junk science.</t>
  </si>
  <si>
    <t>HB UTILITY INPUT: r9 → rescaled utility → z-standardized → squared Euclidean distance to 10 GOP centroids (cols U–AD in Reduced Typing Tool). Meat/low-carb → loads on Paleo Freedom Fighters (s=4).</t>
  </si>
  <si>
    <t>maxdiff_gop_r10</t>
  </si>
  <si>
    <t>We must protect U.S. patients, workers, and supply chains first. Foreign competition and immigration come second.</t>
  </si>
  <si>
    <t>HB UTILITY INPUT: r10 → rescaled utility → z-standardized → squared Euclidean distance to 10 GOP centroids (cols U–AD in Reduced Typing Tool). America first/supply chains → loads on Price Populists (s=5).</t>
  </si>
  <si>
    <t>maxdiff_gop_r11</t>
  </si>
  <si>
    <t>Free markets work best, but I defer to FDA and CDC experts on safety and innovation.</t>
  </si>
  <si>
    <t>HB UTILITY INPUT: r11 → rescaled utility → z-standardized → squared Euclidean distance to 10 GOP centroids (cols U–AD in Reduced Typing Tool). Free markets + FDA/CDC → loads on Trust The Science Pragmatists (s=10).</t>
  </si>
  <si>
    <t>maxdiff_gop_r12</t>
  </si>
  <si>
    <t>Competition—private insurance, transparent prices, fewer rules—is the key to cheaper, better care.</t>
  </si>
  <si>
    <t>HB UTILITY INPUT: r12 → rescaled utility → z-standardized → squared Euclidean distance to 10 GOP centroids (cols U–AD in Reduced Typing Tool). Competition/transparency → loads on Consumer Empowerment Champions (s=1).</t>
  </si>
  <si>
    <t>qvector4</t>
  </si>
  <si>
    <t>Page 21</t>
  </si>
  <si>
    <t>Tell us how much you agree or disagree with these statements</t>
  </si>
  <si>
    <t>Tap where you fall on each statement...</t>
  </si>
  <si>
    <t>col_legend_text anchors</t>
  </si>
  <si>
    <t>DEM model path only</t>
  </si>
  <si>
    <t>POST-MAXDIFF VECTOR BATTERY: Supplementary items asked after MaxDiff. Recodes feed typing classifier alongside HB utilities.</t>
  </si>
  <si>
    <t>Recode → vector_justice. Fed to Reduced Typing Tool row 2: Z = (raw − 5.009) / 1.284. Squared distance to each centroid. Discriminates Progressives (s=12) from Incrementalists (s=15).</t>
  </si>
  <si>
    <t>Big corporations have too much influence over public health policies</t>
  </si>
  <si>
    <t>Recode → vector_industry. Fed to Reduced Typing Tool row 3: Z = (raw − 5.631) / 1.021. Squared distance to each centroid. Discriminates Protectionists (s=13) from Abundance (s=14).</t>
  </si>
  <si>
    <t>IV. STUDY SCREENERS (Completely Configurable w/ Quota Router) EXAMPLES SHOWN</t>
  </si>
  <si>
    <t>qins1</t>
  </si>
  <si>
    <t>Are you currently covered by any form of health insurance?</t>
  </si>
  <si>
    <t>A health plan would include any private insurance plan through your employer or a plan that you purchased yourself, as well as a government program, like Medicare or Medicaid.</t>
  </si>
  <si>
    <t>YES (r1)
NO (r2)
Not Sure (r3)</t>
  </si>
  <si>
    <t>Sets w_MA=0, w_ESI=0 if INS1=2 (uninsured)</t>
  </si>
  <si>
    <t>r3 (PNTA=99)</t>
  </si>
  <si>
    <t>Yes(insured)/No(uninsured)/PNTA. Table 8</t>
  </si>
  <si>
    <t>STUDY ROUTING: CONFIG in prism_study_config.json → screener_logic. Determines study eligibility. E.g., ESI requires qins1=r1 AND qins2=r1|r2.</t>
  </si>
  <si>
    <t>qins2</t>
  </si>
  <si>
    <t>What is the main type of health insurance coverage that you currently have</t>
  </si>
  <si>
    <t>Select the one that is your primary source of coverage</t>
  </si>
  <si>
    <t>1 A plan through my employer 
2 A plan through my spouse’s employer 
3 A plan through my parent’s employer 
4 A plan you purchased yourself directly from an insurance company  
5 A plan you purchased yourself from a state or federal marketplace  
6 Medicaid  
7 Medicare  [GO TO INS3] 
(r8) Other [Please Specify_________________] 
(r9) Not Sure</t>
  </si>
  <si>
    <t>BUTTONSELECT</t>
  </si>
  <si>
    <t>btn_css width:100%</t>
  </si>
  <si>
    <t>qins1=1 (insured)</t>
  </si>
  <si>
    <t>r9 (Not Sure)</t>
  </si>
  <si>
    <t>❌ Need atmtable.6 full-width</t>
  </si>
  <si>
    <t>8 opts + DK. Employer/Spouse/Parent/Individual/Marketplace/Medicaid/Medicare/Other. Table 9. INS2=7→INS3</t>
  </si>
  <si>
    <t>STUDY ROUTING: Insurance type → routes to ESI (employer-sponsored) or MA (Medicare Advantage) study blocks. Conditional on qins1=r1.</t>
  </si>
  <si>
    <t>qins3</t>
  </si>
  <si>
    <t xml:space="preserve"> Do you have traditional or original Medicare, or do you have a Medicare Advantage plan?  </t>
  </si>
  <si>
    <t xml:space="preserve">1 Traditional Medicare  
2 Medicare Advantage  
3 Both or neither 
99 Don’t Know/Not sure  </t>
  </si>
  <si>
    <t>qins=7 (Medicare)</t>
  </si>
  <si>
    <t>r5 (Not sure)</t>
  </si>
  <si>
    <t>Traditional/MA/Both-Neither/DK. Table 10</t>
  </si>
  <si>
    <t>STUDY ROUTING: Medicare type → routes to MA study block if qins2=r5 AND qins3=r2. Traditional Medicare excluded.</t>
  </si>
  <si>
    <t>PR1</t>
  </si>
  <si>
    <t>Which of the following describes you today?</t>
  </si>
  <si>
    <t xml:space="preserve">(r1) My partner or I am currently pregnant 
(r2) My partner or I are planning a pregnancy in the next 12 months 
(r3) I am a parent or guardian of a child under age 2 
(r4) None of the above 
</t>
  </si>
  <si>
    <t>VERTICAL.RADIO</t>
  </si>
  <si>
    <t>r5 (PNTA=99)</t>
  </si>
  <si>
    <t>Pregnant/Planning/Parent&lt;2/None/PNTA. Table 11</t>
  </si>
  <si>
    <t>STUDY ROUTING: Pregnancy status → routes to PREG study block. PR1=r1|r2 qualifies. Combined with gender screen.</t>
  </si>
  <si>
    <t>V. INFLUENCE360</t>
  </si>
  <si>
    <t>Page 23</t>
  </si>
  <si>
    <t>How have you made your voice heard?</t>
  </si>
  <si>
    <t>Select all that apply. At the end, you'll see your Influence Compass.</t>
  </si>
  <si>
    <t>(r1) I've worked inside government, held office, or staffed those who do
(r2) I've helped decide who runs for office or who gets hired in political or government roles
(r3) I advise organizations, sit on boards, or have testified on policy matters
(r4) I've written, spoken publicly, or published on issues
(r5) I've organized people, worked campaigns, or rallied others to action
(r6) I vote, follow current events, and stay involved in my community</t>
  </si>
  <si>
    <t>CHECKLIST</t>
  </si>
  <si>
    <t>&lt;checkbox&gt; + atmtable.6</t>
  </si>
  <si>
    <t>Multi-select buttons</t>
  </si>
  <si>
    <t>qinf360.r1</t>
  </si>
  <si>
    <t>r7 (None=exclusive)</t>
  </si>
  <si>
    <t>✅ Have (as default checkbox)
❌ Need atmtable.6</t>
  </si>
  <si>
    <t>6 items: Elite/Recruit/Org/Media/Mobilize/Citizen + None. Each routes to INF2_x. Table 14</t>
  </si>
  <si>
    <t>ACTIVATION GATEWAY: Multi-select checklist. Each checked item routes to follow-up grid (eliteup, recruitup, orglat, medialat, down). Checked items → L2/L3 flag potential.</t>
  </si>
  <si>
    <t>Page 24</t>
  </si>
  <si>
    <t>Which of these have you done?</t>
  </si>
  <si>
    <t xml:space="preserve">(r1) Held elected office
(r2) Been a paid staffer or advisor to an elected official or gov’t agency
(r3) Held an elected or appointed role in a party committee
(r4) Contacted an elected official or their staff </t>
  </si>
  <si>
    <t>qinf360.r2</t>
  </si>
  <si>
    <t>❌ Need atmtable.6 checkbox</t>
  </si>
  <si>
    <t>5 sub-batteries, 2-4 items each. Conditional on parent INF_types selection. Tables 14 rows 8-31+</t>
  </si>
  <si>
    <t>BCS INPUT → L2 + L3 flags.
r1 (held office) → L3=1
r2 (staffer/advisor) → L3=1
r3 (appointed position) → L3=1
r4 (testified/advisory board) → L2=1
BCS formula: L2 wt=0.45, L3 wt=0.30.
BCS_CONTR = BCS × 15 → ACTIVATION (0–15 pts).</t>
  </si>
  <si>
    <t>(r1) Helped recruit a candidate to run for public office
(r2) Helped recruit staff for a political campaign, office of an elected official, or other political appointee</t>
  </si>
  <si>
    <t>qinf360.r3</t>
  </si>
  <si>
    <t>BCS INPUT → L3 flags.
r1 (recruited candidate) → L3=1
r2 (recruited staff) → L3=1
L3 weight in BCS = 0.30.</t>
  </si>
  <si>
    <t>(r1) Met (in person or video) with congressional, agency, or state legislative staff 
(r2) Sat on the board or executive committee of any health, policy, or business association?
(r3) Worked with or advised a Washington-based organization (think tank, patient advocacy group, trade association)
(r4) Testified or submitted written comments to a state legislative or Congressional committee</t>
  </si>
  <si>
    <t>qinf360.r4</t>
  </si>
  <si>
    <t>BCS INPUT → L2 + L3 flags.
r1 (met with staff) → L2=1
r2 (advisory/board) → L3=1
r3 (authored op-ed) → L3=1
r4 (organized event) → L3=1</t>
  </si>
  <si>
    <t>(r1) Spoke at a public meeting, podcast, webinar, church or civic group on a health topic
(r2) Wrote an article, blog post, Substack, or op-ed on an issue</t>
  </si>
  <si>
    <t>qinf360.r5</t>
  </si>
  <si>
    <t>BCS INPUT → L3 flags.
r1 (spoke publicly) → L3=1
r2 (wrote op-ed/letter) → L3=1</t>
  </si>
  <si>
    <t>(r1) Volunteered on a political campaign
(r2) Organized an event or rally on any issue</t>
  </si>
  <si>
    <t>qinf360.r6</t>
  </si>
  <si>
    <t>BCS INPUT → L2 + L3.
r1 (volunteered on campaign) → L2=1
r2 (organized event/rally) → L3=1</t>
  </si>
  <si>
    <t>In the past 12 months, have you taken any of the following actions related to a public policy issue?</t>
  </si>
  <si>
    <t>(r1) Signed a petition
(r2) Attended a meeting
(r3) Donated money</t>
  </si>
  <si>
    <t>r4 (None=exclusive)</t>
  </si>
  <si>
    <t>BCS INPUT → L1 flag.
r1 (petition) → L1=1
r2 (meeting) → L1=1
r3 (donated) → L1=1
L1 weight in BCS = 0.15.
DATA GAP: Only in AL/VAX/VICP.</t>
  </si>
  <si>
    <t xml:space="preserve">Across all your public social-media accounts about how many followers or subscribers do you have in total? </t>
  </si>
  <si>
    <t>Including from X/Twitter, Instagram, TikTok, Facebook pages, Substack, podcast, YouTube, etc.</t>
  </si>
  <si>
    <t>0 None
&lt;500
500-2,000
2,000-10,000
10,000-50,000
50,000 +</t>
  </si>
  <si>
    <t>STYLE.BUTTONSELECT</t>
  </si>
  <si>
    <t>r7 (PNTA)</t>
  </si>
  <si>
    <t>VALIDATION: Not in BCS formula. Used for OverclaimFlag — if followers=0 but SOCIALINF reports high activity → flag. Also REACH_wgt for client reporting.</t>
  </si>
  <si>
    <t>How many times over the past 30 days have you…</t>
  </si>
  <si>
    <t>Across any social media platform you use (Facebook, X, LinkedIn, TikTok, or others), Approximately how many times have you done any of the following to advocate on a public policy issue?</t>
  </si>
  <si>
    <t>(c1) Never [VALUE=0]
(c2) Not in the past 30 days [VALUE=0]
(c3) One time [VALUE=1]
(c4) 2-4 times [VALUE=3]
(c5) 5 or more times [VALUE=6]</t>
  </si>
  <si>
    <t>(r1) Shared or reposted content
(r2) Commented or replied on posts 
(r3) Created an original post or video 
(r4) For quality control purposes, select the "One time" response option</t>
  </si>
  <si>
    <t>STYLE.BUTTON.CARDSHUFFLE.</t>
  </si>
  <si>
    <t>Multi-row, row_dividers</t>
  </si>
  <si>
    <t>Required per row; 
qsocialinfluence.r4=attentionflag</t>
  </si>
  <si>
    <t>BCS INPUT → L0 (social amplification).
Recode: 1→0, 2→0, 3→1, 5→3, 7→6.
L0 = sum(recoded r1,r2,r3)/18, cap 1.0. L0 wt=0.10.
r4 = attention trap → OverclaimFlag.
Any r=7 → ARS boost eligible (×1.15).
DATA GAP: Only in AL/VAX/VICP.</t>
  </si>
  <si>
    <t>MAIN QUESTIONNAIRE-CONFIGURABLE (Per Study Block: CONFIGURE AROUND SEVERAL QUESTION TYPES)</t>
  </si>
  <si>
    <t>Page 25-30</t>
  </si>
  <si>
    <t>Have you heard or seen anything recently about companies committing to significant investments—such as new factories, major expansions, or large job-creation projects—here in the United States?</t>
  </si>
  <si>
    <t>(r1) Yes, I’ve heard a lot about this recently
(r2) Yes, I’ve heard a little about this recently
(r3) Yes,but I don’t recall any details or specific companies
(r4) No, I haven’t heard anything about this recently</t>
  </si>
  <si>
    <t>col_legend_text</t>
  </si>
  <si>
    <t>config</t>
  </si>
  <si>
    <t>❌ Need atmtable.6 w/ anchors</t>
  </si>
  <si>
    <t>7-pt: Never heard…Know a great deal. Table 23. XX = study prefix</t>
  </si>
  <si>
    <t>CONTEXT: Awareness level. Not in ROI formula. Moderates PERSUASION interpretation (high-awareness movers vs low-awareness movers).</t>
  </si>
  <si>
    <t>CONFIG: prism_study_config.json → awareness_block. Routed per study block.</t>
  </si>
  <si>
    <t>Which of the following ways of receiving information would be most helpful to you?</t>
  </si>
  <si>
    <t>Select all the categories and specific items that apply to you.</t>
  </si>
  <si>
    <t>Health Care Professional
(r1)Child’s pediatrician
(r2)OB/GYN or midwife
(r3)Pharmacist
(r4)Nurses or staff at your child’s pediatric practice
Health Facility
(r5)Children’s hospitals or pediatric medical centers
(r6)Alternative or holistic pediatric providers
(r7) Health plan/insurer
Government
Federal government agencies
State or local public health departments
School or daycare staff
American Academy of Pediatrics (AAP)
Parenting websites, apps or blogs
Universities and academic research institutes
Friends or neighbors
Family members
Other parents (online or in person)
Parenting influencers/bloggers you trust
My partner / spouse</t>
  </si>
  <si>
    <t>Expandable list</t>
  </si>
  <si>
    <t>CONTEXT: Information channel preferences. Not in ROI formula. Channel strategy per segment in client deliverables.</t>
  </si>
  <si>
    <t>CONFIG: prism_study_config.json → info_channels. Routed per study block.</t>
  </si>
  <si>
    <t>XX_ISSUEVIEW</t>
  </si>
  <si>
    <t>Now, let’s focus on Medicare Advantage, the private-plan option within Medicare chosen by more than 35 million seniors and people with disabilities. These plans are offered by private insurance companies approved by the federal government and provide an alternative to “traditional” Medicare.  Overall, how well do you think Medicare Advntage works for seniors compared to traditional Medicare?</t>
  </si>
  <si>
    <t>Very poorly (c1)
(c2) 
Neutral/Unsure (c3)
(cr4) 
Very well (c5)</t>
  </si>
  <si>
    <t>STYLE.RADIO.HORIZONTAL</t>
  </si>
  <si>
    <t>Round radio buttons with gradient color coding</t>
  </si>
  <si>
    <t>CONTEXT: Issue framing/orientation. Not in ROI formula. Baseline perception before exposure.</t>
  </si>
  <si>
    <t>CONFIG: Text per study. Routed per study block.</t>
  </si>
  <si>
    <t xml:space="preserve">How effective do you believe GLP-1 medications are for weight loss or improving health? </t>
  </si>
  <si>
    <t>(r1) Not at all effective
(r2) Not very effective
(r3) Moderately effective
(r4) Very effective
(r5) Extremely effectives
(r6) Not Sure</t>
  </si>
  <si>
    <t>STYLE.BUTTON.HORIZONTAL</t>
  </si>
  <si>
    <t>Rectangular buttons with no color highlighting</t>
  </si>
  <si>
    <t>CONTEXT: Issue-specific attitudes. May feed PRE_ALIGN if in config → pre_items[]. Otherwise standalone for cross-tab.</t>
  </si>
  <si>
    <t>CONFIG: prism_study_config.json → issue_items. Routed per study block.</t>
  </si>
  <si>
    <t>Rate your overall impressions of each of the following…</t>
  </si>
  <si>
    <t>Very Unfavorable (c1)
(c2) 
(c3)
Neutral/Unsure (c4)
(c5) 
(cr6) 
Very Favorable (c7)</t>
  </si>
  <si>
    <t>(r1) Biopharmaceutical companies
(r2) Health insurance companies 
(r3) Hospitals
(r4) Pediatricians
(r5) American Academy of Pediatrics (AAP)
(r6) Family Physicians
(r7) American Academy of Family Physicians (AAFP)
(r8) Medical scientists
(r9) Infectious Diseases Society of America (IDSA)
(r10) Automobile manufacturers
(r11) Oil and gas companie
(r12) NIH (National Institutes of Health)
(r13) CDC (Centers for Disease Control)
(r14) FDA (Food and Drug Administration)</t>
  </si>
  <si>
    <t>7-pt scale. Table 24. Analyst configures wording</t>
  </si>
  <si>
    <t>CONTEXT: Entity impressions (7-pt). Not in ROI formula directly. Segment-profiles trust in pharma, hospitals, CDC, etc. Analyst may list items in pre_items[] if relevant.</t>
  </si>
  <si>
    <t>CONFIG: prism_study_config.json → impressions_entities. Row shuffle=ON. Routed per study block.</t>
  </si>
  <si>
    <t>CRITICS (partially configurable)</t>
  </si>
  <si>
    <t>SECTION: Critic belief battery. Agreement with anti-[topic] arguments. Pre- AND post-exposure. Movement is secondary persuasion indicator.</t>
  </si>
  <si>
    <t xml:space="preserve">❌  / ✅
</t>
  </si>
  <si>
    <t>CRITIC_1-17</t>
  </si>
  <si>
    <t>Here are some things you may have heard about [XXXX]. For each statement, indicate how much you agree or disagree.</t>
  </si>
  <si>
    <t>xxx</t>
  </si>
  <si>
    <t xml:space="preserve">Card rating multi question type </t>
  </si>
  <si>
    <t>none</t>
  </si>
  <si>
    <t>❌ Need atmtable.6 multi-row</t>
  </si>
  <si>
    <t>15 rows × 7-pt. ALWAYS rotated before AND after message battery. Table 25. Block A/B rotation</t>
  </si>
  <si>
    <t>PRE_ALIGN INPUT (conditional): If in config → pre_items[], critics feed PRE_ALIGN mean. 15 items × 7-pt agree/disagree. REVERSE-CODED: 8 − raw (higher critic agreement = lower alignment). Block A/B rotation: half see critics before MaxDiff, half after. Block stored as covariate. Same items re-measured as XX_POST.</t>
  </si>
  <si>
    <t>Block A/B rotation via Decipher marker (50/50). Not quota-managed by DQMA.</t>
  </si>
  <si>
    <t>r1</t>
  </si>
  <si>
    <t>The childhood vaccine schedule gives babies too many vaccines at too young an age.</t>
  </si>
  <si>
    <t>r2</t>
  </si>
  <si>
    <t>The childhood vaccine schedule gives babies too many vaccines at the same time.</t>
  </si>
  <si>
    <t>r3</t>
  </si>
  <si>
    <t>The childhood vaccine schedule includes vaccines for too many diseases that no longer feel like serious risks.</t>
  </si>
  <si>
    <t>r4</t>
  </si>
  <si>
    <t>Because babies are still developing, it feels riskier to vaccinate them very early in life.</t>
  </si>
  <si>
    <t>r5</t>
  </si>
  <si>
    <t>Spacing out vaccines feels like a safer and more cautious approach than following the standard schedule</t>
  </si>
  <si>
    <t>r6</t>
  </si>
  <si>
    <t>Compared with previous generations, children today receive more vaccines, and it’s hard to be fully confident about long-term effects.</t>
  </si>
  <si>
    <t>r7</t>
  </si>
  <si>
    <t>Some newer vaccines have not been around long enough to be certain about their long-term risks.</t>
  </si>
  <si>
    <t>r8</t>
  </si>
  <si>
    <t>We don’t have enough research on how multiple vaccines interact when given as part of the routine schedule.</t>
  </si>
  <si>
    <t>r10</t>
  </si>
  <si>
    <t>I’m still concerned vaccines could be linked to autism or other developmental or long-term health problems</t>
  </si>
  <si>
    <t>r11</t>
  </si>
  <si>
    <t>Some vaccine ingredients feel unnatural or unhealthy, especially when they add up over time</t>
  </si>
  <si>
    <t>r12</t>
  </si>
  <si>
    <t>Ingredients like aluminum in vaccines worry me</t>
  </si>
  <si>
    <t>r13</t>
  </si>
  <si>
    <t>Most vaccine-preventable diseases are so rare now that some vaccines don’t feel necessary</t>
  </si>
  <si>
    <t>r14</t>
  </si>
  <si>
    <t>If a child is raised in a low-risk environment, many vaccines feel optional</t>
  </si>
  <si>
    <t>r15</t>
  </si>
  <si>
    <t>A healthy lifestyle provides enough protection that some vaccines may not be needed</t>
  </si>
  <si>
    <t>r16</t>
  </si>
  <si>
    <t>Vaccines during pregnancy could put the baby at risk, so it feels safer to avoid them unless absolutely necessary</t>
  </si>
  <si>
    <t>r17</t>
  </si>
  <si>
    <t>Vaccines during pregnancy feel newer and not studied enough to be confident about long-term effects</t>
  </si>
  <si>
    <t>PRE-TEST (partialy configurable) Examples of Question Types</t>
  </si>
  <si>
    <t>XX_PRE</t>
  </si>
  <si>
    <t>How much do you agree or disagree..</t>
  </si>
  <si>
    <t>Tap where your opinion on the statement registers</t>
  </si>
  <si>
    <t xml:space="preserve">(r1)	Overall, the U.S. vaccine safety system operates in a fair and responsible way
(r2)	Decisions about vaccine safety and compensation are made using fair and transparent processes.
(r3)	We should protect the VICP because it is better to have a no-fault compensation program rather than encouraging more lawsuits against vaccine manufacturers.
</t>
  </si>
  <si>
    <t>STYLE.CARDSHUFFLE.</t>
  </si>
  <si>
    <t>col_legend_text
Semantic diff + 7-pt</t>
  </si>
  <si>
    <t>Routed per study block</t>
  </si>
  <si>
    <t>❌ Need atmtable.6 semantic</t>
  </si>
  <si>
    <t>Analyst configures. Types: 7-pt Support/Oppose + Semantic diff (Strongly A…Strongly B). Tables 28-31</t>
  </si>
  <si>
    <t>PRE_ALIGN INPUT: Core alignment items pre-exposure. 7-pt agree/disagree. Config → pre_items[] with reverse-code flags per item. PRE_ALIGN = mean(items after reverse-coding). Ex: VICP_PREr1–r3.</t>
  </si>
  <si>
    <t>CONFIG: prism_study_config.json → pre_items[]. Routed per study block.</t>
  </si>
  <si>
    <t>(c1) Keep a no-fault vaccine injury compensation program as the primary route
(c2) Make it easier to sue vaccine manufacturers directly in civil court</t>
  </si>
  <si>
    <t>PRE_ALIGN INPUT: 7-pt semantic differential (A ←→ B). Feeds PRE_ALIGN if in pre_items[]. Analyst sets aligned pole.</t>
  </si>
  <si>
    <t>CONFIG: prism_study_config.json. Routed per study block.</t>
  </si>
  <si>
    <t xml:space="preserve">Which of the following industries is most important for America to be a global leader? </t>
  </si>
  <si>
    <t>Rank these industries in order of importance by dragging and sorting.</t>
  </si>
  <si>
    <t>1	Oil &amp; Gas
2	Automotive Manufacturing
3	Artificial Intelligence / Tech
4	Biopharmaceuticals
5	Aerospace</t>
  </si>
  <si>
    <t>PRE_ALIGN INPUT (composite): Rank ordering → normalized alignment score. Ex: AL study rank of "Biopharmaceuticals" among 5 industries. Composite pre-computed per ROI Algorithm → Battery Config.</t>
  </si>
  <si>
    <t>MESSAGE MAXDIFF</t>
  </si>
  <si>
    <t>From the set of short statements on this issue, pick the most and least compelling to you.</t>
  </si>
  <si>
    <t>Select one statement that sounds MOST compelling to you , and
 the one statement that sounds LEAST compelling</t>
  </si>
  <si>
    <t>MOST COMPELLING - LEAST COMPELLING</t>
  </si>
  <si>
    <t>MAXDIFF</t>
  </si>
  <si>
    <t>BIBD design</t>
  </si>
  <si>
    <t>BIBD — analyst
configures per study</t>
  </si>
  <si>
    <t>NOTE: Optional configuration of split sampling to test "message variants," including separate variants of each core message for every segment.Note example in worksheet "</t>
  </si>
  <si>
    <t>DEPENDENCY: XSEG_ASSIGNED must be computed BEFORE this page. Decipher &lt;exec&gt;: segment = p.XSEG_ASSIGNED. The &lt;pipe&gt; uses &lt;case cond="segment==N"&gt; per item to select persona-variant text.
Execution order: Typing Tool → XSEG_ASSIGNED → exec → MSG_MAXDIFF.
See AL MaxDiff Variants Example sheet for full XML pattern.</t>
  </si>
  <si>
    <t>MESSAGE EXPOSURE: The persuasion treatment. MaxDiff (most/least compelling). Does not directly enter ROI formula — ROI measures shift on XX_PRE→XX_POST caused by this exposure.
SPLIT DESIGN: SPLIT_1=persona variant (segment-tailored text); SPLIT_2=control (generic text). split_marker stored as covariate.
VARIABLE NAMING: {STUDY}_{item#} for control; {STUDY}_{item#}_{segment#} for variant. Both pooled at item level for HB utility estimation.
Variant lift = mean(ROI|SPLIT_1) − mean(ROI|SPLIT_2) per segment.</t>
  </si>
  <si>
    <t>ROUTING: In study block after XX_PRE/CRITICS, before XX_POST. Split randomization via Decipher marker (default 50/50, config → split_ratio). DQMA does NOT differentiate quotas by split.
CONFIG: prism_study_config.json → message_maxdiff: {n_items, items_per_task, n_tasks, bibd_design, split_ratio, control_text[], variant_text[16][]}</t>
  </si>
  <si>
    <t># ITEMS:</t>
  </si>
  <si>
    <t xml:space="preserve">min:10 / max:20 </t>
  </si>
  <si>
    <t>Investing in U.S. medicine manufacturing is part of America doing big things again, leading the world in the industries that matter most.</t>
  </si>
  <si>
    <t>https://1drv.ms/x/c/e2777c86b94f1aa8/IQAaju0jmbrzRrLuI-xO2AVIAe8OcJeSUyCbiEov6JxTDV4?e=Rn2nFx&amp;nav=MTVfezA0QkEwQ0UyLTgxNEUtNDE3NS1BQkYyLTAwN0IzOENGNEM1NX0</t>
  </si>
  <si>
    <t>MSG_MAXDIFF item. See row 109.</t>
  </si>
  <si>
    <t># TASKS:</t>
  </si>
  <si>
    <t>min: 6 / max: 15</t>
  </si>
  <si>
    <t>America must invent and make critical medicines at home; depending too much on foreign countries leaves us vulnerable in crises, conflicts, or trade disputes.</t>
  </si>
  <si>
    <t># ITEMS/TASK:</t>
  </si>
  <si>
    <t>min: 4 / max: 5</t>
  </si>
  <si>
    <t>China is rapidly expanding its ability to develop and manufacture new medicines, and the U.S. risks falling behind a strategic competitor in a vital industry.</t>
  </si>
  <si>
    <t>PERSONA VARIANTS</t>
  </si>
  <si>
    <t>Every respondent in BLOCK A randomly assigned to SPLIT_1 or SPLIT_2. If assigned SPLIT_2 (CONTROL) , then core messages AL_1 - AL_11 are populated (regardless of segment) If assigned SPLIT_1 (PERSONA VARIANT), then item is populated by cell corresponding to respondent's segment, Utilities are calculated at the "item" level, not the split level: e.g. AL_9 (item 9 in the control sample) and AL_9_10 (the message variant for item 9 asked of segment 10-Trust-the-Science Pragmatists) are analyzed together.</t>
  </si>
  <si>
    <t>America leads the world in developing and manufacturing new medicines, but leadership can shift quickly. Europe once led this industry and lost ground, and China is now racing to take the lead. The U.S. must treat this as a national priority to stay ahead</t>
  </si>
  <si>
    <t>VARIANT</t>
  </si>
  <si>
    <t>Inventing and making new medicines here adds hundreds of billions to the U.S. economy—not just through corporate jobs, but through construction, housing, and the businesses that support it.</t>
  </si>
  <si>
    <t>Making medicines in America creates good-paying jobs, supports small businesses, and helps transform local communities into vibrant places to live and work—the next generation of American opportunity.</t>
  </si>
  <si>
    <t>The U.S. biopharmaceutical industry is as important to American manufacturing as autos and aerospace—a high-tech sector that produces just as many high-paying, high-skill jobs across the country.</t>
  </si>
  <si>
    <t>Research in American universities—in every state—drives new discoveries, creates thousands of biotech start-ups, and trains the next generation of scientists.</t>
  </si>
  <si>
    <t>r9</t>
  </si>
  <si>
    <t>Medicines are a form of advanced, high-tech manufacturing that America must prioritize if it wants to remain a competitive, innovation-driven economy.</t>
  </si>
  <si>
    <t>When medicines are made in America, U.S. patients are more likely to get early and reliable access to the newest treatments and cures.</t>
  </si>
  <si>
    <t xml:space="preserve"> Medicines will always be a major global industry, and policymakers should ensure that the jobs, investment, and economic benefits stay in the United States.</t>
  </si>
  <si>
    <t>POST-TEST (identical to pre-test and non-configurable)</t>
  </si>
  <si>
    <t>XX_POST</t>
  </si>
  <si>
    <t>POST_ALIGN INPUT: IDENTICAL items to XX_PRE (row 105), re-measured post-exposure. POST_ALIGN = mean(items after reverse-coding). ALIGN_MOVE = POST_ALIGN − PRE_ALIGN → PERSUASION = min(1, max(0, ALIGN_MOVE/0.8)) × 40.
POST_ALIGN also → COALITION: DEST_WGT = POST_ALIGN/7; COALITION_CAT thresholds (≥6.0 Champion, ≥5.0 Supporter, ≥3.0 Converter, &lt;3.0 Rejector). COALITION = (0.60×COAL_NORM + 0.40×DEST_WGT)×30.</t>
  </si>
  <si>
    <t>CONFIG: Must mirror XX_PRE exactly. prism_study_config.json → post_items[].</t>
  </si>
  <si>
    <t>POST_ALIGN INPUT: Mirrors row 106 semantic differential. Delta feeds PERSUASION.</t>
  </si>
  <si>
    <t>CONFIG: Mirrors XX_PRE row 106.</t>
  </si>
  <si>
    <t>POST_ALIGN INPUT: Mirrors row 107 rank sort. Rank shift → composite alignment delta.</t>
  </si>
  <si>
    <t>CONFIG: Mirrors XX_PRE row 107.</t>
  </si>
  <si>
    <t>MOBILIZATION-ACTIVATION</t>
  </si>
  <si>
    <t>qmob_1-5 [OPTIONAL]</t>
  </si>
  <si>
    <t xml:space="preserve">The following statements explore how you feel about taking action on this issue. For each one, please indicate how much you agree or disagree.
</t>
  </si>
  <si>
    <t xml:space="preserve">(r1) Working with others, people like me can have an impact on [influencing policymakers to support U.S. leadership in biopharmaceutical innovation and manufacturing]
(r2) I know what steps to take to make my voice heard on issues like [XXX].
(r3) This issue raises important questions of right and wrong for me personally.
(r4) It worries me to think about how [decisions made today could affect the future of health care and America’s standing in the world].
(r5) If I asked, many of my friends or colleagues would be willing to join me in supporting [stronger protections for U.S. medicine manufacturing and innovation].
</t>
  </si>
  <si>
    <t>NO</t>
  </si>
  <si>
    <t>5 items: CE/FC/MC/ER/PD. 7-pt scale</t>
  </si>
  <si>
    <t>OPTIONAL: Mobilization attitude items. Not in v3.1.1 ROI formula. Used for reporting + covariates in SPSS ACTPROB model.</t>
  </si>
  <si>
    <t>Thinking about the next 30 days, how likely are you to take any action related to calling on policymakers to strengthen U.S. leadership in biopharmaceutical innovation and manufacturing?</t>
  </si>
  <si>
    <t>For example, sharing social media content, signing something, contacting someone, or attending a meeting</t>
  </si>
  <si>
    <t xml:space="preserve">r1	Definitely would not
r2	Probably would not
r3         Maybe or maybe not
r4	Probably would
r5	Definitely would
</t>
  </si>
  <si>
    <t>r6 (PNTA)</t>
  </si>
  <si>
    <t>Def not/Prob not/Prob would/Def would/Not sure. Table 37. Scoring: 0/0.33/0.67/1.0/0.33</t>
  </si>
  <si>
    <t>ARS INPUT: P1n = (ADV_P1 − 1) / 3. Weight = 0.40.
ARS = (0.40×P1n) + (0.30×P2n) + (0.30×P2pn).
ARS → ARS_adj (penalty/boost) → ARS_CONTR = ARS_adj × 15 → ACTIVATION (0–15 pts).
1–4 scale.
DATA GAP: Not in ESI/MA/GLP1.</t>
  </si>
  <si>
    <t>CONFIG: prism_study_config.json → adv_p1. If has_adv=0, page skipped.</t>
  </si>
  <si>
    <t>Compared to other issues you care about, how motivating is this issue for you right now?</t>
  </si>
  <si>
    <t>Much LESS Motivating (c1)
(c2) 
About the Same (c3)
(c4) 
Much MORE Motivating (c5)</t>
  </si>
  <si>
    <t>Much less/Somewhat less/Same/Somewhat more/Much more. Table 38</t>
  </si>
  <si>
    <t>ARS INPUT: P2n = (ADV_P2 − 1) / 4. Weight = 0.30.
1–5 scale. See row 127 for full ARS chain.</t>
  </si>
  <si>
    <t>CONFIG: prism_study_config.json → adv_p2.</t>
  </si>
  <si>
    <t>If your time or attention were limited this month, would this issue be one you actually focus on?</t>
  </si>
  <si>
    <t>r1	Definitely would not
r2	Probably would not
r3         Maybe or maybe not
r4	Probably would
r5	Definitely would</t>
  </si>
  <si>
    <t>Def not/Prob not/Prob would/Def would/Not sure. Table 39. ARS formula in Table 40</t>
  </si>
  <si>
    <t>ARS INPUT: P2pn = (ADV_P2n − 1) / 3. Weight = 0.30.
1–4 scale. See row 127 for full ARS chain + ARS_adj penalty/boost logic.</t>
  </si>
  <si>
    <t>CONFIG: prism_study_config.json → adv_p2n.</t>
  </si>
  <si>
    <t>TRUSTED SOURCES, CHANNELS</t>
  </si>
  <si>
    <t>qtrust_</t>
  </si>
  <si>
    <t xml:space="preserve">How much do you trust the following institutions &amp; organizations when it comes to information about health care and medicines? </t>
  </si>
  <si>
    <t>Not at all - DISTRUST (c1)
(c2) 
Neutral/Unsure (c3)
(c4) 
A great deal - TRUST (c5)</t>
  </si>
  <si>
    <t>5PTGRID.PROGRESSIVE</t>
  </si>
  <si>
    <t>Multi-row, row_dividers
5-pt trust scale</t>
  </si>
  <si>
    <t>Routed per study block
Split samples; analyst config</t>
  </si>
  <si>
    <t>RF=SYSMIS</t>
  </si>
  <si>
    <t>5-pt: Not at all…A great deal. Table 42. Includes piped names ($NAME_REP, $NAME_SEN). Split A/B for HHS vs RFK</t>
  </si>
  <si>
    <t>CONTEXT: Trust in institutions. Not in ROI formula. Used for segment-profiling trusted messengers. Critical for campaign channel strategy in client deliverables (e.g., "segment 3 trusts pediatricians most → deploy HCP ambassador strategy").</t>
  </si>
  <si>
    <t>CONFIG: prism_study_config.json → trust_entities. Item rows configurable per study. Routed per study block.</t>
  </si>
  <si>
    <t>Naturopath or homeopathic providers</t>
  </si>
  <si>
    <t>Wellness experts and influencers</t>
  </si>
  <si>
    <t>configurable options</t>
  </si>
  <si>
    <t>Academic researchers/universities</t>
  </si>
  <si>
    <t>SPLIT A</t>
  </si>
  <si>
    <t>Department of Health and Human Services (HHS) /SPLIT A/</t>
  </si>
  <si>
    <t>SPLIT B</t>
  </si>
  <si>
    <t xml:space="preserve">Secretary of Health and Human Services, Robert Kennedy, Jr. /SPLIT B/ </t>
  </si>
  <si>
    <t>[PIPING]</t>
  </si>
  <si>
    <t>Your Congressman, Rep. $NAME_REP</t>
  </si>
  <si>
    <t>Senator $NAME_SEN1</t>
  </si>
  <si>
    <t>Senator $NAME_SEN2</t>
  </si>
  <si>
    <t>OPEN END FOLLOW-UP</t>
  </si>
  <si>
    <t xml:space="preserve">Substack writers </t>
  </si>
  <si>
    <t>[Which one comes to mind? ________________________]</t>
  </si>
  <si>
    <t>XIII. DEMOGRAPHICS</t>
  </si>
  <si>
    <t xml:space="preserve">How familiar are you with the term ‘MAHA’ (Make America Healthy Again)? </t>
  </si>
  <si>
    <t xml:space="preserve">r1	Very Familiar
r2	Somewhat Familiar
r3 Aware, but not sure what it means
r4	Heard of it, but know nothing about it
r5	Never heard of it
</t>
  </si>
  <si>
    <t>atmtable.6</t>
  </si>
  <si>
    <t>PTNA r6</t>
  </si>
  <si>
    <t>5-pt familiarity. Table 54</t>
  </si>
  <si>
    <t>CONTEXT: MAHA awareness/perception. Not in ROI formula. Used for segment cross-tab and political orientation profiling.</t>
  </si>
  <si>
    <t xml:space="preserve">When you hear the term MAHA, what does it most closely represent to you? </t>
  </si>
  <si>
    <t xml:space="preserve">(r1) A movement focused on food quality, nutrition, and chronic disease"
(r2) A broader critique of drug and food companies, and the health system"
(r3) A political slogan more than a real movement
(r4) A personal health or lifestyle philosophy
(r5) A fringe or extreme health movement
(r6) The movement around Robert F. Kennedy, Jr."
(r7) The health movement led by Donald Trump
(r8) Something unclear or hard to define
(r9) Something else </t>
  </si>
  <si>
    <t>MAHA_AWARE=1,2,3</t>
  </si>
  <si>
    <t>Not Sure 99</t>
  </si>
  <si>
    <t>10 options + OE + Not sure. Table 55</t>
  </si>
  <si>
    <t>Overall, what is your impression of the MAHA movement or idea?</t>
  </si>
  <si>
    <t>Very UNfavorable (c1)
Somewhat unfavorable(c2) 
Neutral/Unsure (c3)
Somewhat favorable(c4) 
Very Favorable(c5)</t>
  </si>
  <si>
    <t xml:space="preserve">PTNA </t>
  </si>
  <si>
    <t>5-pt: Very positive…Very negative. Table 56</t>
  </si>
  <si>
    <t>Which best describes your relationship to the MAHA label?</t>
  </si>
  <si>
    <t>(r1) I am a member of the national organization
(r2) I strongly identify with it 
(r3) I somewhat identify with it
(r4) I agree with some of the ideas, but wouldn’t identify with it"
(r5) I’ve heard of it, but don’t relate to it"
(r6) I disagree with it
(r7) I’m unfamiliar with it</t>
  </si>
  <si>
    <t>PTNA</t>
  </si>
  <si>
    <t>7 options from member to unfamiliar. Table 57</t>
  </si>
  <si>
    <t xml:space="preserve">d2 </t>
  </si>
  <si>
    <t>Are you of Hispanic or Latino background?</t>
  </si>
  <si>
    <t>(r1) YES
(r2) NO</t>
  </si>
  <si>
    <t>SYSMIS (PNTA)</t>
  </si>
  <si>
    <t>Yes/No/PNTA. Table 45</t>
  </si>
  <si>
    <t>DEMOGRAPHIC: Feeds RACEETHNIC recode (with d3). Used for demographic quota balancing and weighting.</t>
  </si>
  <si>
    <t xml:space="preserve">d3 </t>
  </si>
  <si>
    <t>Which best describes your race?</t>
  </si>
  <si>
    <t>(r1) White
(r2) Black
(r3) Asian
(r4) Other [OE SPECIFY]</t>
  </si>
  <si>
    <t>RACEETHNIC:
1=White Non-Hispanic
2=Black Non-Hispanic
3=Asian/Other Non-Hispanic
4=Hispanic</t>
  </si>
  <si>
    <t>White/Black/Asian/Other(OE)/PNTA. Table 46. RACE_ETHNIC collapse in Table 47</t>
  </si>
  <si>
    <t>DEMOGRAPHIC: Combined with d2 → RACEETHNIC (1=White NH, 2=Black NH, 3=Asian/Other NH, 4=Hispanic). Quota balancing and weighting.</t>
  </si>
  <si>
    <t xml:space="preserve">Have you ever served active duty in the U.S. Armed Forces, Reserves, or National Guard? </t>
  </si>
  <si>
    <t>(r1) YES - ACTIVE DUTY
(r2) YES - VETERAN
(r3) NO</t>
  </si>
  <si>
    <t>r4 (PNTA=99)</t>
  </si>
  <si>
    <t>Currently/Retired/No/PNTA. Table 48</t>
  </si>
  <si>
    <t>DEMOGRAPHIC: Veteran status. Reporting variable. Not quota-managed.</t>
  </si>
  <si>
    <t xml:space="preserve">Are you currently, or have you ever been, part of a labor union? </t>
  </si>
  <si>
    <t>Yes/No/PNTA. Table 49</t>
  </si>
  <si>
    <t>DEMOGRAPHIC: Union membership. Reporting variable. Not quota-managed.</t>
  </si>
  <si>
    <t>Please indicate the highest level of school you completed or the highest degree you have received…</t>
  </si>
  <si>
    <t>1	Did not finish high school
2	High school diploma or GED
3	Some college credit, no degree
4	Trade/technical/vocational training
5	Associate’s degree
6	Bachelor’s degree
7	Master’s degree
8	Professional degree (e.g., JD, MD)
9	Doctorate degree (PhD)</t>
  </si>
  <si>
    <t>DROPDOWN</t>
  </si>
  <si>
    <t>r10 (PNTA=99)</t>
  </si>
  <si>
    <t>EDUCAT: 
1=	HIGH SCHOOL GRADUATE  [edu=1, 2]
2=	SOME COLLEGE [edu=3, 4, 5]
3=	BACHELORS DEGREE [edu=6]
4=	GRADUATE OR PROFESSIONAL DEGREE [edu=7, 8, 9]</t>
  </si>
  <si>
    <t>9 categories + PNTA. Table 50. EDU_CAT collapse rows 12-18</t>
  </si>
  <si>
    <t>DEMOGRAPHIC: Education → EDUCAT recode (1–4). Used for demographic quota balancing and weighting.</t>
  </si>
  <si>
    <t>What is your present religion, if any?</t>
  </si>
  <si>
    <t>1	Protestant
2	Roman Catholic
3	LDS/Mormon
4	Orthodox, such as Greek or Russian Orthodox
5	Jewish
6	Muslim
7	Buddhist
8	Hindu
9	Atheist
10	Agnostic
11	Something else
12	Nothing in particular</t>
  </si>
  <si>
    <t>r13 (PNTA=99)</t>
  </si>
  <si>
    <t>12 options + PNTA. Table 51. REL_CAT collapse in Table 52</t>
  </si>
  <si>
    <t>DEMOGRAPHIC: Religion. Combined with evangel + race → RELCAT. Reporting variable.</t>
  </si>
  <si>
    <t xml:space="preserve">Would you describe yourself a born-again or evangelical Christian, or not? </t>
  </si>
  <si>
    <t>REL=1 (Protestant)</t>
  </si>
  <si>
    <t>RELCAT:
1=	WHITE EVANGELICAL  [EVANGEL=1 AND RACE=1]
2=	BLACK PROTESTANT [REL=1 AND RACE=2]
3=	WHITE MAINLINE PROTESTANT [EVANGEL=2 AND RACE=1]
4=	CATHOLIC [REL=2]
5=	JEWISH [REL=5
6=	OTHER  [REL=3,6,7,8,11]
7=	NONE  [REL=9,10,12]</t>
  </si>
  <si>
    <t>Yes/No/PNTA. Table 52</t>
  </si>
  <si>
    <t>DEMOGRAPHIC: Evangelical identity → RELCAT recode (1–7). White Evangelical is key political subgroup. Reporting.</t>
  </si>
  <si>
    <t>Last year – that is, in 2024 – what was your total family income from all sources, before taxes…</t>
  </si>
  <si>
    <t>"Less than $10,000"
"$10,000 - $19,999"
"$20,000 - $29,999"
"$30,000 – $39,999"
"$40,000 – $49,999"
"$50,000 – $59,999"
"$60,000 – $69,999"
"$70,000 – $79,999"
"$80,000 – $89,999"
"$90,000 – $99,999"
"$100,000 – $124,999"
"$125,000 - $149,999"
"$150,000 - $199,999"
"$200,000 -499,999"
"$500,000 or more"</t>
  </si>
  <si>
    <t>r15 (PNTA=99)</t>
  </si>
  <si>
    <t>HHI:
1=	&lt;$20K
2=	$20-50K
3=	$50-100K
4=	$100-150K
5=	&gt;$150K</t>
  </si>
  <si>
    <t>14 brackets ($&lt;10K to $200K+) + PNTA. Table 53. D23A collapse rows 16-21</t>
  </si>
  <si>
    <t>DEMOGRAPHIC: Household income → HHI recode (1–5). Quota balancing and weighting.</t>
  </si>
  <si>
    <t>XIV. VALIDATION / CLOSE</t>
  </si>
  <si>
    <t>Would you be willing to be contacted in the next few weeks to potentially help with this issue?</t>
  </si>
  <si>
    <t>For example, being invited to a short briefing, asked to review a message, or offered an optional action step?</t>
  </si>
  <si>
    <t>Def yes/Prob yes/Prob no/Def no. Table 58 / para 175-180</t>
  </si>
  <si>
    <t>MOBILIZATION VALIDATION: Opt-in for follow-up contact. Behavioral confirmation of stated activation intent. optin=r1|r2 (def yes/prob yes) → validates ARS score. Can be used as dependent variable in SPSS ACTPROB logistic regression.</t>
  </si>
  <si>
    <t>Please provide your email address and/or mobile telephone number so that we might contact you within the next few weeks about this issue. 
You are under no obligation and your contact information will only be used for this purpose and will not be shared.</t>
  </si>
  <si>
    <t>EMAIL</t>
  </si>
  <si>
    <t>&lt;text&gt; verify.email</t>
  </si>
  <si>
    <t>Native input</t>
  </si>
  <si>
    <t>OPTIN=1 or 2 (Def/Prob yes)</t>
  </si>
  <si>
    <t>verify.email</t>
  </si>
  <si>
    <t>❌ Need text input render</t>
  </si>
  <si>
    <t>Para 188</t>
  </si>
  <si>
    <t>PII: Email for follow-up contact. Stored separately from survey data. Used for mobilization outreach if optin=r1|r2.</t>
  </si>
  <si>
    <t>PHONE</t>
  </si>
  <si>
    <t>&lt;text&gt; verify US Phone</t>
  </si>
  <si>
    <t>OPTIN=1 or 2</t>
  </si>
  <si>
    <t>Optional; verify US phone</t>
  </si>
  <si>
    <t>Optional. Para 190</t>
  </si>
  <si>
    <t>PII: Phone for follow-up. Same as row 157.</t>
  </si>
  <si>
    <t>I agree to be contacted about this issue in the next few weeks. I understand participation is optional and I can decline at any time</t>
  </si>
  <si>
    <t>CONSENTBOX</t>
  </si>
  <si>
    <t>Single checkbox</t>
  </si>
  <si>
    <t>Required if shown</t>
  </si>
  <si>
    <t>❌ Need single checkbox render</t>
  </si>
  <si>
    <t>Para 192</t>
  </si>
  <si>
    <t>Consent confirmation for follow-up contact. Gate for mobilization outreach.</t>
  </si>
  <si>
    <t>DISPLAY FEATURES (Global)</t>
  </si>
  <si>
    <t>Prefer not to answer</t>
  </si>
  <si>
    <t>noanswer attribute</t>
  </si>
  <si>
    <t>&lt;col noanswer="1"&gt;</t>
  </si>
  <si>
    <t>CSS toggle styling</t>
  </si>
  <si>
    <t>❌ Need render</t>
  </si>
  <si>
    <t>Global treatment TBD. How does Decipher render noanswer differently?</t>
  </si>
  <si>
    <t>Progressive Matrix</t>
  </si>
  <si>
    <t>Rows w/ horiz button scale</t>
  </si>
  <si>
    <t>atmtable.6 multi-row</t>
  </si>
  <si>
    <t>&lt;radio&gt; row_dividers="1"</t>
  </si>
  <si>
    <t>Row dividers</t>
  </si>
  <si>
    <t>Used by CRITIC, A1-A3, TRUST batteries</t>
  </si>
  <si>
    <t>Header</t>
  </si>
  <si>
    <t>Decipher header/footer mechanism?</t>
  </si>
  <si>
    <t>Intro/Section Pages</t>
  </si>
  <si>
    <t>Logo, description, continue</t>
  </si>
  <si>
    <t>&lt;html&gt; block</t>
  </si>
  <si>
    <t>&lt;html label="INTRO"&gt;</t>
  </si>
  <si>
    <t>CSS only</t>
  </si>
  <si>
    <t>Intro text in para 18</t>
  </si>
  <si>
    <t>Progress Tracker</t>
  </si>
  <si>
    <t>Custom progress bar</t>
  </si>
  <si>
    <t>&lt;html&gt;</t>
  </si>
  <si>
    <t>Needs design spec</t>
  </si>
  <si>
    <t>Why we ask / Fun Facts</t>
  </si>
  <si>
    <t>CSS configurable in XML</t>
  </si>
  <si>
    <t>E.g., "At the end, youll see your Power Profile" (para 45)</t>
  </si>
  <si>
    <t>SYSTEM VARIABLES</t>
  </si>
  <si>
    <t>Required — must answer to proceed (this is most questions)</t>
  </si>
  <si>
    <t>Required per row — for grid matrices, every row must have a response</t>
  </si>
  <si>
    <t>At least 1 — for checkbox/multi-select, minimum one selection</t>
  </si>
  <si>
    <t>Optional — can skip (PHONE is the only one I see)</t>
  </si>
  <si>
    <t>verify.email — Decipher's built-in email validation</t>
  </si>
  <si>
    <t>verify.phone — US phone format</t>
  </si>
  <si>
    <t>size=5; numeric — for QZIP (5-digit constraint)</t>
  </si>
  <si>
    <t>min=18; max=99; numeric — for QAGE (range constraint)</t>
  </si>
  <si>
    <t>Exclusive option — for checkboxes where "None of the above" deselects others</t>
  </si>
  <si>
    <t>ATTITUDE_EQUITY_FUNDING (ATTITUDE_29)</t>
  </si>
  <si>
    <t>ATTITUDE_INFLUENCE</t>
  </si>
  <si>
    <t>Big corporations have too much influence over public health policies'</t>
  </si>
  <si>
    <t>TASK/VERSION (hypothetical design)</t>
  </si>
  <si>
    <t>DEMOCRAT MAXDIFF (10 tasks X 4 items; 10 items)</t>
  </si>
  <si>
    <t>μ</t>
  </si>
  <si>
    <t>σ</t>
  </si>
  <si>
    <t>MD#_A#</t>
  </si>
  <si>
    <t>sum r1 (c1 and c2)</t>
  </si>
  <si>
    <t>sum r2 (c1 and c2)</t>
  </si>
  <si>
    <t>sum r3 (c1 and c2)</t>
  </si>
  <si>
    <t>sum r4 (c1 and c2)</t>
  </si>
  <si>
    <t>sum r5 (c1 and c2)</t>
  </si>
  <si>
    <t>sum r6 (c1 and c2)</t>
  </si>
  <si>
    <t>sum r7 (c1 and c2)</t>
  </si>
  <si>
    <t>sum r8 (c1 and c2)</t>
  </si>
  <si>
    <t>sum r9 (c1 and c2)</t>
  </si>
  <si>
    <t>sum r10 (c1 and c2)</t>
  </si>
  <si>
    <t>GOP MAXDIFF (12 tasks X 4 items; 12 items)</t>
  </si>
  <si>
    <t>sum r11 (c1 and c2)</t>
  </si>
  <si>
    <t>sum r12 (c1 and c2)</t>
  </si>
  <si>
    <t>MOST</t>
  </si>
  <si>
    <t>LEAST</t>
  </si>
  <si>
    <t>NS</t>
  </si>
  <si>
    <t>FACTOR SCORES FOR MODELS</t>
  </si>
  <si>
    <t>zFACTOR_JUSTICE</t>
  </si>
  <si>
    <t>7-PT AGMT SCALE:</t>
  </si>
  <si>
    <t>zFACTOR_INDUSTRY</t>
  </si>
  <si>
    <t>REVERSED 7-PT AGMT SCALE:</t>
  </si>
  <si>
    <t>CENTROID DISTANCE MODEL (K MEANS) - PRIMARY TYPING OUTPUT (D1 AND D2)</t>
  </si>
  <si>
    <t>DO NOT ALTER: PRIMARY CENTROID MODEL</t>
  </si>
  <si>
    <t>DEMOCRAT SEGMENTS - CENTROIDS</t>
  </si>
  <si>
    <t>1.00 Idealists</t>
  </si>
  <si>
    <t>2.00 Progressives</t>
  </si>
  <si>
    <t>3.00 Protectionists</t>
  </si>
  <si>
    <t>4.00 Abundance</t>
  </si>
  <si>
    <t>5.00 Incrementalists</t>
  </si>
  <si>
    <t>6.00 Institutionalists</t>
  </si>
  <si>
    <t>ZBW_1</t>
  </si>
  <si>
    <t>ZBW_2</t>
  </si>
  <si>
    <t>ZBW_3</t>
  </si>
  <si>
    <t>ZBW_4</t>
  </si>
  <si>
    <t>ZBW_5</t>
  </si>
  <si>
    <t>ZBW_6</t>
  </si>
  <si>
    <t>ZBW_7</t>
  </si>
  <si>
    <t>ZBW_9</t>
  </si>
  <si>
    <t>ZFACTOR_JUSTICE</t>
  </si>
  <si>
    <t>ZFACTOR_INDUSTRY</t>
  </si>
  <si>
    <t>sum off squares</t>
  </si>
  <si>
    <t>avg: D₂/D1</t>
  </si>
  <si>
    <t>0.2 threshold</t>
  </si>
  <si>
    <t>D₁</t>
  </si>
  <si>
    <t>D₂</t>
  </si>
  <si>
    <t>REPUBLICAN SEGMENTS - CENTROIDS</t>
  </si>
  <si>
    <t>Consumer Empowerment Champions</t>
  </si>
  <si>
    <t>Holistic Health Naturalists</t>
  </si>
  <si>
    <t>Traditional Conservatives</t>
  </si>
  <si>
    <t>Paleo Freedom Fighters</t>
  </si>
  <si>
    <t>Price Populists</t>
  </si>
  <si>
    <t>Wellness Evangelists</t>
  </si>
  <si>
    <t>Radical Futurists</t>
  </si>
  <si>
    <t>Vaccine Skeptics</t>
  </si>
  <si>
    <t xml:space="preserve">Medical Freedom Libertarians </t>
  </si>
  <si>
    <t>Trust The Science Pragmatists</t>
  </si>
  <si>
    <t>P (SOFTMAX)</t>
  </si>
  <si>
    <t>P2</t>
  </si>
  <si>
    <t>ci</t>
  </si>
  <si>
    <t>&lt;?xml version="1.0" encoding="UTF-8"?&gt;</t>
  </si>
  <si>
    <t xml:space="preserve">&lt;survey </t>
  </si>
  <si>
    <t xml:space="preserve">  alt="PRISM_Surveys_Original"</t>
  </si>
  <si>
    <t xml:space="preserve">  autosaveKey="psid"</t>
  </si>
  <si>
    <t xml:space="preserve">  browserDupes=""</t>
  </si>
  <si>
    <t xml:space="preserve">  builder:wizardCompleted="1"</t>
  </si>
  <si>
    <t xml:space="preserve">  builderCompatible="1"</t>
  </si>
  <si>
    <t xml:space="preserve">  compat="146"</t>
  </si>
  <si>
    <t xml:space="preserve">  delphi="1"</t>
  </si>
  <si>
    <t xml:space="preserve">  extraVariables="ipAddress,source,record,decLang,list,userAgent,md,comp_sflag"</t>
  </si>
  <si>
    <t xml:space="preserve">  fir="on"</t>
  </si>
  <si>
    <t xml:space="preserve">  html:showNumber="0"</t>
  </si>
  <si>
    <t xml:space="preserve">  mobile="compat"</t>
  </si>
  <si>
    <t xml:space="preserve">  mobileDevices="smartphone,tablet,desktop"</t>
  </si>
  <si>
    <t xml:space="preserve">  name="Survey"</t>
  </si>
  <si>
    <t xml:space="preserve">  remerged="20260214_00:36"</t>
  </si>
  <si>
    <t xml:space="preserve">  secure="1"</t>
  </si>
  <si>
    <t xml:space="preserve">  setup="term,decLang,quota,time"</t>
  </si>
  <si>
    <t xml:space="preserve">  ss:disableBackButton="1"</t>
  </si>
  <si>
    <t xml:space="preserve">  ss:enableNavigation="0"</t>
  </si>
  <si>
    <t xml:space="preserve">  ss:hideProgressBar="1"</t>
  </si>
  <si>
    <t xml:space="preserve">  state="live"</t>
  </si>
  <si>
    <t xml:space="preserve">  theme="frozen:user/116957/dpi_project_temp"</t>
  </si>
  <si>
    <t xml:space="preserve">  version="18"&gt;</t>
  </si>
  <si>
    <t>&lt;res label="sys_check-error-atLeast-sing-column"&gt;You have left question(s) unanswered. Please provide an answer.&lt;/res&gt;</t>
  </si>
  <si>
    <t>&lt;res label="sys_noAnswerSelected"&gt;You have left question(s) unanswered. Please provide an answer.&lt;/res&gt;</t>
  </si>
  <si>
    <t>&lt;res label="sys_survey.has-errors"&gt;You have left some questions unanswered. You will find the items that need you attention shown below.&lt;/res&gt;</t>
  </si>
  <si>
    <t>&lt;res label="PROMPTERROR"&gt;&lt;strong&gt;You have left question(s) unanswered.  Are you sure you do not have an opinion?  If not, you can skip to the next question.&lt;/strong&gt;&lt;/res&gt;</t>
  </si>
  <si>
    <t>&lt;res label="PROMPTERROR1"&gt;&lt;strong&gt;You have left question(s) unanswered.  Are you sure you do not have an opinion?  If not, you can skip to the next question.&lt;/strong&gt;&lt;/res&gt;</t>
  </si>
  <si>
    <t>&lt;res label="PROMPTERROR2"&gt;&lt;strong&gt;You have left question(s) unanswered.  Are you sure you do not have an opinion?  If not, you can skip to the next question.&lt;/strong&gt;&lt;/res&gt;</t>
  </si>
  <si>
    <t>&lt;res label="Q3_err"&gt;Please specify&lt;/res&gt;</t>
  </si>
  <si>
    <t>&lt;res label="QESILT"&gt;&lt;strong&gt;No legitimate role&lt;/strong&gt;&lt;/res&gt;</t>
  </si>
  <si>
    <t>&lt;res label="QESIRT"&gt;&lt;strong&gt;Essential role that should be protected&lt;/strong&gt;&lt;/res&gt;</t>
  </si>
  <si>
    <t>&lt;res label="QMA_POST_SJ_msgA"&gt;&lt;strong&gt;Congress should prioritize keeping Medicare Advantage strong and affordable, protecting the benefits seniors rely on&lt;/strong&gt;&lt;/res&gt;</t>
  </si>
  <si>
    <t>&lt;res label="QMA_POST_SJ_msgB"&gt;&lt;strong id="mjJLw"&gt;Congress should prioritize controlling federal spending on Medicare Advantage and protecting traditional Medicare&lt;/strong&gt;&lt;/res&gt;</t>
  </si>
  <si>
    <t>&lt;condition label="marker__split_2" cond="hasMarker('split_2')"&gt;split_2&lt;/condition&gt;</t>
  </si>
  <si>
    <t>&lt;condition label="marker__split_1" cond="hasMarker('split_1')"&gt;split_1&lt;/condition&gt;</t>
  </si>
  <si>
    <t>&lt;condition label="marker__c_2" cond="hasMarker('c_2')"&gt;c_2&lt;/condition&gt;</t>
  </si>
  <si>
    <t>&lt;condition label="marker__c_1" cond="hasMarker('c_1')"&gt;c_1&lt;/condition&gt;</t>
  </si>
  <si>
    <t>&lt;samplesources default="0"&gt;</t>
  </si>
  <si>
    <t xml:space="preserve">  &lt;samplesource keyring="sys/dynata" list="101" sign="out"&gt;</t>
  </si>
  <si>
    <t xml:space="preserve">    &lt;title&gt;Dynata&lt;/title&gt;</t>
  </si>
  <si>
    <t xml:space="preserve">    &lt;invalid&gt;You are missing information in the URL. Please verify the URL with the original invite.&lt;/invalid&gt;</t>
  </si>
  <si>
    <t xml:space="preserve">    &lt;completed&gt;It seems you have already entered this survey.&lt;/completed&gt;</t>
  </si>
  <si>
    <t xml:space="preserve">    &lt;var name="psid" unique="1"/&gt;</t>
  </si>
  <si>
    <t xml:space="preserve">    &lt;exit cond="terminated" url="https://dkr1.ssisurveys.com/projects/end?rst=2&amp;amp;psid=${psid}"/&gt;</t>
  </si>
  <si>
    <t xml:space="preserve">    &lt;exit cond="overquota" url="https://dkr1.ssisurveys.com/projects/end?rst=3&amp;amp;psid=${psid}"/&gt;</t>
  </si>
  <si>
    <t xml:space="preserve">    &lt;exit cond="qualified" url="https://dkr1.ssisurveys.com/projects/end?rst=1&amp;amp;psid=${psid}"/&gt;</t>
  </si>
  <si>
    <t xml:space="preserve">  &lt;/samplesource&gt;</t>
  </si>
  <si>
    <t xml:space="preserve">  &lt;samplesource closed="1" list="0"&gt;</t>
  </si>
  <si>
    <t xml:space="preserve">    &lt;title&gt;Open Survey&lt;/title&gt;</t>
  </si>
  <si>
    <t xml:space="preserve">    &lt;exit cond="terminated"&gt;Thank you for taking our survey.&lt;/exit&gt;</t>
  </si>
  <si>
    <t xml:space="preserve">    &lt;exit cond="qualified"&gt;Thank you for taking our survey. Your efforts are greatly appreciated!&lt;/exit&gt;</t>
  </si>
  <si>
    <t xml:space="preserve">    &lt;exit cond="overquota"&gt;Thank you for taking our survey.&lt;/exit&gt;</t>
  </si>
  <si>
    <t>&lt;/samplesources&gt;</t>
  </si>
  <si>
    <t>&lt;suspend/&gt;</t>
  </si>
  <si>
    <t>&lt;themevars&gt;</t>
  </si>
  <si>
    <t xml:space="preserve">  &lt;themevar name="background-color"&gt;#f0f8ff&lt;/themevar&gt;</t>
  </si>
  <si>
    <t xml:space="preserve">  &lt;themevar name="foreground-color"&gt;#f0f8ff&lt;/themevar&gt;</t>
  </si>
  <si>
    <t xml:space="preserve">  &lt;themevar name="color-1"&gt;#f0f8ff&lt;/themevar&gt;</t>
  </si>
  <si>
    <t xml:space="preserve">  &lt;themevar name="color-2"&gt;#191970&lt;/themevar&gt;</t>
  </si>
  <si>
    <t xml:space="preserve">  &lt;themevar name="color-4"&gt;#191970&lt;/themevar&gt;</t>
  </si>
  <si>
    <t xml:space="preserve">  &lt;themevar name="color-5"&gt;#191970&lt;/themevar&gt;&lt;/themevars&gt;</t>
  </si>
  <si>
    <t>&lt;style name="survey.header"&gt;&lt;![CDATA[</t>
  </si>
  <si>
    <t>${pipe.mhover}</t>
  </si>
  <si>
    <t xml:space="preserve">&lt;script&gt; </t>
  </si>
  <si>
    <t>$ (document).ready(function() {</t>
  </si>
  <si>
    <t>$ ('.ques_no').hide();</t>
  </si>
  <si>
    <t>});</t>
  </si>
  <si>
    <t>&lt;/script&gt;</t>
  </si>
  <si>
    <t>&lt;style&gt;</t>
  </si>
  <si>
    <t>:root {</t>
  </si>
  <si>
    <t xml:space="preserve">  --bg1: #f0f8ff; /*Alice Blue - survey page, survey body, progress outer, description text, question text*/</t>
  </si>
  <si>
    <t xml:space="preserve">  --bg2: #191970; /*Midnight Blue - question/description text, buttons*/</t>
  </si>
  <si>
    <t>}</t>
  </si>
  <si>
    <t>.survey-page{ background: var(--bg1);}</t>
  </si>
  <si>
    <t>.survey-body {background-color: var(--bg1); padding-top: 30px;padding-bottom: 50px;margin-top: 10px;box-shadow: 0px 0px 15px 0px var(--bg2);}</t>
  </si>
  <si>
    <t>.progress-box-completed {background-color: var(--bg2);}</t>
  </si>
  <si>
    <t>.progress-box-outer{background-color: var(--bg1); width: 100%;border: 1px solid var(--bg2);}</t>
  </si>
  <si>
    <t>.progress-bar {width: 98%;}</t>
  </si>
  <si>
    <t>.row-legend{background-color: #ffffff00;}</t>
  </si>
  <si>
    <t>.row.row-elements.odd {background-color:#ffffff;}</t>
  </si>
  <si>
    <t>.comment-text {color: #333333;}</t>
  </si>
  <si>
    <t>.comment{background: var(--bg1);border-top: 25px solid var(--bg2); border-bottom: 5px solid var(--bg2);box-shadow: 0px 0px 15px 0px var(--bg2);}</t>
  </si>
  <si>
    <t>.grid.grid-table-mode .col-legend, .grid.grid-table-mode .element, .grid.grid-table-mode .cell-sub-column {color: #fff;}</t>
  </si>
  <si>
    <t>.grid-table-mode .nonempty { border: 1px solid var(--bg2);}</t>
  </si>
  <si>
    <t>.col-legend {background-color: var(--bg2);}</t>
  </si>
  <si>
    <t>.cell.hasError, .answers-list .element.hasError, .element.hasError:hover, .rowLegendErr .oe, .colLegendErr .oe { color: #000 !important;}</t>
  </si>
  <si>
    <t>.question {border-top: 25px solid var(--bg2); border-bottom: 5px solid var(--bg2);border-radius: 0px; background: var(--bg1);box-shadow: 0px 0px 15px 0px var(--bg2);}</t>
  </si>
  <si>
    <t>html:not(.lte-ie9) .fir-select .input.dropdown{background: var(--bg1);border: 1px solid var(--bg2);}</t>
  </si>
  <si>
    <t>.fir-icon .rounded .fir-base, .fir-icon .square .fir-base { fill: var(--bg2);  }</t>
  </si>
  <si>
    <t>.fir-icon.selected .rounded .fir-selected,.fir-icon.selected .square .fir-selected, .fir-icon.selected .scale .fir-large, .fir-icon.selected i, .non-touch .fir-icon.selected:hover .rounded .fir-selected,.non-touch .fir-icon.selected:hover .square .fir-selected,.non-touch .grid-table-mode .clickableCell:hover .fir-icon.selected .rounded .fir-selected,.non-touch .grid-table-mode .clickableCell:hover .fir-icon.selected .square .fir-selected {fill: var(--bg2);}</t>
  </si>
  <si>
    <t>a.autosave-restart { display: none !important; }</t>
  </si>
  <si>
    <t>.button {</t>
  </si>
  <si>
    <t xml:space="preserve">  position: relative;</t>
  </si>
  <si>
    <t xml:space="preserve">  background: var(--bg2);</t>
  </si>
  <si>
    <t xml:space="preserve">  color: #fff;</t>
  </si>
  <si>
    <t xml:space="preserve">  text-transform: uppercase;</t>
  </si>
  <si>
    <t xml:space="preserve">  border: none;</t>
  </si>
  <si>
    <t xml:space="preserve">  letter-spacing: 0.07rem;</t>
  </si>
  <si>
    <t xml:space="preserve">  font-size: 1.1rem;</t>
  </si>
  <si>
    <t xml:space="preserve">  padding: 1rem 3rem;</t>
  </si>
  <si>
    <t xml:space="preserve">  transition: 0.2s;</t>
  </si>
  <si>
    <t xml:space="preserve">  outline: none;</t>
  </si>
  <si>
    <t>.button:hover, .button:focus {</t>
  </si>
  <si>
    <t xml:space="preserve">  letter-spacing: 0.15rem;</t>
  </si>
  <si>
    <t xml:space="preserve">  padding: 1.1rem 3.1rem;</t>
  </si>
  <si>
    <t xml:space="preserve">  background: var(--bg1);</t>
  </si>
  <si>
    <t xml:space="preserve">  color: var(--clr);</t>
  </si>
  <si>
    <t xml:space="preserve">  border: 3px solid rgb(0,128,0); /* Outer green border */</t>
  </si>
  <si>
    <t xml:space="preserve">  animation: box 3s infinite;</t>
  </si>
  <si>
    <t>.button::before {</t>
  </si>
  <si>
    <t xml:space="preserve">  content: "";</t>
  </si>
  <si>
    <t xml:space="preserve">  position: absolute;</t>
  </si>
  <si>
    <t xml:space="preserve">  top: -2px;</t>
  </si>
  <si>
    <t xml:space="preserve">  left: 80%;</t>
  </si>
  <si>
    <t xml:space="preserve">  width: 10px;</t>
  </si>
  <si>
    <t xml:space="preserve">  height: 2px;</t>
  </si>
  <si>
    <t xml:space="preserve">  border: 2px solid var(--bg1);</t>
  </si>
  <si>
    <t>.button:hover::before {</t>
  </si>
  <si>
    <t xml:space="preserve">  width: 15px;</t>
  </si>
  <si>
    <t xml:space="preserve">  left: 20%;</t>
  </si>
  <si>
    <t xml:space="preserve">  animation: move 3s infinite;</t>
  </si>
  <si>
    <t>\@keyframes move {</t>
  </si>
  <si>
    <t xml:space="preserve">  0%, 100% { transform: translateX(0); }</t>
  </si>
  <si>
    <t xml:space="preserve">  50% { transform: translateX(5px); }</t>
  </si>
  <si>
    <t>\@keyframes box {</t>
  </si>
  <si>
    <t xml:space="preserve">  0%, 100% { box-shadow: var(--bg2); }</t>
  </si>
  <si>
    <t xml:space="preserve">  50% { box-shadow: 0 0 25px 0; }</t>
  </si>
  <si>
    <t>.survey-page {</t>
  </si>
  <si>
    <t xml:space="preserve">    background-color: var(--bg1);</t>
  </si>
  <si>
    <t xml:space="preserve">    color: #008000;</t>
  </si>
  <si>
    <t>\@media screen and (max-width:450px) {</t>
  </si>
  <si>
    <t xml:space="preserve">  .logo-image { max-height: 7em; }</t>
  </si>
  <si>
    <t>\@media screen and (min-width:451px) {</t>
  </si>
  <si>
    <t xml:space="preserve">  .logo-image { max-height: 3em; }</t>
  </si>
  <si>
    <t>.secClass {</t>
  </si>
  <si>
    <t xml:space="preserve">    position: sticky;</t>
  </si>
  <si>
    <t xml:space="preserve">    top: 0; /* The element will stick when it reaches the top */</t>
  </si>
  <si>
    <t xml:space="preserve">    left: 0;</t>
  </si>
  <si>
    <t xml:space="preserve">    z-index: 1000; /* Keeps it above other elements */</t>
  </si>
  <si>
    <t xml:space="preserve">    background-color: var(--bg2);</t>
  </si>
  <si>
    <t xml:space="preserve">    padding: 1px 5px;</t>
  </si>
  <si>
    <t xml:space="preserve">    border-top: 10px solid transparent;</t>
  </si>
  <si>
    <t xml:space="preserve">    border-bottom: 10px solid transparent;</t>
  </si>
  <si>
    <t>.secClass .comment-text {</t>
  </si>
  <si>
    <t xml:space="preserve">    padding-bottom: 0em;</t>
  </si>
  <si>
    <t xml:space="preserve">    padding-top: 0em;</t>
  </si>
  <si>
    <t xml:space="preserve">    color: #fff;</t>
  </si>
  <si>
    <t xml:space="preserve">    font-size: 26px;</t>
  </si>
  <si>
    <t xml:space="preserve">    font-weight: bold !important;</t>
  </si>
  <si>
    <t xml:space="preserve">    line-height: normal;</t>
  </si>
  <si>
    <t xml:space="preserve">    font-family: Merriweather, serif;</t>
  </si>
  <si>
    <t xml:space="preserve">  \@media screen and (max-width:450px) {</t>
  </si>
  <si>
    <t xml:space="preserve"> .sq-cardrating-cards {</t>
  </si>
  <si>
    <t xml:space="preserve">    height: 150px !important;</t>
  </si>
  <si>
    <t>&lt;/style&gt;</t>
  </si>
  <si>
    <t>&lt;script&gt;</t>
  </si>
  <si>
    <t>/*</t>
  </si>
  <si>
    <t>jQuery(document).ready(function() {</t>
  </si>
  <si>
    <t xml:space="preserve">  $ ('.button').hover(</t>
  </si>
  <si>
    <t xml:space="preserve">    function() {</t>
  </si>
  <si>
    <t xml:space="preserve">      $ (this).css({</t>
  </si>
  <si>
    <t xml:space="preserve">        "transform": "scale(1.1)", </t>
  </si>
  <si>
    <t xml:space="preserve">        "transition": "transform 0.3s, box-shadow 0.3s, border-color 0.3s",</t>
  </si>
  <si>
    <t xml:space="preserve">        "border": "4px solid rgb(0, 255, 0)",</t>
  </si>
  <si>
    <t xml:space="preserve">        "box-shadow": "0 0 20px rgba(0, 255, 0, 0.8), 0 0 40px rgba(0, 255, 0, 0.6), 0 0 60px rgba(0, 255, 0, 0.4)"</t>
  </si>
  <si>
    <t xml:space="preserve">      });</t>
  </si>
  <si>
    <t xml:space="preserve">    },</t>
  </si>
  <si>
    <t xml:space="preserve">        "transform": "scale(1)",</t>
  </si>
  <si>
    <t xml:space="preserve">        "box-shadow": "none",</t>
  </si>
  <si>
    <t xml:space="preserve">        "border-color": "transparent"</t>
  </si>
  <si>
    <t xml:space="preserve">        </t>
  </si>
  <si>
    <t xml:space="preserve">    }</t>
  </si>
  <si>
    <t xml:space="preserve">  );</t>
  </si>
  <si>
    <t xml:space="preserve">  $ ('.survey-body').hover(</t>
  </si>
  <si>
    <t xml:space="preserve">        "border": "4px solid rgb(173, 216, 230)",</t>
  </si>
  <si>
    <t xml:space="preserve">        "box-shadow": "0 0 20px rgba(0, 0, 255, 0.8), 0 0 40px rgba(255, 0, 0, 0.6), 0 0 60px rgba(255, 0, 0, 0.4)"</t>
  </si>
  <si>
    <t xml:space="preserve">  $ ('.question-text, .instruction-text, .row-legend, .non-touch, .cell-text label, .sq-ranksort-container, .sq-ranksort-cards, .sq-ranksort-card').hover(</t>
  </si>
  <si>
    <t xml:space="preserve">        "transition": "font-size 0.3s, font-weight 0.3s",</t>
  </si>
  <si>
    <t xml:space="preserve">        "font-size": "1.5em"        </t>
  </si>
  <si>
    <t xml:space="preserve">        "font-size": "1em", </t>
  </si>
  <si>
    <t xml:space="preserve">        "font-weight": "normal"</t>
  </si>
  <si>
    <t>*/</t>
  </si>
  <si>
    <t>]]&gt;&lt;/style&gt;</t>
  </si>
  <si>
    <t>&lt;exec when="init"&gt;</t>
  </si>
  <si>
    <t>def setupMaxDiffFile(fname, fileDelimiter="\t"):</t>
  </si>
  <si>
    <t xml:space="preserve">    try:</t>
  </si>
  <si>
    <t xml:space="preserve">        f = open("%s/%s" % (gv.survey.path, fname))</t>
  </si>
  <si>
    <t xml:space="preserve">        mdObj = [ line.strip("\r\n").split(fileDelimiter) for line in f.readlines() ]</t>
  </si>
  <si>
    <t xml:space="preserve">        d = dict( ("v%s_t%s" % (row[0], row[1]), row[2:]) for row in mdObj )</t>
  </si>
  <si>
    <t xml:space="preserve">    except IOError:</t>
  </si>
  <si>
    <t xml:space="preserve">        d = {}</t>
  </si>
  <si>
    <t xml:space="preserve">    return d</t>
  </si>
  <si>
    <t>def setupMaxDiffItemsI(d, vt, question):</t>
  </si>
  <si>
    <t xml:space="preserve">    item_index = dict( (r.o.label.strip("item"), r.index) for r in question.rows )</t>
  </si>
  <si>
    <t xml:space="preserve">    items = d[vt]</t>
  </si>
  <si>
    <t xml:space="preserve">    for r in question.rows:</t>
  </si>
  <si>
    <t xml:space="preserve">        if r.o.label.strip("item") not in items:</t>
  </si>
  <si>
    <t xml:space="preserve">            r.disabled = True</t>
  </si>
  <si>
    <t xml:space="preserve">    question.rows.order = [ item_index[i] for i in items ]</t>
  </si>
  <si>
    <t xml:space="preserve">    print "*****STAFF ONLY*****"</t>
  </si>
  <si>
    <t xml:space="preserve">    print "Version_Task: %s" % vt</t>
  </si>
  <si>
    <t xml:space="preserve">    for i in range(len(items)):</t>
  </si>
  <si>
    <t xml:space="preserve">        print "Item %s: %s" % (i+1,items[i])</t>
  </si>
  <si>
    <t xml:space="preserve">        p.maxdiff1.append(items[i])</t>
  </si>
  <si>
    <t>&lt;/exec&gt;</t>
  </si>
  <si>
    <t>&lt;exec&gt;</t>
  </si>
  <si>
    <t>p.maxdiff1=[]</t>
  </si>
  <si>
    <t xml:space="preserve">&lt;radio </t>
  </si>
  <si>
    <t xml:space="preserve">  label="Mode"</t>
  </si>
  <si>
    <t xml:space="preserve">  where="execute,survey,report"&gt;</t>
  </si>
  <si>
    <t xml:space="preserve">  &lt;title&gt;Mode&lt;/title&gt;</t>
  </si>
  <si>
    <t xml:space="preserve">  &lt;comment&gt;Mode of the survey&lt;/comment&gt;</t>
  </si>
  <si>
    <t xml:space="preserve">  &lt;exec&gt;</t>
  </si>
  <si>
    <t>if md.isdigit():</t>
  </si>
  <si>
    <t xml:space="preserve">  if int(md)==1:</t>
  </si>
  <si>
    <t xml:space="preserve">   Mode.val=Mode.r1.index</t>
  </si>
  <si>
    <t xml:space="preserve">  else:</t>
  </si>
  <si>
    <t xml:space="preserve">   Mode.val=Mode.r2.index</t>
  </si>
  <si>
    <t>else:</t>
  </si>
  <si>
    <t xml:space="preserve"> Mode.val=Mode.r2.index</t>
  </si>
  <si>
    <t xml:space="preserve">  &lt;/exec&gt;</t>
  </si>
  <si>
    <t xml:space="preserve">  &lt;row label="r1"&gt;Live&lt;/row&gt;</t>
  </si>
  <si>
    <t xml:space="preserve">  &lt;row label="r2"&gt;Test&lt;/row&gt;</t>
  </si>
  <si>
    <t>&lt;/radio&gt;</t>
  </si>
  <si>
    <t xml:space="preserve">  label="MC"</t>
  </si>
  <si>
    <t xml:space="preserve">  optional="1"</t>
  </si>
  <si>
    <t xml:space="preserve">  &lt;title&gt;MC&lt;/title&gt;</t>
  </si>
  <si>
    <t>if device.desktop:</t>
  </si>
  <si>
    <t xml:space="preserve">    MC.val=MC.r2.index</t>
  </si>
  <si>
    <t xml:space="preserve">    MC.val=MC.r1.index</t>
  </si>
  <si>
    <t xml:space="preserve">  &lt;row label="r1" value="1"&gt;Mobile Device&lt;/row&gt;</t>
  </si>
  <si>
    <t xml:space="preserve">  &lt;row label="r2" value="2"&gt;Desktop Device&lt;/row&gt;</t>
  </si>
  <si>
    <t xml:space="preserve">  label="XMOBILE"</t>
  </si>
  <si>
    <t xml:space="preserve">  &lt;title&gt;XMOBILE (COMPUTED)&lt;/title&gt;</t>
  </si>
  <si>
    <t xml:space="preserve">    XMOBILE.val=MC.r2.index</t>
  </si>
  <si>
    <t xml:space="preserve">    XMOBILE.val=MC.r1.index</t>
  </si>
  <si>
    <t xml:space="preserve">  &lt;row label="r1" value="1"&gt;&amp;lt;style type="text/css"&amp;gt;label br {display: none;}&amp;lt;/style&amp;gt;&lt;/row&gt;</t>
  </si>
  <si>
    <t xml:space="preserve">  &lt;row label="r2" value="2"/&gt;</t>
  </si>
  <si>
    <t>&lt;pipe label="mhover" onLoad="fixupPipe()"&gt;</t>
  </si>
  <si>
    <t xml:space="preserve">  &lt;case label="c1" cond="MC.r1"&gt;&amp;lt;link rel="stylesheet" type="text/css" href="https://emea.focusvision.com/survey/selfserve/21a7/260121/hover.css"&amp;gt;&amp;lt;link rel="stylesheet" type="text/css" href="https://emea.focusvision.com/survey/selfserve/21a7/260121/mouse_mobile_hover.css"&amp;gt;&lt;/case&gt;</t>
  </si>
  <si>
    <t xml:space="preserve">  &lt;case label="c2" cond="MC.r2"&gt;&amp;lt;link rel="stylesheet" type="text/css" href="https://emea.focusvision.com/survey/selfserve/21a7/260121/hover.css"&amp;gt;&amp;lt;link rel="stylesheet" type="text/css" href="https://emea.focusvision.com/survey/selfserve/21a7/260121/mouse_hover.css"&amp;gt;&lt;/case&gt;</t>
  </si>
  <si>
    <t xml:space="preserve">  &lt;case label="c3" cond="1"/&gt;&lt;/pipe&gt;</t>
  </si>
  <si>
    <t>p.pri1=0</t>
  </si>
  <si>
    <t>def Prompt(Qid):</t>
  </si>
  <si>
    <t xml:space="preserve">        if not(Qid.any) and p.pri1==0:</t>
  </si>
  <si>
    <t xml:space="preserve">           error(res.PROMPTERROR)</t>
  </si>
  <si>
    <t xml:space="preserve">           p.pri1=1</t>
  </si>
  <si>
    <t>def Prompt1(Qid):</t>
  </si>
  <si>
    <t xml:space="preserve"> for i in Qid.rows:</t>
  </si>
  <si>
    <t>if Qid[i].displayed and not(Qid[i].any) and p.pri1==0:</t>
  </si>
  <si>
    <t>error(res.PROMPTERROR1)</t>
  </si>
  <si>
    <t>p.pri1=1</t>
  </si>
  <si>
    <t>def Prompt2(Qid):</t>
  </si>
  <si>
    <t>if not(Qid[i].all) and p.pri1==0:</t>
  </si>
  <si>
    <t>def Prompt3(Qid):</t>
  </si>
  <si>
    <t xml:space="preserve">        if Qid.displayed and not(Qid.any) and p.pri1==0:</t>
  </si>
  <si>
    <t>def Prompt4(Qid):</t>
  </si>
  <si>
    <t>initarr=0</t>
  </si>
  <si>
    <t>for i in Qid.rows:</t>
  </si>
  <si>
    <t>if i.displayed and len(i.val) gt 0:</t>
  </si>
  <si>
    <t>initarr=1</t>
  </si>
  <si>
    <t>break</t>
  </si>
  <si>
    <t>if initarr==0 and p.pri1==0:</t>
  </si>
  <si>
    <t>error(res.PROMPTERROR)</t>
  </si>
  <si>
    <t>def Punch(Qid):</t>
  </si>
  <si>
    <t>if not(Qid.any):</t>
  </si>
  <si>
    <t xml:space="preserve">  Qid.val=Qid.r99.index</t>
  </si>
  <si>
    <t>def Punch1(Qid):</t>
  </si>
  <si>
    <t xml:space="preserve">  for i in Qid.rows:</t>
  </si>
  <si>
    <t xml:space="preserve">    if i.displayed and not(i.any):</t>
  </si>
  <si>
    <t xml:space="preserve">  Qid[i].val=Qid[i].c99.index</t>
  </si>
  <si>
    <t xml:space="preserve">  p.pri1=0</t>
  </si>
  <si>
    <t>def Punch2(Qid):</t>
  </si>
  <si>
    <t xml:space="preserve">  Qid.r99.val=1</t>
  </si>
  <si>
    <t>def Punch3(Qid):</t>
  </si>
  <si>
    <t>if Qid.displayed and not(Qid.any):</t>
  </si>
  <si>
    <t>def Punch4(Qid):</t>
  </si>
  <si>
    <t>if i.displayed and not(i.val == "None" or i.empty):</t>
  </si>
  <si>
    <t>if initarr==0:</t>
  </si>
  <si>
    <t>Qid.r99.val=1</t>
  </si>
  <si>
    <t>def Prompt5(Qid):</t>
  </si>
  <si>
    <t xml:space="preserve">   if Qid.empty and p.pri1==0:</t>
  </si>
  <si>
    <t>error(res.PROMPTERROR2)</t>
  </si>
  <si>
    <t xml:space="preserve">&lt;checkbox </t>
  </si>
  <si>
    <t xml:space="preserve">  label="Flag_prism"</t>
  </si>
  <si>
    <t xml:space="preserve">  &lt;title&gt;Survey completed or not&lt;/title&gt;</t>
  </si>
  <si>
    <t>s = str(comp_sflag)</t>
  </si>
  <si>
    <t>b="123456789a"</t>
  </si>
  <si>
    <t>letters = [x for x in b]</t>
  </si>
  <si>
    <t># 1 = not complete the survey, 0 = Already completed the survey</t>
  </si>
  <si>
    <t>flags = [0 if ch in s else 1 for ch in letters]</t>
  </si>
  <si>
    <t>for row, flag in zip(Flag_prism.rows, flags):</t>
  </si>
  <si>
    <t xml:space="preserve">    if flag:</t>
  </si>
  <si>
    <t xml:space="preserve">        row.val = 1</t>
  </si>
  <si>
    <t xml:space="preserve">  &lt;row label="r1"&gt;ESI/MA Survey&lt;/row&gt;</t>
  </si>
  <si>
    <t xml:space="preserve">  &lt;row label="r2"&gt;GLP-1 Survey&lt;/row&gt;</t>
  </si>
  <si>
    <t xml:space="preserve">  &lt;row label="r3"&gt;AL/VAX/VICP survey&lt;/row&gt;</t>
  </si>
  <si>
    <t xml:space="preserve">  &lt;row label="r4"&gt;PREGNANCY Survey&lt;/row&gt;</t>
  </si>
  <si>
    <t xml:space="preserve">  &lt;row label="r5"&gt;Survey5&lt;/row&gt;</t>
  </si>
  <si>
    <t xml:space="preserve">  &lt;row label="r6"&gt;Survey6&lt;/row&gt;</t>
  </si>
  <si>
    <t xml:space="preserve">  &lt;row label="r7"&gt;Survey7&lt;/row&gt;</t>
  </si>
  <si>
    <t xml:space="preserve">  &lt;row label="r8"&gt;Survey8&lt;/row&gt;</t>
  </si>
  <si>
    <t xml:space="preserve">  &lt;row label="r9"&gt;Survey9&lt;/row&gt;</t>
  </si>
  <si>
    <t xml:space="preserve">  &lt;row label="r10"&gt;Survey10&lt;/row&gt;</t>
  </si>
  <si>
    <t>&lt;/checkbox&gt;</t>
  </si>
  <si>
    <t>&lt;quota label="quo1" overquota="noqual" sheet="Total Quota"/&gt;</t>
  </si>
  <si>
    <t>&lt;html label="intro" where="survey"&gt;&lt;strong&gt;&lt;p&gt;&lt;span style="font-size: 14pt;"&gt;Thank you for taking time to complete this important survey. Your voice contributes to a broader effort to understand how individuals make sense of health care and public policy. Insights from this study help inform conversations about the future of health care in the United States. &lt;/span&gt;&lt;span style="font-size: 14pt;"&gt;Let's begin...&lt;/span&gt;&lt;/p&gt;&lt;/strong&gt;&lt;/html&gt;</t>
  </si>
  <si>
    <t xml:space="preserve">  label="QS1"&gt;</t>
  </si>
  <si>
    <t xml:space="preserve">  &lt;title&gt;&lt;span class="ques_no"&gt;${this.label}&lt;/span&gt; &lt;strong&gt;Are you registered to vote?&lt;/strong&gt;&lt;/title&gt;</t>
  </si>
  <si>
    <t xml:space="preserve">  &lt;row label="r1" value="1"&gt;Yes&lt;/row&gt;</t>
  </si>
  <si>
    <t xml:space="preserve">  &lt;row label="r2" value="2"&gt;No&lt;/row&gt;</t>
  </si>
  <si>
    <t>&lt;exec cond="QS1.r2"&gt;</t>
  </si>
  <si>
    <t>vscreenout.val= str('QS1')</t>
  </si>
  <si>
    <t>setMarker('Screened-QS1')</t>
  </si>
  <si>
    <t>&lt;term label="Term_QS1" cond="QS1.r2"&gt;QS1 termination&lt;/term&gt;</t>
  </si>
  <si>
    <t xml:space="preserve">&lt;text </t>
  </si>
  <si>
    <t xml:space="preserve">  label="QZIP"</t>
  </si>
  <si>
    <t xml:space="preserve">  optional="0"</t>
  </si>
  <si>
    <t xml:space="preserve">  size="5"</t>
  </si>
  <si>
    <t xml:space="preserve">  verify="zipcode"&gt;</t>
  </si>
  <si>
    <t xml:space="preserve">  &lt;title&gt;&lt;strong&gt;Please enter your 5-digit ZIP Code&lt;/strong&gt; (the Zip Code of your primary residence where you are registered to vote)&lt;/title&gt;</t>
  </si>
  <si>
    <t>&lt;/text&gt;</t>
  </si>
  <si>
    <t>def zipCodeFile(fname, zipHeader):</t>
  </si>
  <si>
    <t xml:space="preserve">  try:</t>
  </si>
  <si>
    <t xml:space="preserve">      zipCodesData = File( "%s/%s" % (gv.survey.path, fname), zipHeader)</t>
  </si>
  <si>
    <t xml:space="preserve">  except IOError:</t>
  </si>
  <si>
    <t xml:space="preserve">      zipCodesData = ""</t>
  </si>
  <si>
    <t xml:space="preserve">  return zipCodesData</t>
  </si>
  <si>
    <t>ZIPCODES1 = zipCodeFile("find_duplicate.dat", "unique")</t>
  </si>
  <si>
    <t>ZIPCODES2 = zipCodeFile("find_duplicate.dat", "d2")</t>
  </si>
  <si>
    <t>ZIPCODES3 = zipCodeFile("find_duplicate.dat", "d3")</t>
  </si>
  <si>
    <t>ZIPCODES4 = zipCodeFile("find_duplicate.dat", "d4")</t>
  </si>
  <si>
    <t>ZIPCODES5 = zipCodeFile("find_duplicate.dat", "d5")</t>
  </si>
  <si>
    <t>myzip=zipCodeFile("Zipcodefile.dat", "ZIP")</t>
  </si>
  <si>
    <t xml:space="preserve">  label="xzip_duplicate"</t>
  </si>
  <si>
    <t xml:space="preserve">  &lt;title&gt;Hidden: Maxdiff selection&lt;/title&gt;</t>
  </si>
  <si>
    <t>RECORD1 = ZIPCODES1.get( QZIP.val )</t>
  </si>
  <si>
    <t>RECORD2 = ZIPCODES2.get( QZIP.val )</t>
  </si>
  <si>
    <t>RECORD3 = ZIPCODES3.get( QZIP.val )</t>
  </si>
  <si>
    <t>RECORD4 = ZIPCODES4.get( QZIP.val )</t>
  </si>
  <si>
    <t>RECORD5 = ZIPCODES5.get( QZIP.val )</t>
  </si>
  <si>
    <t>if (RECORD1):</t>
  </si>
  <si>
    <t>xzip_duplicate.val=xzip_duplicate.r1.index</t>
  </si>
  <si>
    <t>if (RECORD2):</t>
  </si>
  <si>
    <t>xzip_duplicate.val=xzip_duplicate.r2.index</t>
  </si>
  <si>
    <t>if (RECORD3):</t>
  </si>
  <si>
    <t>xzip_duplicate.val=xzip_duplicate.r3.index</t>
  </si>
  <si>
    <t>if (RECORD4):</t>
  </si>
  <si>
    <t>xzip_duplicate.val=xzip_duplicate.r4.index</t>
  </si>
  <si>
    <t>if (RECORD5):</t>
  </si>
  <si>
    <t>xzip_duplicate.val=xzip_duplicate.r5.index</t>
  </si>
  <si>
    <t xml:space="preserve">  &lt;row label="r1"&gt;Unique&lt;/row&gt;</t>
  </si>
  <si>
    <t xml:space="preserve">  &lt;row label="r2"&gt;Duplicate TWO&lt;/row&gt;</t>
  </si>
  <si>
    <t xml:space="preserve">  &lt;row label="r3"&gt;Duplicate THREE&lt;/row&gt;</t>
  </si>
  <si>
    <t xml:space="preserve">  &lt;row label="r4"&gt;Duplicate FOUR&lt;/row&gt;</t>
  </si>
  <si>
    <t xml:space="preserve">  &lt;row label="r5"&gt;Duplicate FIVE&lt;/row&gt;</t>
  </si>
  <si>
    <t>&lt;quota label="quo3" cond="xzip_duplicate.r2" overquota="noqual" sheet="Dup_TWO Quota"/&gt;</t>
  </si>
  <si>
    <t>&lt;quota label="quo4" cond="xzip_duplicate.r3" overquota="noqual" sheet="Dup_THREE Quota"/&gt;</t>
  </si>
  <si>
    <t>&lt;quota label="quo5" cond="xzip_duplicate.r4" overquota="noqual" sheet="Dup_FOUR Quota"/&gt;</t>
  </si>
  <si>
    <t>&lt;quota label="quo6" cond="xzip_duplicate.r5" overquota="noqual" sheet="Dup_FIVE Quota"/&gt;</t>
  </si>
  <si>
    <t xml:space="preserve">  label="xzip_count"</t>
  </si>
  <si>
    <t xml:space="preserve">xzip_count.val=5  </t>
  </si>
  <si>
    <t>if xzip_duplicate.r1:</t>
  </si>
  <si>
    <t>xzip_count.val=0</t>
  </si>
  <si>
    <t>elif xzip_duplicate.but(xzip_duplicate.r1).any:</t>
  </si>
  <si>
    <t>for x in range(5):</t>
  </si>
  <si>
    <t>if hasMarker("/*/d2_{}".format(x+1)) or hasMarker("/*/d3_{}".format(x+1)) or hasMarker("/*/d4_{}".format(x+1)) or hasMarker("/*/d5_{}".format(x+1)):</t>
  </si>
  <si>
    <t>xzip_count.val=x</t>
  </si>
  <si>
    <t xml:space="preserve">  &lt;row label="r1"&gt;_1&lt;/row&gt;</t>
  </si>
  <si>
    <t xml:space="preserve">  &lt;row label="r2"&gt;_2&lt;/row&gt;</t>
  </si>
  <si>
    <t xml:space="preserve">  &lt;row label="r3"&gt;_3&lt;/row&gt;</t>
  </si>
  <si>
    <t xml:space="preserve">  &lt;row label="r4"&gt;_4&lt;/row&gt;</t>
  </si>
  <si>
    <t xml:space="preserve">  &lt;row label="r5"&gt;_5&lt;/row&gt;</t>
  </si>
  <si>
    <t xml:space="preserve">  &lt;row label="r99"&gt;_0&lt;/row&gt;</t>
  </si>
  <si>
    <t xml:space="preserve">  label="XQREGION"</t>
  </si>
  <si>
    <t xml:space="preserve">  values="order"</t>
  </si>
  <si>
    <t xml:space="preserve">  &lt;title&gt;&lt;span class="ques_no"&gt;${this.label}. &lt;/span&gt;CENSUS REGION&lt;/title&gt;</t>
  </si>
  <si>
    <t>myval=str(QZIP.val)</t>
  </si>
  <si>
    <t>myval=myval+str(xzip_count.rows[xzip_count.val].text)</t>
  </si>
  <si>
    <t>respinfo=myzip.get(myval)</t>
  </si>
  <si>
    <t>if respinfo and respinfo['region']!="":</t>
  </si>
  <si>
    <t>XQREGION.val=XQREGION.attr("r"+str(respinfo['region'])).index</t>
  </si>
  <si>
    <t>XQREGION.val=XQREGION.r99.index</t>
  </si>
  <si>
    <t xml:space="preserve">  &lt;row label="r1" value="1"&gt;NORTHEAST&lt;/row&gt;</t>
  </si>
  <si>
    <t xml:space="preserve">  &lt;row label="r2" value="2"&gt;MIDWEST&lt;/row&gt;</t>
  </si>
  <si>
    <t xml:space="preserve">  &lt;row label="r3" value="3"&gt;SOUTH&lt;/row&gt;</t>
  </si>
  <si>
    <t xml:space="preserve">  &lt;row label="r4" value="4"&gt;WEST&lt;/row&gt;</t>
  </si>
  <si>
    <t xml:space="preserve">  &lt;row label="r99" value="99"&gt;SYSTEM MISSING&lt;/row&gt;</t>
  </si>
  <si>
    <t xml:space="preserve">  label="XQDIVISION"</t>
  </si>
  <si>
    <t xml:space="preserve">  &lt;title&gt;&lt;span class="ques_no"&gt;${this.label}. &lt;/span&gt;CENSUS DIVISION&lt;/title&gt;</t>
  </si>
  <si>
    <t>if respinfo and respinfo['division'] != "":</t>
  </si>
  <si>
    <t>XQDIVISION.val=XQDIVISION.attr("r"+str(respinfo['division'])).index</t>
  </si>
  <si>
    <t>else: XQDIVISION.val=XQDIVISION.r99.index</t>
  </si>
  <si>
    <t xml:space="preserve">  &lt;row label="r1" value="1"&gt;NEW ENGLAND&lt;/row&gt;</t>
  </si>
  <si>
    <t xml:space="preserve">  &lt;row label="r2" value="2"&gt;MID-ATLANTIC&lt;/row&gt;</t>
  </si>
  <si>
    <t xml:space="preserve">  &lt;row label="r3" value="3"&gt;EAST NORTH CENTRAL&lt;/row&gt;</t>
  </si>
  <si>
    <t xml:space="preserve">  &lt;row label="r4" value="4"&gt;WEST NORTH CENTRAL&lt;/row&gt;</t>
  </si>
  <si>
    <t xml:space="preserve">  &lt;row label="r5" value="5"&gt;SOUTH ATLANTIC&lt;/row&gt;</t>
  </si>
  <si>
    <t xml:space="preserve">  &lt;row label="r6" value="6"&gt;EAST SOUTH CENTRAL&lt;/row&gt;</t>
  </si>
  <si>
    <t xml:space="preserve">  &lt;row label="r7" value="7"&gt;WEST SOUTH CENTRAL&lt;/row&gt;</t>
  </si>
  <si>
    <t xml:space="preserve">  &lt;row label="r8" value="8"&gt;MOUNTAIN&lt;/row&gt;</t>
  </si>
  <si>
    <t xml:space="preserve">  &lt;row label="r9" value="9"&gt;PACIFIC&lt;/row&gt;</t>
  </si>
  <si>
    <t xml:space="preserve">  label="XQCDNO"</t>
  </si>
  <si>
    <t xml:space="preserve">  &lt;title&gt;&lt;span class="ques_no"&gt;${this.label}. &lt;/span&gt;QCDNO&lt;/title&gt;</t>
  </si>
  <si>
    <t>if respinfo and respinfo['cdno'] != "":</t>
  </si>
  <si>
    <t>XQCDNO.r1.val=respinfo['cdno']</t>
  </si>
  <si>
    <t>XQCDNO.r99.val=1</t>
  </si>
  <si>
    <t xml:space="preserve">  &lt;row label="r1"&gt;QCDNO&lt;/row&gt;</t>
  </si>
  <si>
    <t xml:space="preserve">  &lt;noanswer label="r99"&gt;System Missing&lt;/noanswer&gt;</t>
  </si>
  <si>
    <t xml:space="preserve">  label="XQSTATE"</t>
  </si>
  <si>
    <t xml:space="preserve">  &lt;title&gt;&lt;span class="ques_no"&gt;${this.label}. &lt;/span&gt;STATE&lt;/title&gt;</t>
  </si>
  <si>
    <t>if respinfo and respinfo['state'] != "":</t>
  </si>
  <si>
    <t>XQSTATE.val=XQSTATE.attr(respinfo['state'].upper()).index</t>
  </si>
  <si>
    <t>XQSTATE.val=XQSTATE.r99.index</t>
  </si>
  <si>
    <t xml:space="preserve">  &lt;row label="AL"&gt;Alabama&lt;/row&gt;</t>
  </si>
  <si>
    <t xml:space="preserve">  &lt;row label="AK"&gt;Alaska&lt;/row&gt;</t>
  </si>
  <si>
    <t xml:space="preserve">  &lt;row label="AZ"&gt;Arizona&lt;/row&gt;</t>
  </si>
  <si>
    <t xml:space="preserve">  &lt;row label="AR"&gt;Arkansas&lt;/row&gt;</t>
  </si>
  <si>
    <t xml:space="preserve">  &lt;row label="CA"&gt;California&lt;/row&gt;</t>
  </si>
  <si>
    <t xml:space="preserve">  &lt;row label="CO"&gt;Colorado&lt;/row&gt;</t>
  </si>
  <si>
    <t xml:space="preserve">  &lt;row label="CT"&gt;Connecticut&lt;/row&gt;</t>
  </si>
  <si>
    <t xml:space="preserve">  &lt;row label="DE"&gt;Delaware&lt;/row&gt;</t>
  </si>
  <si>
    <t xml:space="preserve">  &lt;row label="DC"&gt;District of Columbia&lt;/row&gt;</t>
  </si>
  <si>
    <t xml:space="preserve">  &lt;row label="FL"&gt;Florida&lt;/row&gt;</t>
  </si>
  <si>
    <t xml:space="preserve">  &lt;row label="GA"&gt;Georgia&lt;/row&gt;</t>
  </si>
  <si>
    <t xml:space="preserve">  &lt;row label="HI"&gt;Hawaii&lt;/row&gt;</t>
  </si>
  <si>
    <t xml:space="preserve">  &lt;row label="ID"&gt;Idaho&lt;/row&gt;</t>
  </si>
  <si>
    <t xml:space="preserve">  &lt;row label="IL"&gt;Illinois&lt;/row&gt;</t>
  </si>
  <si>
    <t xml:space="preserve">  &lt;row label="IN"&gt;Indiana&lt;/row&gt;</t>
  </si>
  <si>
    <t xml:space="preserve">  &lt;row label="IA"&gt;Iowa&lt;/row&gt;</t>
  </si>
  <si>
    <t xml:space="preserve">  &lt;row label="KS"&gt;Kansas&lt;/row&gt;</t>
  </si>
  <si>
    <t xml:space="preserve">  &lt;row label="KY"&gt;Kentucky&lt;/row&gt;</t>
  </si>
  <si>
    <t xml:space="preserve">  &lt;row label="LA"&gt;Louisiana&lt;/row&gt;</t>
  </si>
  <si>
    <t xml:space="preserve">  &lt;row label="ME"&gt;Maine&lt;/row&gt;</t>
  </si>
  <si>
    <t xml:space="preserve">  &lt;row label="MD"&gt;Maryland&lt;/row&gt;</t>
  </si>
  <si>
    <t xml:space="preserve">  &lt;row label="MA"&gt;Massachusetts&lt;/row&gt;</t>
  </si>
  <si>
    <t xml:space="preserve">  &lt;row label="MI"&gt;Michigan&lt;/row&gt;</t>
  </si>
  <si>
    <t xml:space="preserve">  &lt;row label="MN"&gt;Minnesota&lt;/row&gt;</t>
  </si>
  <si>
    <t xml:space="preserve">  &lt;row label="MS"&gt;Mississippi&lt;/row&gt;</t>
  </si>
  <si>
    <t xml:space="preserve">  &lt;row label="MO"&gt;Missouri&lt;/row&gt;</t>
  </si>
  <si>
    <t xml:space="preserve">  &lt;row label="MT"&gt;Montana&lt;/row&gt;</t>
  </si>
  <si>
    <t xml:space="preserve">  &lt;row label="NE"&gt;Nebraska&lt;/row&gt;</t>
  </si>
  <si>
    <t xml:space="preserve">  &lt;row label="NV"&gt;Nevada&lt;/row&gt;</t>
  </si>
  <si>
    <t xml:space="preserve">  &lt;row label="NH"&gt;New Hampshire&lt;/row&gt;</t>
  </si>
  <si>
    <t xml:space="preserve">  &lt;row label="NJ"&gt;New Jersey&lt;/row&gt;</t>
  </si>
  <si>
    <t xml:space="preserve">  &lt;row label="NM"&gt;New Mexico&lt;/row&gt;</t>
  </si>
  <si>
    <t xml:space="preserve">  &lt;row label="NY"&gt;New York&lt;/row&gt;</t>
  </si>
  <si>
    <t xml:space="preserve">  &lt;row label="NC"&gt;North Carolina&lt;/row&gt;</t>
  </si>
  <si>
    <t xml:space="preserve">  &lt;row label="ND"&gt;North Dakota&lt;/row&gt;</t>
  </si>
  <si>
    <t xml:space="preserve">  &lt;row label="OH"&gt;Ohio&lt;/row&gt;</t>
  </si>
  <si>
    <t xml:space="preserve">  &lt;row label="OK"&gt;Oklahoma&lt;/row&gt;</t>
  </si>
  <si>
    <t xml:space="preserve">  &lt;row label="OR"&gt;Oregon&lt;/row&gt;</t>
  </si>
  <si>
    <t xml:space="preserve">  &lt;row label="PA"&gt;Pennsylvania&lt;/row&gt;</t>
  </si>
  <si>
    <t xml:space="preserve">  &lt;row label="RI"&gt;Rhode Island&lt;/row&gt;</t>
  </si>
  <si>
    <t xml:space="preserve">  &lt;row label="SC"&gt;South Carolina&lt;/row&gt;</t>
  </si>
  <si>
    <t xml:space="preserve">  &lt;row label="SD"&gt;South Dakota&lt;/row&gt;</t>
  </si>
  <si>
    <t xml:space="preserve">  &lt;row label="TN"&gt;Tennessee&lt;/row&gt;</t>
  </si>
  <si>
    <t xml:space="preserve">  &lt;row label="TX"&gt;Texas&lt;/row&gt;</t>
  </si>
  <si>
    <t xml:space="preserve">  &lt;row label="UT"&gt;Utah&lt;/row&gt;</t>
  </si>
  <si>
    <t xml:space="preserve">  &lt;row label="VT"&gt;Vermont&lt;/row&gt;</t>
  </si>
  <si>
    <t xml:space="preserve">  &lt;row label="VA"&gt;Virginia&lt;/row&gt;</t>
  </si>
  <si>
    <t xml:space="preserve">  &lt;row label="WA"&gt;Washington&lt;/row&gt;</t>
  </si>
  <si>
    <t xml:space="preserve">  &lt;row label="WV"&gt;West Virginia&lt;/row&gt;</t>
  </si>
  <si>
    <t xml:space="preserve">  &lt;row label="WI"&gt;Wisconsin&lt;/row&gt;</t>
  </si>
  <si>
    <t xml:space="preserve">  &lt;row label="WY"&gt;Wyoming&lt;/row&gt;</t>
  </si>
  <si>
    <t xml:space="preserve">  &lt;row label="GU"&gt;Guam&lt;/row&gt;</t>
  </si>
  <si>
    <t xml:space="preserve">  &lt;row label="r99"&gt;System Missing&lt;/row&gt;</t>
  </si>
  <si>
    <t xml:space="preserve">  label="XQCD"</t>
  </si>
  <si>
    <t xml:space="preserve">  &lt;title&gt;&lt;span class="ques_no"&gt;${this.label}. &lt;/span&gt;CD&lt;/title&gt;</t>
  </si>
  <si>
    <t>if respinfo and respinfo['cd'] != "":</t>
  </si>
  <si>
    <t>XQCD.r1.val=respinfo['cd']</t>
  </si>
  <si>
    <t>XQCD.r99.val=1</t>
  </si>
  <si>
    <t xml:space="preserve">  &lt;row label="r1"&gt;CD&lt;/row&gt;</t>
  </si>
  <si>
    <t xml:space="preserve">  label="XQUSREP"</t>
  </si>
  <si>
    <t xml:space="preserve">  &lt;title&gt;&lt;span class="ques_no"&gt;${this.label}. &lt;/span&gt;CONGRESSPERSON&lt;/title&gt;</t>
  </si>
  <si>
    <t>if respinfo and respinfo['usrep'] != "":</t>
  </si>
  <si>
    <t>XQUSREP.r1.val=respinfo['usrep']</t>
  </si>
  <si>
    <t>XQUSREP.r99.val=1</t>
  </si>
  <si>
    <t xml:space="preserve">  &lt;row label="r1"&gt;CONGRESSPERSON&lt;/row&gt;</t>
  </si>
  <si>
    <t xml:space="preserve">  label="XQSEN1"</t>
  </si>
  <si>
    <t xml:space="preserve">  &lt;title&gt;&lt;span class="ques_no"&gt;${this.label}. &lt;/span&gt;SENATOR 1&lt;/title&gt;</t>
  </si>
  <si>
    <t>if respinfo and respinfo['sen1'] != "":</t>
  </si>
  <si>
    <t>XQSEN1.r1.val=respinfo['sen1']</t>
  </si>
  <si>
    <t>XQSEN1.r99.val=1</t>
  </si>
  <si>
    <t xml:space="preserve">  &lt;row label="r1"&gt;&lt;span style="color: black;"&gt;SENATOR 1&lt;/span&gt;&lt;/row&gt;</t>
  </si>
  <si>
    <t xml:space="preserve">  label="XQSEN2"</t>
  </si>
  <si>
    <t xml:space="preserve">  &lt;title&gt;&lt;span class="ques_no"&gt;${this.label}. &lt;/span&gt;SENATOR 2&lt;/title&gt;</t>
  </si>
  <si>
    <t>if respinfo and (respinfo['sen2'] != "" and respinfo['sen2'] != '0'):</t>
  </si>
  <si>
    <t>XQSEN2.r1.val=respinfo['sen2']</t>
  </si>
  <si>
    <t>XQSEN2.r99.val=1</t>
  </si>
  <si>
    <t xml:space="preserve">  &lt;row label="r1"&gt;&lt;span style="color: black;"&gt;SENATOR 2&lt;/span&gt;&lt;/row&gt;</t>
  </si>
  <si>
    <t xml:space="preserve">  label="XQPrimaryRUCA"</t>
  </si>
  <si>
    <t xml:space="preserve">  &lt;title&gt;&lt;span class="ques_no"&gt;${this.label}. &lt;/span&gt;PrimaryRUCA&lt;/title&gt;</t>
  </si>
  <si>
    <t>if respinfo and respinfo['primaryruca'] != "":</t>
  </si>
  <si>
    <t>XQPrimaryRUCA.val=XQPrimaryRUCA.attr("r"+str(respinfo['primaryruca'])).index</t>
  </si>
  <si>
    <t>XQPrimaryRUCA.val=XQPrimaryRUCA.r99.index</t>
  </si>
  <si>
    <t xml:space="preserve">  &lt;row label="r1" value="1"&gt;1&lt;/row&gt;</t>
  </si>
  <si>
    <t xml:space="preserve">  &lt;row label="r2" value="2"&gt;2&lt;/row&gt;</t>
  </si>
  <si>
    <t xml:space="preserve">  &lt;row label="r3" value="3"&gt;3&lt;/row&gt;</t>
  </si>
  <si>
    <t xml:space="preserve">  &lt;row label="r4" value="4"&gt;4&lt;/row&gt;</t>
  </si>
  <si>
    <t xml:space="preserve">  &lt;row label="r5" value="5"&gt;5&lt;/row&gt;</t>
  </si>
  <si>
    <t xml:space="preserve">  &lt;row label="r6" value="6"&gt;6&lt;/row&gt;</t>
  </si>
  <si>
    <t xml:space="preserve">  &lt;row label="r7" value="7"&gt;7&lt;/row&gt;</t>
  </si>
  <si>
    <t xml:space="preserve">  &lt;row label="r8" value="8"&gt;8&lt;/row&gt;</t>
  </si>
  <si>
    <t xml:space="preserve">  &lt;row label="r9" value="9"&gt;9&lt;/row&gt;</t>
  </si>
  <si>
    <t xml:space="preserve">  &lt;row label="r10" value="10"&gt;10&lt;/row&gt;</t>
  </si>
  <si>
    <t xml:space="preserve">  &lt;row label="r99" value="99"&gt;System Missing&lt;/row&gt;</t>
  </si>
  <si>
    <t xml:space="preserve">  label="XQSecondaryRUCA"</t>
  </si>
  <si>
    <t xml:space="preserve">  &lt;title&gt;&lt;span class="ques_no"&gt;${this.label}. &lt;/span&gt;SecondaryRUCA&lt;/title&gt;</t>
  </si>
  <si>
    <t>if respinfo and respinfo['secondaryruca'] != "":</t>
  </si>
  <si>
    <t>XQSecondaryRUCA.val=XQSecondaryRUCA.attr("r"+str(respinfo['secondaryruca'])).index</t>
  </si>
  <si>
    <t>XQSecondaryRUCA.val=XQSecondaryRUCA.r99.index</t>
  </si>
  <si>
    <t xml:space="preserve">  &lt;row label="r1_1" value="101"&gt;1.1&lt;/row&gt;</t>
  </si>
  <si>
    <t xml:space="preserve">  &lt;row label="r2_1" value="201"&gt;2.1&lt;/row&gt;</t>
  </si>
  <si>
    <t xml:space="preserve">  &lt;row label="r4_1" value="401"&gt;4.1&lt;/row&gt;</t>
  </si>
  <si>
    <t xml:space="preserve">  &lt;row label="r5_1" value="501"&gt;5.1&lt;/row&gt;</t>
  </si>
  <si>
    <t xml:space="preserve">  &lt;row label="r7_1" value="701"&gt;7.1&lt;/row&gt;</t>
  </si>
  <si>
    <t xml:space="preserve">  &lt;row label="r7_2" value="702"&gt;7.2&lt;/row&gt;</t>
  </si>
  <si>
    <t xml:space="preserve">  &lt;row label="r8_1" value="801"&gt;8.1&lt;/row&gt;</t>
  </si>
  <si>
    <t xml:space="preserve">  &lt;row label="r8_2" value="802"&gt;8.2&lt;/row&gt;</t>
  </si>
  <si>
    <t xml:space="preserve">  &lt;row label="r10_1" value="101"&gt;10.1&lt;/row&gt;</t>
  </si>
  <si>
    <t xml:space="preserve">  &lt;row label="r10_2" value="102"&gt;10.2&lt;/row&gt;</t>
  </si>
  <si>
    <t xml:space="preserve">  &lt;row label="r10_3" value="103"&gt;10.3&lt;/row&gt;</t>
  </si>
  <si>
    <t xml:space="preserve">&lt;number </t>
  </si>
  <si>
    <t xml:space="preserve">  label="QAGE"</t>
  </si>
  <si>
    <t xml:space="preserve">  size="3"</t>
  </si>
  <si>
    <t xml:space="preserve">  verify="range(18, 89)"&gt;</t>
  </si>
  <si>
    <t xml:space="preserve">  &lt;title&gt;&lt;span class="ques_no"&gt;${this.label}&lt;/span&gt; &lt;strong&gt;What is your age?&lt;/strong&gt;&lt;/title&gt;</t>
  </si>
  <si>
    <t>&lt;/number&gt;</t>
  </si>
  <si>
    <t xml:space="preserve">  label="QAGECAT5"</t>
  </si>
  <si>
    <t xml:space="preserve">  &lt;title&gt; AGE GROUP (HIDDEN)&lt;/title&gt;</t>
  </si>
  <si>
    <t>for eachRow in QAGECAT5.rows:</t>
  </si>
  <si>
    <t xml:space="preserve">    age_range = eachRow.o.alt # never set value using .o</t>
  </si>
  <si>
    <t xml:space="preserve">    if QAGE.check(age_range):</t>
  </si>
  <si>
    <t xml:space="preserve">        QAGECAT5.val = eachRow.index</t>
  </si>
  <si>
    <t xml:space="preserve">        break</t>
  </si>
  <si>
    <t xml:space="preserve">  &lt;row label="r1" alt="18-29"&gt;18-29&lt;/row&gt;</t>
  </si>
  <si>
    <t xml:space="preserve">  &lt;row label="r2" alt="30-44"&gt;30-44&lt;/row&gt;</t>
  </si>
  <si>
    <t xml:space="preserve">  &lt;row label="r3" alt="45-54"&gt;45-54&lt;/row&gt;</t>
  </si>
  <si>
    <t xml:space="preserve">  &lt;row label="r4" alt="55-64"&gt;55-64&lt;/row&gt;</t>
  </si>
  <si>
    <t xml:space="preserve">  &lt;row label="r5" alt="&amp;gt;= 65"&gt;65+&lt;/row&gt;</t>
  </si>
  <si>
    <t>&lt;quota label="Age_Quota" overquota="noqual" sheet="Age Quota"/&gt;</t>
  </si>
  <si>
    <t xml:space="preserve">  label="QGENDER"&gt;</t>
  </si>
  <si>
    <t xml:space="preserve">  &lt;title&gt;&lt;span class="ques_no"&gt;${this.label}&lt;/span&gt; Which of the following &lt;strong&gt;best describes your gender?&lt;/strong&gt;&lt;/title&gt;</t>
  </si>
  <si>
    <t xml:space="preserve">  &lt;row label="r1" value="1"&gt;Male&lt;/row&gt;</t>
  </si>
  <si>
    <t xml:space="preserve">  &lt;row label="r2" value="2"&gt;Female&lt;/row&gt;</t>
  </si>
  <si>
    <t xml:space="preserve">  &lt;row label="r3" value="3"&gt;Other&lt;/row&gt;</t>
  </si>
  <si>
    <t xml:space="preserve">  &lt;row label="r99" cond="0" value="99"&gt;Prefer not to answer&lt;/row&gt;</t>
  </si>
  <si>
    <t>&lt;quota label="Gender_Quota" overquota="noqual" sheet="Gender Quota"/&gt;</t>
  </si>
  <si>
    <t xml:space="preserve">  label="QVOTE24"&gt;</t>
  </si>
  <si>
    <t xml:space="preserve">  &lt;title&gt;&lt;span class="ques_no"&gt;${this.label}&lt;/span&gt; &lt;strong&gt;Who did you vote for in the latest (2024) Presidential election?&lt;/strong&gt;&lt;/title&gt;</t>
  </si>
  <si>
    <t xml:space="preserve">  &lt;row label="r1" value="1"&gt;Donald Trump (R)&lt;/row&gt;</t>
  </si>
  <si>
    <t xml:space="preserve">  &lt;row label="r2" value="2"&gt;Kamala Harris (D)&lt;/row&gt;</t>
  </si>
  <si>
    <t xml:space="preserve">  &lt;row label="r3" value="3"&gt;Someone else&lt;/row&gt;</t>
  </si>
  <si>
    <t xml:space="preserve">  &lt;row label="r4" value="4"&gt;I did not have the chance to vote&lt;/row&gt;</t>
  </si>
  <si>
    <t>&lt;exec cond="QVOTE24.r4"&gt;</t>
  </si>
  <si>
    <t>vscreenout.val= str('QVOTE24')</t>
  </si>
  <si>
    <t>setMarker('Screened-QVOTE24')</t>
  </si>
  <si>
    <t>&lt;term label="Term_VOTE24" cond="QVOTE24.r4"&gt;Did not vote&lt;/term&gt;</t>
  </si>
  <si>
    <t xml:space="preserve">  label="QS5"&gt;</t>
  </si>
  <si>
    <t xml:space="preserve">  &lt;title&gt;&lt;span class="ques_no"&gt;${this.label}&lt;/span&gt; &lt;strong&gt;In politics today, do you consider yourself a…&lt;/strong&gt;?&lt;/title&gt;</t>
  </si>
  <si>
    <t xml:space="preserve">  &lt;row label="r1"&gt;Republican&lt;/row&gt;</t>
  </si>
  <si>
    <t xml:space="preserve">  &lt;row label="r2"&gt;Democrat&lt;/row&gt;</t>
  </si>
  <si>
    <t xml:space="preserve">  &lt;row label="r3"&gt;Independent&lt;/row&gt;</t>
  </si>
  <si>
    <t xml:space="preserve">  &lt;row label="r4"&gt;Other&lt;/row&gt;</t>
  </si>
  <si>
    <t xml:space="preserve">  label="QS5A"</t>
  </si>
  <si>
    <t xml:space="preserve">  cond="QS5.r1 or QS5.r2"&gt;</t>
  </si>
  <si>
    <t xml:space="preserve">  &lt;title&gt;&lt;span class="ques_no"&gt;${this.label}&lt;/span&gt; &lt;strong&gt;Would you say you are a strong or not-so strong&amp;amp;nbsp;[pipe: QS5]?&lt;/strong&gt;&lt;/title&gt;</t>
  </si>
  <si>
    <t xml:space="preserve">  &lt;row label="r1"&gt;Strong [pipe: QS5]&lt;/row&gt;</t>
  </si>
  <si>
    <t xml:space="preserve">  &lt;row label="r2"&gt;Not so strong [pipe: QS5]&lt;/row&gt;</t>
  </si>
  <si>
    <t xml:space="preserve">  label="QS5B"</t>
  </si>
  <si>
    <t xml:space="preserve">  cond="QS5.r3 or QS5.r4"&gt;</t>
  </si>
  <si>
    <t xml:space="preserve">  &lt;title&gt;&lt;span class="ques_no"&gt;${this.label}&lt;/span&gt; &lt;strong&gt;Do you lean towards the Republican or Democratic Party?&lt;/strong&gt;&lt;/title&gt;</t>
  </si>
  <si>
    <t xml:space="preserve">  &lt;row label="r1"&gt;Lean Republican&lt;/row&gt;</t>
  </si>
  <si>
    <t xml:space="preserve">  &lt;row label="r2"&gt;Lean Democrat&lt;/row&gt;</t>
  </si>
  <si>
    <t xml:space="preserve">  &lt;row label="r3"&gt;Neither Party&lt;/row&gt;</t>
  </si>
  <si>
    <t>&lt;exec cond="QVOTE24.r3 and QS5B.r3"&gt;</t>
  </si>
  <si>
    <t>vscreenout.val= str('QS5')</t>
  </si>
  <si>
    <t>setMarker('Screened-QS5')</t>
  </si>
  <si>
    <t>&lt;term label="Term_PARTYID" cond="QVOTE24.r3 and QS5B.r3"&gt;Voted for someone else and is Independent&lt;/term&gt;</t>
  </si>
  <si>
    <t>if QVOTE24.r1 or (QVOTE24.r3 and (QS5.r1 or ((QS5.r3 or QS5.r4) and QS5B.r1))):</t>
  </si>
  <si>
    <t>TYPING_MODULE.val=0</t>
  </si>
  <si>
    <t>elif QVOTE24.r2 or (QVOTE24.r3 and (QS5.r2 or ((QS5.r3 or QS5.r4) and QS5B.r2))) :</t>
  </si>
  <si>
    <t>TYPING_MODULE.val=1</t>
  </si>
  <si>
    <t xml:space="preserve">  label="TYPING_MODULE"</t>
  </si>
  <si>
    <t xml:space="preserve">  &lt;title&gt;Final punch of the segmentation:&lt;/title&gt;</t>
  </si>
  <si>
    <t xml:space="preserve">  &lt;comment&gt;Select one&lt;/comment&gt;</t>
  </si>
  <si>
    <t xml:space="preserve">  &lt;row label="r1"&gt;GOP&lt;/row&gt;</t>
  </si>
  <si>
    <t xml:space="preserve">  &lt;row label="r2"&gt;DEM&lt;/row&gt;</t>
  </si>
  <si>
    <t>&lt;quota label="quo12" cond="TYPING_MODULE.any" overquota="noqual" sheet="TYPING MODULE Quota"/&gt;</t>
  </si>
  <si>
    <t xml:space="preserve">  label="POLICY"</t>
  </si>
  <si>
    <t xml:space="preserve">  uses="cardrating.1"&gt;</t>
  </si>
  <si>
    <t xml:space="preserve">  &lt;title&gt;Below are policy changes some have proposed. For each, please indicate how much you support or oppose the idea&lt;/title&gt;</t>
  </si>
  <si>
    <t xml:space="preserve">  &lt;col label="c1"&gt;Strongly&lt;br /&gt;&lt;strong&gt;OPPOSE&lt;/strong&gt;&lt;/col&gt;</t>
  </si>
  <si>
    <t xml:space="preserve">  &lt;col label="c2"&gt;Oppose&lt;/col&gt;</t>
  </si>
  <si>
    <t xml:space="preserve">  &lt;col label="c3"&gt;Somewhat&lt;br /&gt;Oppose&lt;/col&gt;</t>
  </si>
  <si>
    <t xml:space="preserve">  &lt;col label="c4"&gt;Neither or&lt;br /&gt;Neutral&lt;/col&gt;</t>
  </si>
  <si>
    <t xml:space="preserve">  &lt;col label="c5"&gt;Somewhat&lt;br /&gt;Support&lt;/col&gt;</t>
  </si>
  <si>
    <t xml:space="preserve">  &lt;col label="c6"&gt;Support&lt;/col&gt;</t>
  </si>
  <si>
    <t xml:space="preserve">  &lt;col label="c7"&gt;Strongly&lt;br /&gt;&lt;strong&gt;SUPPORT&lt;/strong&gt;&lt;/col&gt;</t>
  </si>
  <si>
    <t xml:space="preserve">  &lt;row label="r1"&gt;&lt;strong&gt;&lt;span style="font-size: 12pt;"&gt;The government should create a public insurance option to compete with private plans&lt;/span&gt;&lt;/strong&gt;&lt;/row&gt;</t>
  </si>
  <si>
    <t xml:space="preserve">  &lt;row label="r2"&gt;&lt;span style="font-size: 12pt;"&gt;&lt;strong&gt;Health insurance should be provided through a single national health insurance system run by the government.&lt;/strong&gt;&lt;/span&gt;&lt;/row&gt;</t>
  </si>
  <si>
    <t xml:space="preserve">  &lt;row label="r3"&gt;&lt;span style="font-size: 12pt;"&gt;&lt;strong&gt;Large employers should be required to provide health insurance to their workers.&lt;/strong&gt;&lt;/span&gt;&lt;/row&gt;</t>
  </si>
  <si>
    <t xml:space="preserve">  label="ATTITUDE"</t>
  </si>
  <si>
    <t xml:space="preserve">  shuffle="rows"</t>
  </si>
  <si>
    <t xml:space="preserve">  &lt;title&gt;For each of the following statements, indicate the extent to which you agree or disagree…&lt;/title&gt;</t>
  </si>
  <si>
    <t xml:space="preserve">  &lt;col label="c1"&gt;Strongly&lt;br /&gt;&lt;strong&gt;DISAGREE&lt;/strong&gt;&lt;/col&gt;</t>
  </si>
  <si>
    <t xml:space="preserve">  &lt;col label="c2"&gt;Disagree&lt;/col&gt;</t>
  </si>
  <si>
    <t xml:space="preserve">  &lt;col label="c3"&gt;Somewhat&lt;br /&gt;Disagree&lt;/col&gt;</t>
  </si>
  <si>
    <t xml:space="preserve">  &lt;col label="c5"&gt;Somewhat&lt;br /&gt;Agree&lt;/col&gt;</t>
  </si>
  <si>
    <t xml:space="preserve">  &lt;col label="c6"&gt;Agree&lt;/col&gt;</t>
  </si>
  <si>
    <t xml:space="preserve">  &lt;col label="c7"&gt;Strongly&lt;br /&gt;&lt;strong&gt;AGREE&lt;/strong&gt;&lt;/col&gt;</t>
  </si>
  <si>
    <t xml:space="preserve">  &lt;row label="r1"&gt;&lt;span style="font-size: 12pt;"&gt;&lt;strong&gt;The federal government should invest extra funds in communities of color that have suffered historic health injustices, even if it means higher taxes&lt;/strong&gt;&lt;/span&gt;&lt;/row&gt;</t>
  </si>
  <si>
    <t xml:space="preserve">  &lt;row label="r2"&gt;&lt;span style="font-size: 12pt;"&gt;&lt;strong&gt;Big corporations have too much influence over public health policies&lt;/strong&gt;&lt;/span&gt;&lt;/row&gt;</t>
  </si>
  <si>
    <t xml:space="preserve">  &lt;row label="r3"&gt;&lt;span style="font-size: 12pt;"&gt;&lt;strong&gt;Mandating any medical treatment violates personal liberty&lt;/strong&gt;&lt;/span&gt;&lt;/row&gt;</t>
  </si>
  <si>
    <t xml:space="preserve">  label="IDEOLOGY"</t>
  </si>
  <si>
    <t xml:space="preserve">  grouping="rows"</t>
  </si>
  <si>
    <t xml:space="preserve">  rowLegend="both"</t>
  </si>
  <si>
    <t xml:space="preserve">  uses="leftright.1"&gt;</t>
  </si>
  <si>
    <t xml:space="preserve">  &lt;title&gt;Indicate which statement comes closest to your own view:&lt;/title&gt;</t>
  </si>
  <si>
    <t xml:space="preserve">  &lt;col label="c1"&gt;&lt;span style="font-size: 8pt;"&gt;1&lt;/span&gt;&lt;/col&gt;</t>
  </si>
  <si>
    <t xml:space="preserve">  &lt;col label="c2"&gt;&lt;span style="font-size: 8pt;"&gt;2&lt;/span&gt;&lt;/col&gt;</t>
  </si>
  <si>
    <t xml:space="preserve">  &lt;col label="c3"&gt;&lt;span style="font-size: 8pt;"&gt;3&lt;/span&gt;&lt;/col&gt;</t>
  </si>
  <si>
    <t xml:space="preserve">  &lt;col label="c4"&gt;&lt;span style="font-size: 8pt;"&gt;4&lt;/span&gt;&lt;/col&gt;</t>
  </si>
  <si>
    <t xml:space="preserve">  &lt;col label="c5"&gt;&lt;span style="font-size: 8pt;"&gt;5&lt;/span&gt;&lt;/col&gt;</t>
  </si>
  <si>
    <t xml:space="preserve">  &lt;col label="c6"&gt;&lt;span style="font-size: 8pt;"&gt;6&lt;/span&gt;&lt;/col&gt;</t>
  </si>
  <si>
    <t xml:space="preserve">  &lt;col label="c7"&gt;&lt;span style="font-size: 8pt;"&gt;7&lt;/span&gt;&lt;/col&gt;</t>
  </si>
  <si>
    <t xml:space="preserve">  &lt;row label="r1" rightLegend="&amp;lt;span style=&amp;quot;font-size: 10pt;&amp;quot;&amp;gt;&amp;lt;strong&amp;gt;We need to focus on America first&amp;lt;/strong&amp;gt;&amp;lt;/span&amp;gt;"&gt;&lt;span style="font-size: 10pt;"&gt;&lt;strong&gt;America is better off as a leader in the global economy&lt;/strong&gt;&lt;/span&gt;&lt;/row&gt;</t>
  </si>
  <si>
    <t xml:space="preserve">  &lt;row label="r2" rightLegend="&amp;lt;span style=&amp;quot;font-size: 10pt;&amp;quot;&amp;gt;&amp;lt;strong&amp;gt;The private, free market healthcare system is better because it protects patient choice and access to higher quality care&amp;lt;/strong&amp;gt;&amp;lt;/span&amp;gt;"&gt;&lt;span style="font-size: 10pt;"&gt;&lt;strong&gt;Healthcare is a basic right and government should be responsible for providing healthcare to all Americans&lt;/strong&gt;&lt;/span&gt;&lt;/row&gt;</t>
  </si>
  <si>
    <t xml:space="preserve">  label="TRUST"</t>
  </si>
  <si>
    <t xml:space="preserve">  builderHint="{&amp;quot;rocochoName&amp;quot;:&amp;quot;radiogrid&amp;quot;}"</t>
  </si>
  <si>
    <t xml:space="preserve">  values="order"&gt;</t>
  </si>
  <si>
    <t xml:space="preserve">  &lt;title&gt;Rate how much you trust each of the following…&lt;/title&gt;</t>
  </si>
  <si>
    <t xml:space="preserve">  &lt;row label="r1"&gt;Pharmaceutical companies&lt;/row&gt;</t>
  </si>
  <si>
    <t xml:space="preserve">  &lt;row label="r2"&gt;Hospitals&lt;/row&gt;</t>
  </si>
  <si>
    <t xml:space="preserve">  &lt;row label="r3"&gt;Health care providers&lt;/row&gt;</t>
  </si>
  <si>
    <t xml:space="preserve">  &lt;row label="r4"&gt;National Institutes of Health (“NIH”)&lt;/row&gt;</t>
  </si>
  <si>
    <t xml:space="preserve">  &lt;row label="r5"&gt;Academic and university research institutes&lt;/row&gt;</t>
  </si>
  <si>
    <t xml:space="preserve">  &lt;col label="c1" value="1"&gt;DO NOT TRUST AT ALL&lt;br /&gt;&lt;br /&gt;1&lt;/col&gt;</t>
  </si>
  <si>
    <t xml:space="preserve">  &lt;col label="c2" value="2"&gt;2&lt;/col&gt;</t>
  </si>
  <si>
    <t xml:space="preserve">  &lt;col label="c3" value="3"&gt;3&lt;/col&gt;</t>
  </si>
  <si>
    <t xml:space="preserve">  &lt;col label="c4" value="4"&gt;4&lt;/col&gt;</t>
  </si>
  <si>
    <t xml:space="preserve">  &lt;col label="c5" value="5"&gt;5&lt;/col&gt;</t>
  </si>
  <si>
    <t xml:space="preserve">  &lt;col label="c6" value="6"&gt;6&lt;/col&gt;</t>
  </si>
  <si>
    <t xml:space="preserve">  &lt;col label="c7" value="7"&gt;TRUST A GREAT DEAL&lt;br /&gt;&lt;br /&gt;7&lt;/col&gt;</t>
  </si>
  <si>
    <t>&lt;html label="Maxdiff_Intro" where="survey"&gt;&lt;p&gt;</t>
  </si>
  <si>
    <t xml:space="preserve">    In this section, you’ll see a series of short statements expressing different points of view. Each statement reflects a way of thinking about issues people often care deeply about including health, healthcare, community and politics.</t>
  </si>
  <si>
    <t xml:space="preserve">  &lt;/p&gt;&lt;br /&gt;</t>
  </si>
  <si>
    <t xml:space="preserve">  &lt;p&gt;</t>
  </si>
  <si>
    <t xml:space="preserve">    For each set, please choose:</t>
  </si>
  <si>
    <t xml:space="preserve">  &lt;/p&gt;</t>
  </si>
  <si>
    <t xml:space="preserve">  &lt;ul&gt;</t>
  </si>
  <si>
    <t xml:space="preserve">    &lt;li /&gt;The statement that sounds MOST like your own point of view, and</t>
  </si>
  <si>
    <t xml:space="preserve">    &lt;li /&gt;The statement that sounds LEAST like your own point of view.</t>
  </si>
  <si>
    <t xml:space="preserve">  &lt;/ul&gt;</t>
  </si>
  <si>
    <t xml:space="preserve">    &lt;br /&gt;&lt;em&gt;Some statements may appear again later. That’s intentional — it helps us understand how people</t>
  </si>
  <si>
    <t xml:space="preserve">    think across different kinds of ideas.&lt;/em&gt;</t>
  </si>
  <si>
    <t xml:space="preserve">    There are no right or wrong answers. Simply go with your first reaction each time.</t>
  </si>
  <si>
    <t xml:space="preserve">  &lt;/p&gt;&lt;/html&gt;</t>
  </si>
  <si>
    <t xml:space="preserve">  label="XPOLICY"</t>
  </si>
  <si>
    <t xml:space="preserve">  ss:listDisplay="0"</t>
  </si>
  <si>
    <t xml:space="preserve">  &lt;title&gt;HIDDEN: POLICY&lt;/title&gt;</t>
  </si>
  <si>
    <t>POLICY_U = [5.4272, 4.7623, 6.0595]</t>
  </si>
  <si>
    <t>POLICY_S = [1.24298, 1.74011, 0.99203]</t>
  </si>
  <si>
    <t>POLICY_F = [float(x+1) for x in POLICY.values]</t>
  </si>
  <si>
    <t xml:space="preserve">POLICY_AVG = [] </t>
  </si>
  <si>
    <t xml:space="preserve">   </t>
  </si>
  <si>
    <t>for i in range(3):</t>
  </si>
  <si>
    <t xml:space="preserve"> XPOLICY.rows[i].val = (POLICY_F[i] - POLICY_U[i])/POLICY_S[i]</t>
  </si>
  <si>
    <t xml:space="preserve"> POLICY_AVG.append((POLICY_F[i] - POLICY_U[i])/POLICY_S[i])</t>
  </si>
  <si>
    <t xml:space="preserve"> </t>
  </si>
  <si>
    <t>XDEM_SEG.r11.c1.val = POLICY_F</t>
  </si>
  <si>
    <t>XDEM_SEG.r11.c2.val = POLICY_U</t>
  </si>
  <si>
    <t>XDEM_SEG.r11.c3.val = POLICY_S</t>
  </si>
  <si>
    <t>XDEM_SEG.r11.c4.val = sum(POLICY_AVG) / len(POLICY_AVG)</t>
  </si>
  <si>
    <t xml:space="preserve">  &lt;row label="r1"&gt;The government should create a public insurance option to compete with private plans&lt;/row&gt;</t>
  </si>
  <si>
    <t xml:space="preserve">  &lt;row label="r2"&gt;Health insurance should be provided through a single national health insurance system run by the government.&lt;/row&gt;</t>
  </si>
  <si>
    <t xml:space="preserve">  &lt;row label="r3"&gt;Large employers should be required to provide health insurance to their workers.&lt;/row&gt;</t>
  </si>
  <si>
    <t xml:space="preserve">  label="XIDEOLOGY"</t>
  </si>
  <si>
    <t xml:space="preserve">  &lt;title&gt;HIDDEN: IDEOLOGY&lt;/title&gt;</t>
  </si>
  <si>
    <t>IDEOLOGY_U = [3.5363, 4.4206]</t>
  </si>
  <si>
    <t>IDEOLOGY_S = [2.04099, 2.02961]</t>
  </si>
  <si>
    <t>IDEOLOGY_F = [float(x+1) for x in IDEOLOGY.values]</t>
  </si>
  <si>
    <t xml:space="preserve">IDEOLOGY_AVG = [] </t>
  </si>
  <si>
    <t>XIDEOLOGY.r1.val = ((IDEOLOGY_F[0] - IDEOLOGY_U[0])/IDEOLOGY_S[0])*-1</t>
  </si>
  <si>
    <t>XIDEOLOGY.r2.val = (IDEOLOGY_F[1] - IDEOLOGY_U[1])/IDEOLOGY_S[1]</t>
  </si>
  <si>
    <t>XDEM_SEG.r12.c1.val = IDEOLOGY_F</t>
  </si>
  <si>
    <t>XDEM_SEG.r12.c2.val = IDEOLOGY_U</t>
  </si>
  <si>
    <t>XDEM_SEG.r12.c3.val = IDEOLOGY_S</t>
  </si>
  <si>
    <t>XDEM_SEG.r12.c4.val = XIDEOLOGY.r1.val</t>
  </si>
  <si>
    <t xml:space="preserve">  &lt;row label="r1"&gt;IDEOLOGY_GLOBALISM (ZGLOBALISM_R)&lt;/row&gt;</t>
  </si>
  <si>
    <t xml:space="preserve">  &lt;row label="r2"&gt;IDEOLOGY_MFA&lt;/row&gt;</t>
  </si>
  <si>
    <t xml:space="preserve">  label="XATTITUDE"</t>
  </si>
  <si>
    <t xml:space="preserve">  &lt;title&gt;HIDDEN: ATTITUDE&lt;/title&gt;</t>
  </si>
  <si>
    <t>ATTITUDE_U = [5.009, 5.631, 5.2571]</t>
  </si>
  <si>
    <t>ATTITUDE_S = [1.28372, 1.02132, 1.14707]</t>
  </si>
  <si>
    <t>ATTITUDE_F = [float(x+1) for x in ATTITUDE.values]</t>
  </si>
  <si>
    <t xml:space="preserve"> XATTITUDE.rows[i].val = (ATTITUDE_F[i] - ATTITUDE_U[i])/ATTITUDE_S[i]</t>
  </si>
  <si>
    <t>XDEM_SEG.r13.c1.val = ATTITUDE_F[0]</t>
  </si>
  <si>
    <t>XDEM_SEG.r14.c1.val = ATTITUDE_F[1]</t>
  </si>
  <si>
    <t>XDEM_SEG.r13.c2.val = ATTITUDE_U</t>
  </si>
  <si>
    <t>XDEM_SEG.r14.c2.val = ATTITUDE_U</t>
  </si>
  <si>
    <t>XDEM_SEG.r13.c3.val = ATTITUDE_S</t>
  </si>
  <si>
    <t>XDEM_SEG.r14.c3.val = ATTITUDE_S</t>
  </si>
  <si>
    <t>XDEM_SEG.r13.c4.val = XATTITUDE.r1.val</t>
  </si>
  <si>
    <t>XDEM_SEG.r14.c4.val = XATTITUDE.r2.val</t>
  </si>
  <si>
    <t xml:space="preserve">  label="XTRUST"</t>
  </si>
  <si>
    <t xml:space="preserve">  &lt;title&gt;HIDDEN: TRUST&lt;/title&gt;</t>
  </si>
  <si>
    <t>TRUST_U = [3.2642, 4.5526, 4.6011, 3.6061, 3.9617]</t>
  </si>
  <si>
    <t>TRUST_S = [1.68737, 1.50961, 1.53148, 1.5441 , 1.49655]</t>
  </si>
  <si>
    <t>TRUST_F = [float(x+1) for x in TRUST.values]</t>
  </si>
  <si>
    <t xml:space="preserve">print TRUST_F   </t>
  </si>
  <si>
    <t>for i in range(5):</t>
  </si>
  <si>
    <t xml:space="preserve"> XTRUST.rows[i].val = (TRUST_F[i] - TRUST_U[i])/TRUST_S[i]</t>
  </si>
  <si>
    <t>&lt;block label="DEMBlock" cond="TYPING_MODULE.r2" builder:title="DEM Block"&gt;</t>
  </si>
  <si>
    <t xml:space="preserve">  &lt;note&gt;MaxDiff Indices Template --Start1--&lt;/note&gt;</t>
  </si>
  <si>
    <t xml:space="preserve">  &lt;exec when="init"&gt;</t>
  </si>
  <si>
    <t>QMD1_md = setupMaxDiffFile("DemDesign.dat")</t>
  </si>
  <si>
    <t xml:space="preserve">  &lt;suspend/&gt;</t>
  </si>
  <si>
    <t xml:space="preserve">  &lt;quota label="DemQuota" overquota="noqual" sheet="Dem Quota"/&gt;</t>
  </si>
  <si>
    <t xml:space="preserve">  &lt;number </t>
  </si>
  <si>
    <t xml:space="preserve">   label="QMD1_Version"</t>
  </si>
  <si>
    <t xml:space="preserve">   size="3"</t>
  </si>
  <si>
    <t xml:space="preserve">   verify="range(1,100)"</t>
  </si>
  <si>
    <t xml:space="preserve">   where="execute,survey,report"&gt;</t>
  </si>
  <si>
    <t xml:space="preserve">    &lt;title&gt;QMD1 - MaxDiff Version&lt;br /&gt;&lt;br /&gt;&lt;em&gt;Pick your version for testing... will be automated when live...&lt;/em&gt;&lt;/title&gt;</t>
  </si>
  <si>
    <t xml:space="preserve">    &lt;exec&gt;</t>
  </si>
  <si>
    <t>print p.markers</t>
  </si>
  <si>
    <t>for x in p.markers:</t>
  </si>
  <si>
    <t xml:space="preserve">    if "/Dem Quota/Dem_" in x:</t>
  </si>
  <si>
    <t xml:space="preserve">        QMD1_Version.val = int(x.split("_")[-1])</t>
  </si>
  <si>
    <t xml:space="preserve">    &lt;/exec&gt;</t>
  </si>
  <si>
    <t xml:space="preserve">  &lt;/number&gt;</t>
  </si>
  <si>
    <t>p.startTime = timeSpent()</t>
  </si>
  <si>
    <t xml:space="preserve">  &lt;loop label="QMD1_md_loop" vars="task"&gt;</t>
  </si>
  <si>
    <t xml:space="preserve">    &lt;title&gt;QMD1 - MaxDiff Loop&lt;/title&gt;</t>
  </si>
  <si>
    <t xml:space="preserve">    &lt;block label="QMD1_md_block" randomize="1"&gt;</t>
  </si>
  <si>
    <t xml:space="preserve">      &lt;radio </t>
  </si>
  <si>
    <t xml:space="preserve">     label="QDEM_[loopvar: task]"</t>
  </si>
  <si>
    <t xml:space="preserve">     adim="cols"</t>
  </si>
  <si>
    <t xml:space="preserve">     grouping="cols"</t>
  </si>
  <si>
    <t xml:space="preserve">     shuffle="rows"</t>
  </si>
  <si>
    <t xml:space="preserve">     ss:listDisplay="0"</t>
  </si>
  <si>
    <t xml:space="preserve">     ss:questionClassNames="QMD1_maxdiff"</t>
  </si>
  <si>
    <t xml:space="preserve">     unique="1"&gt;</t>
  </si>
  <si>
    <t xml:space="preserve">        &lt;title&gt;Select the one statement that sounds MOST like your own point of view  (on the left), and the statement that sounds LEAST like you  (on the right)&lt;/title&gt;</t>
  </si>
  <si>
    <t xml:space="preserve">        &lt;exec&gt;</t>
  </si>
  <si>
    <t>setupMaxDiffItemsI( QMD1_md, "v%d_t%d" % (QMD1_Version.val, [loopvar: task]), QDEM_[loopvar: task])</t>
  </si>
  <si>
    <t>p.MDcount = str(QMD1_md_loop_expanded.order.index([loopvar: task]-1)+1)</t>
  </si>
  <si>
    <t xml:space="preserve">        &lt;/exec&gt;</t>
  </si>
  <si>
    <t xml:space="preserve">        &lt;col label="best"&gt;&lt;strong&gt;sounds MOST like me&lt;/strong&gt;&lt;/col&gt;</t>
  </si>
  <si>
    <t xml:space="preserve">        &lt;col label="worst"&gt;&lt;strong&gt;sounds LEAST like me&lt;/strong&gt;&lt;/col&gt;</t>
  </si>
  <si>
    <t xml:space="preserve">        &lt;row label="item1"&gt;Tech and data can improve care, but only if we stop bias, protect privacy, and provide benefits fairly.&lt;/row&gt;</t>
  </si>
  <si>
    <t xml:space="preserve">        &lt;row label="item2"&gt;I trust mainstream experts and prefer step-by-step fixes—strengthening the ACA, not ripping it up.&lt;/row&gt;</t>
  </si>
  <si>
    <t xml:space="preserve">        &lt;row label="item3"&gt;Digital tools, AI, and start-ups can universalize care faster than big bureaucracies—let’s remove red tape.&lt;/row&gt;</t>
  </si>
  <si>
    <t xml:space="preserve">        &lt;row label="item4"&gt;Corporate greed hurts ordinary people. Government must crack down on prices, ads, and junk food.&lt;/row&gt;</t>
  </si>
  <si>
    <t xml:space="preserve">        &lt;row label="item5"&gt;Healthcare is a human right. We need Medicare-for-All or something very close to it.&lt;/row&gt;</t>
  </si>
  <si>
    <t xml:space="preserve">        &lt;row label="item6"&gt;Unions fought for good coverage. Policy should protect employer benefits and bargaining power.&lt;/row&gt;</t>
  </si>
  <si>
    <t xml:space="preserve">        &lt;row label="item7"&gt;Racism and inequality drive poor health. Equity must be built into every health decision and budget.&lt;/row&gt;</t>
  </si>
  <si>
    <t xml:space="preserve">        &lt;row label="item8"&gt;Reproductive freedom—including abortion access—is non-negotiable and central to health policy.&lt;/row&gt;</t>
  </si>
  <si>
    <t xml:space="preserve">        &lt;row label="item9"&gt;My faith calls me to fight for the poor and for broader access—especially in under-served communities.&lt;/row&gt;</t>
  </si>
  <si>
    <t xml:space="preserve">        &lt;row label="item10"&gt;Climate change is a public-health emergency. Clean energy and environmental justice are health policy.&lt;/row&gt;</t>
  </si>
  <si>
    <t xml:space="preserve">        &lt;style mode="before" name="question.header"&gt;&lt;![CDATA[</t>
  </si>
  <si>
    <t>&lt;style type="text/css"&gt;</t>
  </si>
  <si>
    <t xml:space="preserve">    .QMD1_maxdiff tr.maxdiff-header-legend {</t>
  </si>
  <si>
    <t xml:space="preserve">        background-color: #191970;</t>
  </si>
  <si>
    <t xml:space="preserve">        border-left: 2px solid black; </t>
  </si>
  <si>
    <t xml:space="preserve">        border-right: 2px solid black; </t>
  </si>
  <si>
    <t xml:space="preserve">        border-top: 2px solid black; </t>
  </si>
  <si>
    <t xml:space="preserve">        border-bottom: 2px solid black; </t>
  </si>
  <si>
    <t xml:space="preserve">    .QMD1_maxdiff tr.maxdiff-header-legend th.legend {</t>
  </si>
  <si>
    <t xml:space="preserve">        background-color: transparent;</t>
  </si>
  <si>
    <t xml:space="preserve">    .QMD1_maxdiff tr.maxdiff-row td.element {</t>
  </si>
  <si>
    <t xml:space="preserve">        text-align: center;</t>
  </si>
  <si>
    <t xml:space="preserve">    .QMD1_maxdiff tr.maxdiff-row th.row-legend {</t>
  </si>
  <si>
    <t xml:space="preserve">        text-align: lift;</t>
  </si>
  <si>
    <t xml:space="preserve">    &lt;/style&gt;</t>
  </si>
  <si>
    <t xml:space="preserve">        &lt;style name="question.top-legend"&gt;&lt;![CDATA[</t>
  </si>
  <si>
    <t>\@if ec.simpleList</t>
  </si>
  <si>
    <t xml:space="preserve">    $(legends)</t>
  </si>
  <si>
    <t>\@else</t>
  </si>
  <si>
    <t xml:space="preserve">    &lt;$(tag) class="maxdiff-header-legend row row-col-legends row-col-legends-top ${"mobile-top-row-legend " if mobileOnly else ""}${"GtTenColumns " if ec.colCount &gt; 10 else ""}colCount-$(colCount)"&gt;</t>
  </si>
  <si>
    <t xml:space="preserve">        ${"%s%s" % (legends.split("&lt;/th&gt;")[0],"&lt;/th&gt;")}</t>
  </si>
  <si>
    <t xml:space="preserve">       $(left)</t>
  </si>
  <si>
    <t xml:space="preserve">        ${"%s%s" % (legends.split("&lt;/th&gt;")[1],"&lt;/th&gt;")}</t>
  </si>
  <si>
    <t xml:space="preserve">    &lt;/$(tag)&gt;</t>
  </si>
  <si>
    <t xml:space="preserve">    \@if not simple</t>
  </si>
  <si>
    <t xml:space="preserve">  &lt;/tbody&gt;</t>
  </si>
  <si>
    <t xml:space="preserve">  &lt;tbody&gt;</t>
  </si>
  <si>
    <t xml:space="preserve">    \@endif</t>
  </si>
  <si>
    <t>\@endif</t>
  </si>
  <si>
    <t xml:space="preserve">        &lt;style name="question.row"&gt;&lt;![CDATA[</t>
  </si>
  <si>
    <t xml:space="preserve">    $(elements)</t>
  </si>
  <si>
    <t xml:space="preserve">    &lt;$(tag) class="maxdiff-row row row-elements $(style) colCount-$(colCount)"&gt;</t>
  </si>
  <si>
    <t xml:space="preserve">        ${"%s%s" % (elements.split("&lt;/td&gt;")[0],"&lt;/td&gt;")}</t>
  </si>
  <si>
    <t xml:space="preserve">        $(left)</t>
  </si>
  <si>
    <t xml:space="preserve">        ${"%s%s" % (elements.split("&lt;/td&gt;")[1],"&lt;/td&gt;")}</t>
  </si>
  <si>
    <t xml:space="preserve">      &lt;/radio&gt;</t>
  </si>
  <si>
    <t xml:space="preserve">      &lt;suspend/&gt;</t>
  </si>
  <si>
    <t xml:space="preserve">    &lt;/block&gt;</t>
  </si>
  <si>
    <t xml:space="preserve">    &lt;looprow label="1"&gt;</t>
  </si>
  <si>
    <t xml:space="preserve">      &lt;loopvar name="task"&gt;1&lt;/loopvar&gt;</t>
  </si>
  <si>
    <t xml:space="preserve">    &lt;/looprow&gt;</t>
  </si>
  <si>
    <t xml:space="preserve">    &lt;looprow label="2"&gt;</t>
  </si>
  <si>
    <t xml:space="preserve">      &lt;loopvar name="task"&gt;2&lt;/loopvar&gt;</t>
  </si>
  <si>
    <t xml:space="preserve">    &lt;looprow label="3"&gt;</t>
  </si>
  <si>
    <t xml:space="preserve">      &lt;loopvar name="task"&gt;3&lt;/loopvar&gt;</t>
  </si>
  <si>
    <t xml:space="preserve">    &lt;looprow label="4"&gt;</t>
  </si>
  <si>
    <t xml:space="preserve">      &lt;loopvar name="task"&gt;4&lt;/loopvar&gt;</t>
  </si>
  <si>
    <t xml:space="preserve">    &lt;looprow label="5"&gt;</t>
  </si>
  <si>
    <t xml:space="preserve">      &lt;loopvar name="task"&gt;5&lt;/loopvar&gt;</t>
  </si>
  <si>
    <t xml:space="preserve">    &lt;looprow label="6"&gt;</t>
  </si>
  <si>
    <t xml:space="preserve">      &lt;loopvar name="task"&gt;6&lt;/loopvar&gt;</t>
  </si>
  <si>
    <t xml:space="preserve">    &lt;looprow label="7"&gt;</t>
  </si>
  <si>
    <t xml:space="preserve">      &lt;loopvar name="task"&gt;7&lt;/loopvar&gt;</t>
  </si>
  <si>
    <t xml:space="preserve">    &lt;looprow label="8"&gt;</t>
  </si>
  <si>
    <t xml:space="preserve">      &lt;loopvar name="task"&gt;8&lt;/loopvar&gt;</t>
  </si>
  <si>
    <t xml:space="preserve">    &lt;looprow label="9"&gt;</t>
  </si>
  <si>
    <t xml:space="preserve">      &lt;loopvar name="task"&gt;9&lt;/loopvar&gt;</t>
  </si>
  <si>
    <t xml:space="preserve">    &lt;looprow label="10"&gt;</t>
  </si>
  <si>
    <t xml:space="preserve">      &lt;loopvar name="task"&gt;10&lt;/loopvar&gt;</t>
  </si>
  <si>
    <t xml:space="preserve">  &lt;/loop&gt;</t>
  </si>
  <si>
    <t xml:space="preserve">  &lt;float </t>
  </si>
  <si>
    <t xml:space="preserve">   label="QMD1_Timer"</t>
  </si>
  <si>
    <t xml:space="preserve">   size="15"</t>
  </si>
  <si>
    <t xml:space="preserve">    &lt;title&gt;QMD1 - MaxDiff Timer (Minutes)&lt;/title&gt;</t>
  </si>
  <si>
    <t>QMD1_Timer.val = (timeSpent() - p.startTime) / 60.0</t>
  </si>
  <si>
    <t xml:space="preserve">  &lt;/float&gt;</t>
  </si>
  <si>
    <t xml:space="preserve">  &lt;text </t>
  </si>
  <si>
    <t xml:space="preserve">   label="QMD1"</t>
  </si>
  <si>
    <t xml:space="preserve">    &lt;title&gt;Hidden: QDEM&lt;/title&gt;</t>
  </si>
  <si>
    <t>p.sum=[]</t>
  </si>
  <si>
    <t>print p.maxdiff1</t>
  </si>
  <si>
    <t>groupSize = 4</t>
  </si>
  <si>
    <t># split into chunks of 4</t>
  </si>
  <si>
    <t>groups = [p.maxdiff1[i:i+groupSize] for i in range(0, len(p.maxdiff1), groupSize)]</t>
  </si>
  <si>
    <t>print(groups)</t>
  </si>
  <si>
    <t xml:space="preserve">for col in range(0, 10):     </t>
  </si>
  <si>
    <t xml:space="preserve">    rowsForColumn = groups[col]</t>
  </si>
  <si>
    <t xml:space="preserve">    for r in rowsForColumn:</t>
  </si>
  <si>
    <t xml:space="preserve">        rowNum = int(r)-1</t>
  </si>
  <si>
    <t xml:space="preserve">        print rowNum,col</t>
  </si>
  <si>
    <t xml:space="preserve">        QMD1.rows[rowNum][col].val=0</t>
  </si>
  <si>
    <t>for i in range(0,10):</t>
  </si>
  <si>
    <t>best = "QDEM_{}".format(i+1)</t>
  </si>
  <si>
    <t>worst = "QDEM_{}".format(i+1)</t>
  </si>
  <si>
    <t>best1=allQuestions[best].best.val</t>
  </si>
  <si>
    <t>worst1=allQuestions[worst].worst.val</t>
  </si>
  <si>
    <t>QMD1.rows[best1][i].val=1</t>
  </si>
  <si>
    <t>QMD1.rows[worst1][i].val=-1</t>
  </si>
  <si>
    <t>for i in QMD1.rows:</t>
  </si>
  <si>
    <t>a=0</t>
  </si>
  <si>
    <t>for j in range(10):</t>
  </si>
  <si>
    <t>if QMD1[i][j].val!=None:</t>
  </si>
  <si>
    <t>a1=QMD1[i][j].val</t>
  </si>
  <si>
    <t>a+=int(a1)</t>
  </si>
  <si>
    <t>QMD1[i].c11.val=a</t>
  </si>
  <si>
    <t xml:space="preserve">    &lt;row label="r1"&gt;Item-1&lt;/row&gt;</t>
  </si>
  <si>
    <t xml:space="preserve">    &lt;row label="r2"&gt;Item-2&lt;/row&gt;</t>
  </si>
  <si>
    <t xml:space="preserve">    &lt;row label="r3"&gt;Item-3&lt;/row&gt;</t>
  </si>
  <si>
    <t xml:space="preserve">    &lt;row label="r4"&gt;Item-4&lt;/row&gt;</t>
  </si>
  <si>
    <t xml:space="preserve">    &lt;row label="r5"&gt;Item-5&lt;/row&gt;</t>
  </si>
  <si>
    <t xml:space="preserve">    &lt;row label="r6"&gt;Item-6&lt;/row&gt;</t>
  </si>
  <si>
    <t xml:space="preserve">    &lt;row label="r7"&gt;Item-7&lt;/row&gt;</t>
  </si>
  <si>
    <t xml:space="preserve">    &lt;row label="r8"&gt;Item-8&lt;/row&gt;</t>
  </si>
  <si>
    <t xml:space="preserve">    &lt;row label="r9"&gt;Item-9&lt;/row&gt;</t>
  </si>
  <si>
    <t xml:space="preserve">    &lt;row label="r10"&gt;Item-10&lt;/row&gt;</t>
  </si>
  <si>
    <t xml:space="preserve">    &lt;col label="c1"&gt;QDEM_1&lt;/col&gt;</t>
  </si>
  <si>
    <t xml:space="preserve">    &lt;col label="c2"&gt;QDEM_2&lt;/col&gt;</t>
  </si>
  <si>
    <t xml:space="preserve">    &lt;col label="c3"&gt;QDEM_3&lt;/col&gt;</t>
  </si>
  <si>
    <t xml:space="preserve">    &lt;col label="c4"&gt;QDEM_4&lt;/col&gt;</t>
  </si>
  <si>
    <t xml:space="preserve">    &lt;col label="c5"&gt;QDEM_5&lt;/col&gt;</t>
  </si>
  <si>
    <t xml:space="preserve">    &lt;col label="c6"&gt;QDEM_6&lt;/col&gt;</t>
  </si>
  <si>
    <t xml:space="preserve">    &lt;col label="c7"&gt;QDEM_7&lt;/col&gt;</t>
  </si>
  <si>
    <t xml:space="preserve">    &lt;col label="c8"&gt;QDEM_8&lt;/col&gt;</t>
  </si>
  <si>
    <t xml:space="preserve">    &lt;col label="c9"&gt;QDEM_9&lt;/col&gt;</t>
  </si>
  <si>
    <t xml:space="preserve">    &lt;col label="c10"&gt;QDEM_10&lt;/col&gt;</t>
  </si>
  <si>
    <t xml:space="preserve">    &lt;col label="c11"&gt;Row Total&lt;/col&gt;</t>
  </si>
  <si>
    <t xml:space="preserve">  &lt;/text&gt;</t>
  </si>
  <si>
    <t xml:space="preserve">  &lt;note&gt;MaxDiff Indices Template --End1--&lt;/note&gt;</t>
  </si>
  <si>
    <t xml:space="preserve">   label="XDEM_SEG"</t>
  </si>
  <si>
    <t xml:space="preserve">   ss:listDisplay="0"</t>
  </si>
  <si>
    <t xml:space="preserve">    &lt;title&gt;HIDDEN: XDEM_SEG&lt;/title&gt;</t>
  </si>
  <si>
    <t>DEM_U = [-0.4545, -0.2546, -0.9328, 0.0386, 0.9975, -0.1851, 0.1674, 0.7593, -0.6671, 0.5314]</t>
  </si>
  <si>
    <t>DEM_S = [1.01042, 1.1991 ,1.22412, 1.13192, 1.32821, 1.00078, 1.09544, 1.38839, 1.51346, 1.17622]</t>
  </si>
  <si>
    <t xml:space="preserve">DEM_MAX_F = []  </t>
  </si>
  <si>
    <t xml:space="preserve">  </t>
  </si>
  <si>
    <t>for i in range(10):</t>
  </si>
  <si>
    <t>XDEM_SEG.rows[i].c1.val=QMD1.rows[i].c11.val</t>
  </si>
  <si>
    <t>DEM_MAX_F.append(float(QMD1.rows[i].c11.val))</t>
  </si>
  <si>
    <t xml:space="preserve"> XDEM_SEG.rows[i].c2.val = DEM_U[i]</t>
  </si>
  <si>
    <t xml:space="preserve"> XDEM_SEG.rows[i].c3.val = DEM_S[i]</t>
  </si>
  <si>
    <t xml:space="preserve"> XDEM_SEG.rows[i].c4.val = (DEM_MAX_F[i] - DEM_U[i])/DEM_S[i]</t>
  </si>
  <si>
    <t xml:space="preserve">    &lt;row label="r1"&gt;Tech and data can improve care, but only if we stop bias, protect privacy, and provide benefits fairly.&lt;/row&gt;</t>
  </si>
  <si>
    <t xml:space="preserve">    &lt;row label="r2"&gt;I trust mainstream experts and prefer step-by-step fixes—strengthening the ACA, not ripping it up.&lt;/row&gt;</t>
  </si>
  <si>
    <t xml:space="preserve">    &lt;row label="r3"&gt;Digital tools, AI, and start-ups can universalize care faster than big bureaucracies—let’s remove red tape.&lt;/row&gt;</t>
  </si>
  <si>
    <t xml:space="preserve">    &lt;row label="r4"&gt;Corporate greed hurts ordinary people. Government must crack down on prices, ads, and junk food.&lt;/row&gt;</t>
  </si>
  <si>
    <t xml:space="preserve">    &lt;row label="r5"&gt;Healthcare is a human right. We need Medicare-for-All or something very close to it.&lt;/row&gt;</t>
  </si>
  <si>
    <t xml:space="preserve">    &lt;row label="r6"&gt;Unions fought for good coverage. Policy should protect employer benefits and bargaining power.&lt;/row&gt;</t>
  </si>
  <si>
    <t xml:space="preserve">    &lt;row label="r7"&gt;Racism and inequality drive poor health. Equity must be built into every health decision and budget.&lt;/row&gt;</t>
  </si>
  <si>
    <t xml:space="preserve">    &lt;row label="r8"&gt;Reproductive freedom—including abortion access—is non-negotiable and central to health policy.&lt;/row&gt;</t>
  </si>
  <si>
    <t xml:space="preserve">    &lt;row label="r9"&gt;My faith calls me to fight for the poor and for broader access—especially in under-served communities.&lt;/row&gt;</t>
  </si>
  <si>
    <t xml:space="preserve">    &lt;row label="r10"&gt;Climate change is a public-health emergency. Clean energy and environmental justice are health policy.&lt;/row&gt;</t>
  </si>
  <si>
    <t xml:space="preserve">    &lt;row label="r11"&gt;ZFACTOR_REFORM&lt;/row&gt;</t>
  </si>
  <si>
    <t xml:space="preserve">    &lt;row label="r12"&gt;ZFACTOR_LEADERSHIP&lt;/row&gt;</t>
  </si>
  <si>
    <t xml:space="preserve">    &lt;row label="r13"&gt;ZFACTOR_JUSTICE&lt;/row&gt;</t>
  </si>
  <si>
    <t xml:space="preserve">    &lt;row label="r14"&gt;ZFACTOR_INDUSTRY&lt;/row&gt;</t>
  </si>
  <si>
    <t xml:space="preserve">    &lt;col label="c1"&gt;PUNCH&lt;/col&gt;</t>
  </si>
  <si>
    <t xml:space="preserve">    &lt;col label="c2"&gt;STANDARDIZE (Z-SCORE) Mean&lt;/col&gt;</t>
  </si>
  <si>
    <t xml:space="preserve">    &lt;col label="c3"&gt;STANDARDIZE (Z-SCORE) Sigma&lt;/col&gt;</t>
  </si>
  <si>
    <t xml:space="preserve">    &lt;col label="c4"&gt;FINAL VARIABLE&lt;/col&gt;</t>
  </si>
  <si>
    <t>def algorithmCalculation(resp_answers, segment_coeff):</t>
  </si>
  <si>
    <t xml:space="preserve">    return sum((a - c)**2 for a, c in zip(resp_answers, segment_coeff))</t>
  </si>
  <si>
    <t>def algorithmRaw(answers, constant_matrix):</t>
  </si>
  <si>
    <t xml:space="preserve">    num_segments = len(constant_matrix[0])</t>
  </si>
  <si>
    <t xml:space="preserve">    outputs = []</t>
  </si>
  <si>
    <t xml:space="preserve">    for c in range(num_segments):</t>
  </si>
  <si>
    <t xml:space="preserve">        segment_col = [row[c] for row in constant_matrix]</t>
  </si>
  <si>
    <t xml:space="preserve">        output = algorithmCalculation(answers, segment_col)</t>
  </si>
  <si>
    <t xml:space="preserve">        outputs.append(output)</t>
  </si>
  <si>
    <t xml:space="preserve">    return outputs</t>
  </si>
  <si>
    <t>p.resp_answers = [float(x) for x in XDEM_SEG.c4.values]</t>
  </si>
  <si>
    <t>segment_matrix = [</t>
  </si>
  <si>
    <t xml:space="preserve">    [-0.6195561, -0.1891442, -0.2056958, 0.2758133, 1.1020488, -0.4391141],</t>
  </si>
  <si>
    <t xml:space="preserve">    [-0.1032678, -0.6410046, -0.5600926, 0.2196113, 0.5993271, 0.3670266],</t>
  </si>
  <si>
    <t xml:space="preserve">    [-0.3743345, -0.644284, -0.4217479, 0.9429834, 0.2398509, -0.3558302],</t>
  </si>
  <si>
    <t xml:space="preserve">    [0.3105975, -0.5169792, 0.5388367, 0.442039, -0.0416025, -0.5237904],</t>
  </si>
  <si>
    <t xml:space="preserve">    [0.6594716, 0.2388004, 0.2874993, 0.3313942, -1.4513896, 0.3404199],</t>
  </si>
  <si>
    <t xml:space="preserve">    [-0.203275, 0.041823, 0.36492, -0.0412645, -0.281844, -0.0672857],</t>
  </si>
  <si>
    <t xml:space="preserve">    [0.07998, 0.8218035, 0.0161682, -0.584471, -0.2806444, -0.0899348],</t>
  </si>
  <si>
    <t xml:space="preserve">    [0.6328414, -0.2130098, 0.163669, -0.9764049, 0.1645458, 0.6591652],</t>
  </si>
  <si>
    <t xml:space="preserve">    [-0.7210882, 1.0038405, -0.0986373, 0.1098268, -0.2095258, -0.556374],</t>
  </si>
  <si>
    <t xml:space="preserve">    [0.2627961, -0.1268389, -0.0484049, -0.6511503, 0.4482107, 0.5718588],</t>
  </si>
  <si>
    <t xml:space="preserve">    [0.7030817, 0.0588831, -0.3695168, -0.2421184, -0.7660099, 0.3211019],</t>
  </si>
  <si>
    <t xml:space="preserve">    [0.1902945, -0.1600419, -0.3312956, -0.3119643, 0.0052973, 0.4589244],</t>
  </si>
  <si>
    <t xml:space="preserve">    [0.4892111, 0.2157273, -0.3631568, -0.4947372, -0.4615066, 0.2974851],</t>
  </si>
  <si>
    <t xml:space="preserve">    [0.5154891, 0.0653322, 0.0001742, -0.3701192, -0.4088961, -0.0685786]    </t>
  </si>
  <si>
    <t>]</t>
  </si>
  <si>
    <t>results = algorithmRaw(p.resp_answers, segment_matrix)</t>
  </si>
  <si>
    <t>for i in range(6):</t>
  </si>
  <si>
    <t>XDEM_RAW[i].ival=round(results[i],1)</t>
  </si>
  <si>
    <t xml:space="preserve">   label="XDEM_RAW"</t>
  </si>
  <si>
    <t xml:space="preserve">   randomize="0"</t>
  </si>
  <si>
    <t xml:space="preserve">   size="40"</t>
  </si>
  <si>
    <t xml:space="preserve">    &lt;title&gt;HIDDEN: Segments&lt;/title&gt;</t>
  </si>
  <si>
    <t xml:space="preserve">    &lt;row label="r1"&gt;1.00 Idealists&lt;/row&gt;</t>
  </si>
  <si>
    <t xml:space="preserve">    &lt;row label="r2"&gt;2.00 Progressives&lt;/row&gt;</t>
  </si>
  <si>
    <t xml:space="preserve">    &lt;row label="r3"&gt;3.00 Protectionists&lt;/row&gt;</t>
  </si>
  <si>
    <t xml:space="preserve">    &lt;row label="r4"&gt;4.00 Abundance&lt;/row&gt;</t>
  </si>
  <si>
    <t xml:space="preserve">    &lt;row label="r5"&gt;5.00 Incrementalists&lt;/row&gt;</t>
  </si>
  <si>
    <t xml:space="preserve">    &lt;row label="r6"&gt;6.00 Institutionalists&lt;/row&gt;</t>
  </si>
  <si>
    <t>L = [float(x) for x in XDEM_RAW.values]</t>
  </si>
  <si>
    <t>F = sorted(L)</t>
  </si>
  <si>
    <t>print F[0]</t>
  </si>
  <si>
    <t>print F[1]</t>
  </si>
  <si>
    <t>for i in XDEM_RAW.rows:</t>
  </si>
  <si>
    <t xml:space="preserve"> if float(i.val) == F[0]:</t>
  </si>
  <si>
    <t xml:space="preserve">   XDEM_SEG_FINAL_1.val = i.index</t>
  </si>
  <si>
    <t xml:space="preserve"> if float(i.val) == F[1]:</t>
  </si>
  <si>
    <t xml:space="preserve">   XDEM_SEG_FINAL_2.val = i.index</t>
  </si>
  <si>
    <t xml:space="preserve">  &lt;radio </t>
  </si>
  <si>
    <t xml:space="preserve">   label="XDEM_SEG_FINAL_1"</t>
  </si>
  <si>
    <t xml:space="preserve">   optional="1"</t>
  </si>
  <si>
    <t xml:space="preserve">    &lt;title&gt;CENTROID MODEL - DEMOCRAT SEGMENTS - First Minimum&lt;/title&gt;</t>
  </si>
  <si>
    <t xml:space="preserve">  &lt;/radio&gt;</t>
  </si>
  <si>
    <t xml:space="preserve">   label="XDEM_SEG_FINAL_2"</t>
  </si>
  <si>
    <t xml:space="preserve">    &lt;title&gt;CENTROID MODEL - DEMOCRAT SEGMENTS - Second Minimum&lt;/title&gt;</t>
  </si>
  <si>
    <t xml:space="preserve">   label="QSEG_3"</t>
  </si>
  <si>
    <t>for i in range(1,15):</t>
  </si>
  <si>
    <t xml:space="preserve"> if i!= 10:</t>
  </si>
  <si>
    <t xml:space="preserve">   QSEG_3.attr('r'+str(i)).val = XDEM_SEG.attr('r'+str(i)).c4.val</t>
  </si>
  <si>
    <t>QSEG_3.r15.val = 0</t>
  </si>
  <si>
    <t xml:space="preserve">    &lt;row label="r15"&gt;Intercept&lt;/row&gt;</t>
  </si>
  <si>
    <t xml:space="preserve">   label="XQSEG_3"</t>
  </si>
  <si>
    <t># Column 1 values</t>
  </si>
  <si>
    <t>col1 = [float(x) for x in QSEG_3.values]</t>
  </si>
  <si>
    <t># Columns 2–6 values in a 2D array</t>
  </si>
  <si>
    <t>cols = [</t>
  </si>
  <si>
    <t xml:space="preserve">    [-0.197, 0.203, -0.221, -0.186, -0.545, 0],</t>
  </si>
  <si>
    <t xml:space="preserve">    [0.38, -0.46, -0.88, -0.536, -1.293, 0],</t>
  </si>
  <si>
    <t xml:space="preserve">    [-0.319, -0.701, -0.91, -0.9, -0.547, 0],</t>
  </si>
  <si>
    <t xml:space="preserve">    [0.03, -0.019, -0.614, -0.763, -0.559, 0],</t>
  </si>
  <si>
    <t xml:space="preserve">    [0.635, 0.268, 0.412, -0.021, 0.092, 0],</t>
  </si>
  <si>
    <t xml:space="preserve">    [0.043, 0.684, 0.798, 1.772, 1.713, 0],</t>
  </si>
  <si>
    <t xml:space="preserve">    [-0.333, -0.479, -0.38, 1.106, 0.008, 0],</t>
  </si>
  <si>
    <t xml:space="preserve">    [0.189, 0.431, 0.668, 3.495, 0.804, 0],</t>
  </si>
  <si>
    <t xml:space="preserve">    [1.107, 0.666, 1.618, 2.514, 0.388, 0],</t>
  </si>
  <si>
    <t xml:space="preserve">    [0.648, 0.705, 0.568, 1.707, -2.938, 0],</t>
  </si>
  <si>
    <t xml:space="preserve">    [-0.227, 0.597, 0.799, 1.016, -0.41, 0],</t>
  </si>
  <si>
    <t xml:space="preserve">    [0.538, 1.377, 0.59, 0.751, -0.233, 0],</t>
  </si>
  <si>
    <t xml:space="preserve">    [0.429, -0.156, -0.023, -0.337, -0.2, 0],</t>
  </si>
  <si>
    <t xml:space="preserve">    [0.049, 3.035, 1.486, 2.616, 0.522, 0]</t>
  </si>
  <si>
    <t># Compute SUMPRODUCT for each of the 6 columns</t>
  </si>
  <si>
    <t>results = []</t>
  </si>
  <si>
    <t>for c in range(6):</t>
  </si>
  <si>
    <t xml:space="preserve">    s = 0</t>
  </si>
  <si>
    <t xml:space="preserve">    for i in range(len(col1)):</t>
  </si>
  <si>
    <t xml:space="preserve">        s += col1[i] * cols[i][c]</t>
  </si>
  <si>
    <t xml:space="preserve">    results.append(s)</t>
  </si>
  <si>
    <t>for i in range(len(results)):</t>
  </si>
  <si>
    <t xml:space="preserve">  XQSEG_3.rows[i].val = results[i]</t>
  </si>
  <si>
    <t xml:space="preserve">   label="XQSEG_3_EXP"</t>
  </si>
  <si>
    <t>import math</t>
  </si>
  <si>
    <t>L = [float(x) for x in XQSEG_3.values]</t>
  </si>
  <si>
    <t>EXP = []</t>
  </si>
  <si>
    <t>EXP_F = []</t>
  </si>
  <si>
    <t>for i in L:</t>
  </si>
  <si>
    <t xml:space="preserve"> EXP.append(math.exp(i))</t>
  </si>
  <si>
    <t>for i in range(len(EXP)):</t>
  </si>
  <si>
    <t xml:space="preserve">  XQSEG_3_EXP.rows[i].c1.val = EXP[i]</t>
  </si>
  <si>
    <t xml:space="preserve">  EXP_F.append((EXP[i]/sum(EXP)) * 100)</t>
  </si>
  <si>
    <t xml:space="preserve">for i in range(len(EXP)):  </t>
  </si>
  <si>
    <t>XQSEG_3_EXP.rows[i].c2.val = round(EXP_F[i],2)</t>
  </si>
  <si>
    <t xml:space="preserve">    &lt;col label="c1"&gt;EXP&lt;/col&gt;</t>
  </si>
  <si>
    <t xml:space="preserve">    &lt;col label="c2"&gt;FINAL&lt;/col&gt;</t>
  </si>
  <si>
    <t>L = [float(x) for x in XQSEG_3_EXP.c2.values]</t>
  </si>
  <si>
    <t>print F[5]</t>
  </si>
  <si>
    <t>print F[4]</t>
  </si>
  <si>
    <t>for i in XQSEG_3_EXP.rows:</t>
  </si>
  <si>
    <t xml:space="preserve"> if float(i.c2.val) == F[5]:</t>
  </si>
  <si>
    <t xml:space="preserve">   XDEM1_SEG_FINAL_1.val = i.index</t>
  </si>
  <si>
    <t xml:space="preserve"> if float(i.c2.val) == F[4]:</t>
  </si>
  <si>
    <t xml:space="preserve">   XDEM1_SEG_FINAL_2.val = i.index</t>
  </si>
  <si>
    <t xml:space="preserve">   label="XDEM1_SEG_FINAL_1"</t>
  </si>
  <si>
    <t xml:space="preserve">    &lt;title&gt;LOGIT MODEL - DEMOCRAT SEGMENTS - First Max&lt;/title&gt;</t>
  </si>
  <si>
    <t xml:space="preserve">   label="XDEM1_SEG_FINAL_2"</t>
  </si>
  <si>
    <t xml:space="preserve">    &lt;title&gt;LOGIT MODEL - DEMOCRAT SEGMENTS - Second Max&lt;/title&gt;</t>
  </si>
  <si>
    <t>&lt;/block&gt;</t>
  </si>
  <si>
    <t>&lt;block label="b12" cond="TYPING_MODULE.r1" builder:title="GOP Block"&gt;</t>
  </si>
  <si>
    <t>QMD3_md = setupMaxDiffFile("GOPDesign.dat")</t>
  </si>
  <si>
    <t xml:space="preserve">  &lt;quota label="quo2" overquota="noqual" sheet="GOP Quota"/&gt;</t>
  </si>
  <si>
    <t xml:space="preserve">   label="QMD3_Version"</t>
  </si>
  <si>
    <t xml:space="preserve">    if "/GOP Quota/GOP_" in x:</t>
  </si>
  <si>
    <t xml:space="preserve">        QMD3_Version.val = int(x.split("_")[-1])</t>
  </si>
  <si>
    <t xml:space="preserve">  &lt;loop label="QMD3_md_loop" vars="task"&gt;</t>
  </si>
  <si>
    <t xml:space="preserve">    &lt;title&gt;QMD3 - MaxDiff Loop&lt;/title&gt;</t>
  </si>
  <si>
    <t xml:space="preserve">    &lt;block label="QMD3_md_block" randomize="1"&gt;</t>
  </si>
  <si>
    <t xml:space="preserve">     label="QGOP_[loopvar: task]"</t>
  </si>
  <si>
    <t xml:space="preserve">     ss:questionClassNames="QMD3_maxdiff"</t>
  </si>
  <si>
    <t>setupMaxDiffItemsI( QMD3_md, "v%d_t%d" % (QMD3_Version.val, [loopvar: task]), QGOP_[loopvar: task])</t>
  </si>
  <si>
    <t>p.MDcount = str(QMD3_md_loop_expanded.order.index([loopvar: task]-1)+1)</t>
  </si>
  <si>
    <t xml:space="preserve">        &lt;row label="item1"&gt;Government should stay small but defend marriage, family life, and personal responsibility.&lt;/row&gt;</t>
  </si>
  <si>
    <t xml:space="preserve">        &lt;row label="item2"&gt;Big pharma and big agribusiness can’t be trusted; local food and local control are healthier.&lt;/row&gt;</t>
  </si>
  <si>
    <t xml:space="preserve">        &lt;row label="item3"&gt;Drug and hospital prices are crushing people. I don’t care who fixes it—just bring costs down.&lt;/row&gt;</t>
  </si>
  <si>
    <t xml:space="preserve">        &lt;row label="item4"&gt;Small-town hospitals keep closing. Government must improve access to care for rural America.&lt;/row&gt;</t>
  </si>
  <si>
    <t xml:space="preserve">        &lt;row label="item5"&gt;Vaccines are unsafe, full stop. No one should be forced or pressured to take them.&lt;/row&gt;</t>
  </si>
  <si>
    <t xml:space="preserve">        &lt;row label="item6"&gt;My body, my choice—whether mandates, supplements, or experimental drugs. Government should butt out.&lt;/row&gt;</t>
  </si>
  <si>
    <t xml:space="preserve">        &lt;row label="item7"&gt;Modern medicine ignores the whole person. Natural and alternative therapies deserve equal respect and coverage.&lt;/row&gt;</t>
  </si>
  <si>
    <t xml:space="preserve">        &lt;row label="item8"&gt;Clean, whole-food living—not pills—keeps us healthy. The system ignores it because there’s no profit in it.&lt;/row&gt;</t>
  </si>
  <si>
    <t xml:space="preserve">        &lt;row label="item9"&gt;Human beings thrive on meat-heavy, low-carb diets. Government guidelines are junk science.&lt;/row&gt;</t>
  </si>
  <si>
    <t xml:space="preserve">        &lt;row label="item10"&gt;We must protect U.S. patients, workers, and supply chains first. Foreign competition and immigration come second.&lt;/row&gt;</t>
  </si>
  <si>
    <t xml:space="preserve">        &lt;row label="item11"&gt;Free markets work best, but I defer to FDA and CDC experts on safety and innovation.&lt;/row&gt;</t>
  </si>
  <si>
    <t xml:space="preserve">        &lt;row label="item12"&gt;Competition—private insurance, transparent prices, fewer rules—is the key to cheaper, better care.&lt;/row&gt;</t>
  </si>
  <si>
    <t xml:space="preserve">    .QMD3_maxdiff tr.maxdiff-header-legend {</t>
  </si>
  <si>
    <t xml:space="preserve">    .QMD3_maxdiff tr.maxdiff-header-legend th.legend {</t>
  </si>
  <si>
    <t xml:space="preserve">    .QMD3_maxdiff tr.maxdiff-row td.element {</t>
  </si>
  <si>
    <t xml:space="preserve">    .QMD3_maxdiff tr.maxdiff-row th.row-legend {</t>
  </si>
  <si>
    <t xml:space="preserve">    &lt;looprow label="11"&gt;</t>
  </si>
  <si>
    <t xml:space="preserve">      &lt;loopvar name="task"&gt;11&lt;/loopvar&gt;</t>
  </si>
  <si>
    <t xml:space="preserve">    &lt;looprow label="12"&gt;</t>
  </si>
  <si>
    <t xml:space="preserve">      &lt;loopvar name="task"&gt;12&lt;/loopvar&gt;</t>
  </si>
  <si>
    <t xml:space="preserve">   label="QMD3_Timer"</t>
  </si>
  <si>
    <t xml:space="preserve">    &lt;title&gt;QMD3 - MaxDiff Timer (Minutes)&lt;/title&gt;</t>
  </si>
  <si>
    <t>QMD3_Timer.val = (timeSpent() - p.startTime) / 60.0</t>
  </si>
  <si>
    <t xml:space="preserve">  &lt;note&gt;MaxDiff Indices Template --End3--&lt;/note&gt;</t>
  </si>
  <si>
    <t xml:space="preserve">   label="QMD3"</t>
  </si>
  <si>
    <t xml:space="preserve">for col in range(0, 12):     </t>
  </si>
  <si>
    <t xml:space="preserve">        QMD3.rows[rowNum][col].val=0</t>
  </si>
  <si>
    <t>for i in range(0,12):</t>
  </si>
  <si>
    <t>best = "QGOP_{}".format(i+1)</t>
  </si>
  <si>
    <t>worst = "QGOP_{}".format(i+1)</t>
  </si>
  <si>
    <t>QMD3.rows[best1][i].val=1</t>
  </si>
  <si>
    <t>QMD3.rows[worst1][i].val=-1</t>
  </si>
  <si>
    <t>for i in QMD3.rows:</t>
  </si>
  <si>
    <t>for j in range(12):</t>
  </si>
  <si>
    <t>if QMD3[i][j].val!=None:</t>
  </si>
  <si>
    <t>a1=QMD3[i][j].val</t>
  </si>
  <si>
    <t>QMD3[i].c13.val=a</t>
  </si>
  <si>
    <t xml:space="preserve">    &lt;row label="r1"&gt;Government should stay small but defend marriage, family life, and personal responsibility.&lt;/row&gt;</t>
  </si>
  <si>
    <t xml:space="preserve">    &lt;row label="r2"&gt;Big pharma and big agribusiness can’t be trusted; local food and local control are healthier&lt;/row&gt;</t>
  </si>
  <si>
    <t xml:space="preserve">    &lt;row label="r3"&gt;Big pharma and big agribusiness can’t be trusted; local food and local control are healthier&lt;/row&gt;</t>
  </si>
  <si>
    <t xml:space="preserve">    &lt;row label="r4"&gt;Small-town hospitals keep closing. Government must improve access to care for rural America&lt;/row&gt;</t>
  </si>
  <si>
    <t xml:space="preserve">    &lt;row label="r5"&gt;Vaccines are unsafe, full stop. No one should be forced or pressured to take them&lt;/row&gt;</t>
  </si>
  <si>
    <t xml:space="preserve">    &lt;row label="r6"&gt;My body, my choice—whether mandates, supplements, or experimental drugs. Government should butt out&lt;/row&gt;</t>
  </si>
  <si>
    <t xml:space="preserve">    &lt;row label="r7"&gt;Modern medicine ignores the whole person. Natural and alternative therapies deserve equal respect and coverage&lt;/row&gt;</t>
  </si>
  <si>
    <t xml:space="preserve">    &lt;row label="r8"&gt;Clean, whole-food living—not pills—keeps us healthy. The system ignores it because there’s no profit in it&lt;/row&gt;</t>
  </si>
  <si>
    <t xml:space="preserve">    &lt;row label="r9"&gt;Human beings thrive on meat-heavy, low-carb diets. Government guidelines are junk science&lt;/row&gt;</t>
  </si>
  <si>
    <t xml:space="preserve">    &lt;row label="r10"&gt;We must protect U.S. patients, workers, and supply chains first. Foreign competition and immigration come second&lt;/row&gt;</t>
  </si>
  <si>
    <t xml:space="preserve">    &lt;row label="r11"&gt;Free markets work best, but I defer to FDA and CDC experts on safety and innovation&lt;/row&gt;</t>
  </si>
  <si>
    <t xml:space="preserve">    &lt;row label="r12"&gt;Competition—private insurance, transparent prices, fewer rules—is the key to cheaper, better care&lt;/row&gt;</t>
  </si>
  <si>
    <t xml:space="preserve">    &lt;col label="c1"&gt;QGOP_1&lt;/col&gt;</t>
  </si>
  <si>
    <t xml:space="preserve">    &lt;col label="c2"&gt;QGOP_2&lt;/col&gt;</t>
  </si>
  <si>
    <t xml:space="preserve">    &lt;col label="c3"&gt;QGOP_3&lt;/col&gt;</t>
  </si>
  <si>
    <t xml:space="preserve">    &lt;col label="c4"&gt;QGOP_4&lt;/col&gt;</t>
  </si>
  <si>
    <t xml:space="preserve">    &lt;col label="c5"&gt;QGOP_5&lt;/col&gt;</t>
  </si>
  <si>
    <t xml:space="preserve">    &lt;col label="c6"&gt;QGOP_6&lt;/col&gt;</t>
  </si>
  <si>
    <t xml:space="preserve">    &lt;col label="c7"&gt;QGOP_7&lt;/col&gt;</t>
  </si>
  <si>
    <t xml:space="preserve">    &lt;col label="c8"&gt;QGOP_8&lt;/col&gt;</t>
  </si>
  <si>
    <t xml:space="preserve">    &lt;col label="c9"&gt;QGOP_9&lt;/col&gt;</t>
  </si>
  <si>
    <t xml:space="preserve">    &lt;col label="c10"&gt;QGOP_10&lt;/col&gt;</t>
  </si>
  <si>
    <t xml:space="preserve">    &lt;col label="c11"&gt;QGOP_11&lt;/col&gt;</t>
  </si>
  <si>
    <t xml:space="preserve">    &lt;col label="c12"&gt;QGOP_12&lt;/col&gt;</t>
  </si>
  <si>
    <t xml:space="preserve">    &lt;col label="c13"&gt;Row Total&lt;/col&gt;</t>
  </si>
  <si>
    <t xml:space="preserve">   label="XGOP_SEG"</t>
  </si>
  <si>
    <t xml:space="preserve">   size="25"</t>
  </si>
  <si>
    <t xml:space="preserve">    &lt;title&gt;HIDDEN: XGOP_SEG&lt;/title&gt;</t>
  </si>
  <si>
    <t>GOP_U = [0.38508997429306000000, -0.17377892030848300000, 0.24627249357326500000, -0.04010282776349610000, -0.59228791773778800000, -0.14858611825192800000, -0.02107969151670950000, 0.47455012853470400000, -0.37737789203084800000, 0.74447300771208200000, -0.40308483290488500000, 0.53264781491002300000]</t>
  </si>
  <si>
    <t>GOP_S = [1.43382270020555000000, 1.33588927952432000000, 1.27152970711636000000, 0.99506807970518800000, 1.43007171227387000000, 1.34448626576850000000, 1.03987765697966000000, 1.17741744823519000000, 1.06211524799590000000, 1.19670395348235000000, 1.23144280592344000000, 1.19631138845397000000]</t>
  </si>
  <si>
    <t xml:space="preserve">GOP_MAX_F = []  </t>
  </si>
  <si>
    <t>for i in XGOP_SEG.rows:</t>
  </si>
  <si>
    <t>i.c1.val=QMD3[i].c13.val</t>
  </si>
  <si>
    <t>GOP_MAX_F.append(float(QMD3[i].c13.val))</t>
  </si>
  <si>
    <t>for i in range(12):</t>
  </si>
  <si>
    <t xml:space="preserve"> XGOP_SEG.rows[i].c2.val = GOP_U[i]</t>
  </si>
  <si>
    <t xml:space="preserve"> XGOP_SEG.rows[i].c3.val = GOP_S[i]</t>
  </si>
  <si>
    <t xml:space="preserve"> XGOP_SEG.rows[i].c4.val = (GOP_MAX_F[i] - GOP_U[i])/GOP_S[i]</t>
  </si>
  <si>
    <t xml:space="preserve">    &lt;row label="r2"&gt;Big pharma and big agribusiness can’t be trusted; local food and local control are healthier.&lt;/row&gt;</t>
  </si>
  <si>
    <t xml:space="preserve">    &lt;row label="r3"&gt;Drug and hospital prices are crushing people. I don’t care who fixes it—just bring costs down.&lt;/row&gt;</t>
  </si>
  <si>
    <t xml:space="preserve">    &lt;row label="r4"&gt;Small-town hospitals keep closing. Government must improve access to care for rural America.&lt;/row&gt;</t>
  </si>
  <si>
    <t xml:space="preserve">    &lt;row label="r5"&gt;Vaccines are unsafe, full stop. No one should be forced or pressured to take them.&lt;/row&gt;</t>
  </si>
  <si>
    <t xml:space="preserve">    &lt;row label="r6"&gt;My body, my choice—whether mandates, supplements, or experimental drugs. Government should butt out.&lt;/row&gt;</t>
  </si>
  <si>
    <t xml:space="preserve">    &lt;row label="r7"&gt;Modern medicine ignores the whole person. Natural and alternative therapies deserve equal respect and coverage.&lt;/row&gt;</t>
  </si>
  <si>
    <t xml:space="preserve">    &lt;row label="r8"&gt;Clean, whole-food living—not pills—keeps us healthy. The system ignores it because there’s no profit in it.&lt;/row&gt;</t>
  </si>
  <si>
    <t xml:space="preserve">    &lt;row label="r9"&gt;Human beings thrive on meat-heavy, low-carb diets. Government guidelines are junk science.&lt;/row&gt;</t>
  </si>
  <si>
    <t xml:space="preserve">    &lt;row label="r10"&gt;We must protect U.S. patients, workers, and supply chains first. Foreign competition and immigration come second.&lt;/row&gt;</t>
  </si>
  <si>
    <t xml:space="preserve">    &lt;row label="r11"&gt;Free markets work best, but I defer to FDA and CDC experts on safety and innovation.&lt;/row&gt;</t>
  </si>
  <si>
    <t xml:space="preserve">    &lt;row label="r12"&gt;Competition—private insurance, transparent prices, fewer rules—is the key to cheaper, better care.&lt;/row&gt;</t>
  </si>
  <si>
    <t>p.resp_answers1 = [float(x) for x in XGOP_SEG.c4.values]</t>
  </si>
  <si>
    <t xml:space="preserve">    [-0.1261,-0.4051,1.02234,0.58465,-1.25002,0.82373,-0.6292,-1.18514,-0.80392,0.20714],</t>
  </si>
  <si>
    <t>[-0.19506,-0.46397,-1.07482,0.14556,1.06801,-0.42514,0.37386,1.31134,0.511,-0.28626],</t>
  </si>
  <si>
    <t>[0.85224,-0.53114,-0.78602,-0.72724,1.07565,-0.51894,-0.60455,0.61219,0.99074,-0.4556],</t>
  </si>
  <si>
    <t>[0.62878,0.34974,0.02367,-1.13604,1.18021,-0.62365,0.62733,-0.48681,0.03175,1.39773],</t>
  </si>
  <si>
    <t>[-0.95869,0.62692,-0.88469,1.112,-0.14726,-0.3302,1.18718,1.28464,-0.1541,-0.04871],</t>
  </si>
  <si>
    <t>[0.77122,-0.23771,-0.31254,-0.44362,0.59271,-0.6674,-0.19717,0.5111,0.79782,-0.90838],</t>
  </si>
  <si>
    <t>[-0.8289,1.34097,-0.8539,0.06487,0.07327,0.04457,0.04989,0.86505,0.46423,-0.3913],</t>
  </si>
  <si>
    <t>[-0.57842,0.64731,-0.60104,0.51284,-0.68959,0.60399,-1.59188,0.65871,0.608,-1.36486],</t>
  </si>
  <si>
    <t>[-0.36865,0.16667,-0.22571,0.94961,0.12971,-0.72425,2.09125,0.52635,-0.3421,-0.08712],</t>
  </si>
  <si>
    <t>[1.02773,-1.3315,0.65958,-0.99743,-0.07412,0.35569,-1.50713,-0.7052,0.35967,-0.22933],</t>
  </si>
  <si>
    <t>[0.4801,0.21314,0.86573,-0.6825,0.54792,-0.61611,1.48754,-0.94944,-0.53529,1.09175],</t>
  </si>
  <si>
    <t xml:space="preserve">[0.85616,-0.78399,0.89399,-0.66896,-0.76511,0.60854,-1.92725,-1.02391,0.13248,-0.23465]   </t>
  </si>
  <si>
    <t>results = algorithmRaw(p.resp_answers1, segment_matrix)</t>
  </si>
  <si>
    <t>XGOP_RAW[i].ival=round(results[i],1)</t>
  </si>
  <si>
    <t xml:space="preserve">   label="XGOP_RAW"</t>
  </si>
  <si>
    <t xml:space="preserve">    &lt;row label="r1"&gt;Consumer Empowerment Champions&lt;/row&gt;</t>
  </si>
  <si>
    <t xml:space="preserve">    &lt;row label="r2"&gt;Holistic Health Naturalists&lt;/row&gt;</t>
  </si>
  <si>
    <t xml:space="preserve">    &lt;row label="r3"&gt;Traditional Conservatives&lt;/row&gt;</t>
  </si>
  <si>
    <t xml:space="preserve">    &lt;row label="r4"&gt;Paleo Freedom Fighters&lt;/row&gt;</t>
  </si>
  <si>
    <t xml:space="preserve">    &lt;row label="r5"&gt;Price Populists&lt;/row&gt;</t>
  </si>
  <si>
    <t xml:space="preserve">    &lt;row label="r6"&gt;Wellness Evangelists&lt;/row&gt;</t>
  </si>
  <si>
    <t xml:space="preserve">    &lt;row label="r7"&gt;Radical Futurists&lt;/row&gt;</t>
  </si>
  <si>
    <t xml:space="preserve">    &lt;row label="r8"&gt;Vaccine Skeptics&lt;/row&gt;</t>
  </si>
  <si>
    <t xml:space="preserve">    &lt;row label="r9"&gt;Medical Freedom Libertarians&lt;/row&gt;</t>
  </si>
  <si>
    <t xml:space="preserve">    &lt;row label="r10"&gt;Trust The Science Pragmatists&lt;/row&gt;</t>
  </si>
  <si>
    <t>L = [float(x) for x in XGOP_RAW.values]</t>
  </si>
  <si>
    <t>for i in XGOP_RAW.rows:</t>
  </si>
  <si>
    <t xml:space="preserve">   XGOP_SEG_FINAL_1.val = i.index</t>
  </si>
  <si>
    <t xml:space="preserve">   XGOP_SEG_FINAL_2.val = i.index</t>
  </si>
  <si>
    <t xml:space="preserve">   label="XGOP_SEG_FINAL_1"</t>
  </si>
  <si>
    <t xml:space="preserve">    &lt;title&gt;CENTROID MODEL - REPUBLICAN SEGMENTS - First minimum&lt;/title&gt;</t>
  </si>
  <si>
    <t xml:space="preserve">   label="XGOP_SEG_FINAL_2"</t>
  </si>
  <si>
    <t xml:space="preserve">    &lt;title&gt;CENTROID MODEL - REPUBLICAN SEGMENTS - Second minimum&lt;/title&gt;</t>
  </si>
  <si>
    <t xml:space="preserve">   label="QSEG_4"</t>
  </si>
  <si>
    <t>QSEG_4.r1.val=0</t>
  </si>
  <si>
    <t>QSEG_4.r2.val=(float(XTRUST.r1.val) + float(XTRUST.r2.val) + float(XTRUST.r3.val))/3</t>
  </si>
  <si>
    <t>QSEG_4.r3.val=(float(XTRUST.r4.val) + float(XTRUST.r5.val))/2</t>
  </si>
  <si>
    <t>QSEG_4.r4.val=XATTITUDE.r3.val</t>
  </si>
  <si>
    <t>QSEG_4.r5.val=XIDEOLOGY.r2.val</t>
  </si>
  <si>
    <t xml:space="preserve">    &lt;row label="r1"&gt;Intercept&lt;/row&gt;</t>
  </si>
  <si>
    <t xml:space="preserve">    &lt;row label="r2"&gt;VECTOR_TRUST&lt;/row&gt;</t>
  </si>
  <si>
    <t xml:space="preserve">    &lt;row label="r3"&gt;VECTOR_SCIENCE&lt;/row&gt;</t>
  </si>
  <si>
    <t xml:space="preserve">    &lt;row label="r4"&gt;VECTOR_FREEDOM&lt;/row&gt;</t>
  </si>
  <si>
    <t xml:space="preserve">    &lt;row label="r5"&gt;VECTOR_MARKETS&lt;/row&gt;</t>
  </si>
  <si>
    <t xml:space="preserve">   label="XQSEG_4"</t>
  </si>
  <si>
    <t>col1 = [float(x) for x in QSEG_4.values]</t>
  </si>
  <si>
    <t>[-0.38723393045133700000,-0.52493520688521500000,-1.93594760368665000000,-2.39280314917104000000,-0.68480946471015500000,-1.36031215345391000000,-0.74424352441403700000,0,-0.87487174583976100000,-1.80226906972651000000],</t>
  </si>
  <si>
    <t>[0.56721940755344300000,0.28923351099807500000,0.89727368332625300000,0.30228393189333900000,-0.08318622463084400000,0.65066893516317700000,0.20001687121630800000,0,0.24349404365751200000,0.86542559081574900000],</t>
  </si>
  <si>
    <t>[0.08196028084108390000,0.10175176171097900000,-0.11873861209671500000,-0.05229597258184510000,0.57993383819320000000,-0.21621450930156200000,0.40007648925745500000,0,0.14516219548223500000,-0.10617888502495400000],</t>
  </si>
  <si>
    <t>[-0.45028155320828600000,-0.31931142283771000000,-0.43557905063624500000,0.17574389193804300000,-0.31661896434438000000,-0.13406311330401700000,-0.43777996857220900000,0,-0.12724900305712100000,-0.41173826770088300000],</t>
  </si>
  <si>
    <t>[0.13086125387023100000,0.05505952131754150000,0.26990951731301200000,0.08718668538250130000,-0.04121649380559660000,0.22413891093727700000,0.01221015389002600000,0,0.05524839246493730000,0.04838392511813760000]</t>
  </si>
  <si>
    <t>result0 = []</t>
  </si>
  <si>
    <t># Element-wise multiply each row by X[i]</t>
  </si>
  <si>
    <t>for i in range(len(cols)):</t>
  </si>
  <si>
    <t xml:space="preserve">    row_result = []</t>
  </si>
  <si>
    <t xml:space="preserve">    for j in range(len(cols[i])):</t>
  </si>
  <si>
    <t xml:space="preserve">        row_result.append(col1[i] * cols[i][j])</t>
  </si>
  <si>
    <t xml:space="preserve">    result0.append(row_result)</t>
  </si>
  <si>
    <t>results1 = []</t>
  </si>
  <si>
    <t>for i in range(1):</t>
  </si>
  <si>
    <t>results1.append(cols[i])</t>
  </si>
  <si>
    <t>for i in range(1,5):</t>
  </si>
  <si>
    <t>results1.append(result0[i])</t>
  </si>
  <si>
    <t>results2 = []</t>
  </si>
  <si>
    <t>for c in range(10):</t>
  </si>
  <si>
    <t xml:space="preserve">        s += col1[i] * results1[i][c]</t>
  </si>
  <si>
    <t xml:space="preserve">    results2.append(s)</t>
  </si>
  <si>
    <t>for i in range(len(results2)):</t>
  </si>
  <si>
    <t xml:space="preserve">  XQSEG_4.rows[i].val = results2[i]</t>
  </si>
  <si>
    <t xml:space="preserve">   label="XQSEG_4_EXP"</t>
  </si>
  <si>
    <t>L = [float(x) for x in XQSEG_4.values]</t>
  </si>
  <si>
    <t xml:space="preserve">  XQSEG_4_EXP.rows[i].c1.val = EXP[i]</t>
  </si>
  <si>
    <t>XQSEG_4_EXP.rows[i].c2.val = round(EXP_F[i],2)</t>
  </si>
  <si>
    <t>L = [float(x) for x in XQSEG_4_EXP.c2.values]</t>
  </si>
  <si>
    <t>print F[9]</t>
  </si>
  <si>
    <t>print F[8]</t>
  </si>
  <si>
    <t>for i in XQSEG_4_EXP.rows:</t>
  </si>
  <si>
    <t xml:space="preserve"> if float(i.c2.val) == F[9]:</t>
  </si>
  <si>
    <t xml:space="preserve">   XGOP1_SEG_FINAL_1.val = i.index</t>
  </si>
  <si>
    <t xml:space="preserve"> if float(i.c2.val) == F[8]:</t>
  </si>
  <si>
    <t xml:space="preserve">   XGOP1_SEG_FINAL_2.val = i.index</t>
  </si>
  <si>
    <t xml:space="preserve">   label="XGOP1_SEG_FINAL_1"</t>
  </si>
  <si>
    <t xml:space="preserve">    &lt;title&gt;LOGIT MODEL - REPUBLICAN SEGMENTS - First Max&lt;/title&gt;</t>
  </si>
  <si>
    <t xml:space="preserve">   label="XGOP1_SEG_FINAL_2"</t>
  </si>
  <si>
    <t xml:space="preserve">    &lt;title&gt;LOGIT MODEL - REPUBLICAN SEGMENTS - Second Max&lt;/title&gt;</t>
  </si>
  <si>
    <t xml:space="preserve">  label="XSEG_ASSIGNED"</t>
  </si>
  <si>
    <t xml:space="preserve">  &lt;title&gt;Final Segment Assignment (1-16)&lt;/title&gt;</t>
  </si>
  <si>
    <t xml:space="preserve">  &lt;comment&gt;GOP Segments (1-10)DEM Segments (11-16)&lt;/comment&gt;</t>
  </si>
  <si>
    <t>if XGOP_SEG_FINAL_1.any:</t>
  </si>
  <si>
    <t xml:space="preserve">    XSEG_ASSIGNED.val = XGOP_SEG_FINAL_1.val</t>
  </si>
  <si>
    <t>elif XDEM_SEG_FINAL_1.any:</t>
  </si>
  <si>
    <t>XSEG_ASSIGNED.val = XDEM_SEG_FINAL_1.val+10</t>
  </si>
  <si>
    <t xml:space="preserve">  &lt;row label="r1"&gt;1. Consumer Empowerment Champions&lt;/row&gt;</t>
  </si>
  <si>
    <t xml:space="preserve">  &lt;row label="r2"&gt;2. Holistic Health Naturalists&lt;/row&gt;</t>
  </si>
  <si>
    <t xml:space="preserve">  &lt;row label="r3"&gt;3. Traditional Conservatives&lt;/row&gt;</t>
  </si>
  <si>
    <t xml:space="preserve">  &lt;row label="r4"&gt;4. Paleo Freedom Fighters&lt;/row&gt;</t>
  </si>
  <si>
    <t xml:space="preserve">  &lt;row label="r5"&gt;5. Price Populists&lt;/row&gt;</t>
  </si>
  <si>
    <t xml:space="preserve">  &lt;row label="r6"&gt;6. Wellness Evangelists&lt;/row&gt;</t>
  </si>
  <si>
    <t xml:space="preserve">  &lt;row label="r7"&gt;7. Radical Futurists&lt;/row&gt;</t>
  </si>
  <si>
    <t xml:space="preserve">  &lt;row label="r8"&gt;8. Vaccine Skeptics&lt;/row&gt;</t>
  </si>
  <si>
    <t xml:space="preserve">  &lt;row label="r9"&gt;9. Medical Freedom Libertarians&lt;/row&gt;</t>
  </si>
  <si>
    <t xml:space="preserve">  &lt;row label="r10"&gt;10. Trust The Science Pragmatists&lt;/row&gt;</t>
  </si>
  <si>
    <t xml:space="preserve">  &lt;row label="r11"&gt;11. Idealists&lt;/row&gt;</t>
  </si>
  <si>
    <t xml:space="preserve">  &lt;row label="r12"&gt;12. Progressives&lt;/row&gt;</t>
  </si>
  <si>
    <t xml:space="preserve">  &lt;row label="r13"&gt;13. Protectionists&lt;/row&gt;</t>
  </si>
  <si>
    <t xml:space="preserve">  &lt;row label="r14"&gt;14. Abundance&lt;/row&gt;</t>
  </si>
  <si>
    <t xml:space="preserve">  &lt;row label="r15"&gt;15. Incrementalists&lt;/row&gt;</t>
  </si>
  <si>
    <t xml:space="preserve">  &lt;row label="r16"&gt;16. Institutionalists&lt;/row&gt;</t>
  </si>
  <si>
    <t xml:space="preserve">&lt;float </t>
  </si>
  <si>
    <t xml:space="preserve">  label="XQUOTA_PCT"</t>
  </si>
  <si>
    <t xml:space="preserve">  &lt;title&gt;Quota Percentage (Current n / 81 * 100)&lt;/title&gt;</t>
  </si>
  <si>
    <t>XQUOTA_PCT.val = 0</t>
  </si>
  <si>
    <t>&lt;/float&gt;</t>
  </si>
  <si>
    <t xml:space="preserve">  label="XMODEL_AGREEMENT"</t>
  </si>
  <si>
    <t xml:space="preserve">  &lt;title&gt;Model Agreement Status&lt;/title&gt;</t>
  </si>
  <si>
    <t>if TYPING_MODULE.r1:</t>
  </si>
  <si>
    <t xml:space="preserve">    cent1 = XGOP_SEG_FINAL_1.val if XGOP_SEG_FINAL_1.any else None</t>
  </si>
  <si>
    <t xml:space="preserve">    cent2 = XGOP_SEG_FINAL_2.val if XGOP_SEG_FINAL_2.any else None</t>
  </si>
  <si>
    <t xml:space="preserve">    logit1 = XGOP1_SEG_FINAL_1.val if XGOP1_SEG_FINAL_1.any else None</t>
  </si>
  <si>
    <t xml:space="preserve">    logit2 = XGOP1_SEG_FINAL_2.val if XGOP1_SEG_FINAL_2.any else None</t>
  </si>
  <si>
    <t>elif TYPING_MODULE.r2:</t>
  </si>
  <si>
    <t xml:space="preserve">    cent1 = XDEM_SEG_FINAL_1.val if XDEM_SEG_FINAL_1.any else None</t>
  </si>
  <si>
    <t xml:space="preserve">    cent2 = XDEM_SEG_FINAL_2.val if XDEM_SEG_FINAL_2.any else None</t>
  </si>
  <si>
    <t xml:space="preserve">    logit1 = XDEM1_SEG_FINAL_1.val if XDEM1_SEG_FINAL_1.any else None</t>
  </si>
  <si>
    <t xml:space="preserve">    logit2 = XDEM1_SEG_FINAL_2.val if XDEM1_SEG_FINAL_2.any else None</t>
  </si>
  <si>
    <t xml:space="preserve">    cent1 = cent2 = logit1 = logit2 = None</t>
  </si>
  <si>
    <t>if cent1 and logit1:</t>
  </si>
  <si>
    <t xml:space="preserve">    if cent1 == logit1 and cent2 == logit2:</t>
  </si>
  <si>
    <t xml:space="preserve">        # Full agreement - both #1 and #2 match</t>
  </si>
  <si>
    <t xml:space="preserve">        XMODEL_AGREEMENT.val = XMODEL_AGREEMENT.r1.index</t>
  </si>
  <si>
    <t xml:space="preserve">    elif cent1 == logit1 or cent2 == logit2:</t>
  </si>
  <si>
    <t xml:space="preserve">        # Partial agreement - only one matches</t>
  </si>
  <si>
    <t xml:space="preserve">        XMODEL_AGREEMENT.val = XMODEL_AGREEMENT.r2.index</t>
  </si>
  <si>
    <t xml:space="preserve">    else:</t>
  </si>
  <si>
    <t xml:space="preserve">        # No agreement</t>
  </si>
  <si>
    <t xml:space="preserve">        XMODEL_AGREEMENT.val = XMODEL_AGREEMENT.r3.index</t>
  </si>
  <si>
    <t xml:space="preserve">  &lt;row label="r1"&gt;Full Agreement (Both #1 and #2 match)&lt;/row&gt;</t>
  </si>
  <si>
    <t xml:space="preserve">  &lt;row label="r2"&gt;Partial Agreement (One matches)&lt;/row&gt;</t>
  </si>
  <si>
    <t xml:space="preserve">  &lt;row label="r3"&gt;No Agreement&lt;/row&gt;</t>
  </si>
  <si>
    <t xml:space="preserve">  label="XCENTROID_DIST1"</t>
  </si>
  <si>
    <t xml:space="preserve">  &lt;title&gt;Centroid Distance to Closest Segment&lt;/title&gt;</t>
  </si>
  <si>
    <t>if TYPING_MODULE.r1 and XGOP_RAW.any:</t>
  </si>
  <si>
    <t xml:space="preserve">    distances = [float(row.val) for row in XGOP_RAW.rows if row.val is not None]</t>
  </si>
  <si>
    <t xml:space="preserve">    XCENTROID_DIST1.val = min(distances) if distances else 99</t>
  </si>
  <si>
    <t>elif TYPING_MODULE.r2 and XDEM_RAW.any:</t>
  </si>
  <si>
    <t xml:space="preserve">    distances = [float(row.val) for row in XDEM_RAW.rows if row.val is not None]</t>
  </si>
  <si>
    <t xml:space="preserve">    XCENTROID_DIST1.val = 99</t>
  </si>
  <si>
    <t xml:space="preserve">  label="XCENTROID_DIST2"</t>
  </si>
  <si>
    <t xml:space="preserve">  &lt;title&gt;Centroid Distance to 2nd Closest Segment&lt;/title&gt;</t>
  </si>
  <si>
    <t xml:space="preserve">    distances = sorted([float(row.val) for row in XGOP_RAW.rows if row.val is not None])</t>
  </si>
  <si>
    <t xml:space="preserve">    XCENTROID_DIST2.val = distances[1] if len(distances) &amp;gt; 1 else 99</t>
  </si>
  <si>
    <t xml:space="preserve">    distances = sorted([float(row.val) for row in XDEM_RAW.rows if row.val is not None])</t>
  </si>
  <si>
    <t xml:space="preserve">    XCENTROID_DIST2.val = 99</t>
  </si>
  <si>
    <t xml:space="preserve">  label="XREL_DIFF"</t>
  </si>
  <si>
    <t xml:space="preserve">  &lt;title&gt;Relative Difference: (Dist2 - Dist1) / Dist1&lt;/title&gt;</t>
  </si>
  <si>
    <t>dist1 = float(XCENTROID_DIST1.val) if XCENTROID_DIST1.val else 1</t>
  </si>
  <si>
    <t>dist2 = float(XCENTROID_DIST2.val) if XCENTROID_DIST2.val else 2</t>
  </si>
  <si>
    <t>if dist1 &amp;gt; 0:</t>
  </si>
  <si>
    <t xml:space="preserve">    XREL_DIFF.val = (dist2 - dist1) / dist1</t>
  </si>
  <si>
    <t xml:space="preserve">    XREL_DIFF.val = 0</t>
  </si>
  <si>
    <t xml:space="preserve">  label="XLOGIT_PROB1"</t>
  </si>
  <si>
    <t xml:space="preserve">  &lt;title&gt;Logit Probability % for Top Choice&lt;/title&gt;</t>
  </si>
  <si>
    <t>if TYPING_MODULE.r1 and XQSEG_4_EXP.any:</t>
  </si>
  <si>
    <t xml:space="preserve">    probs = [float(row.c2.val) for row in XQSEG_4_EXP.rows if row.c2.val is not None]</t>
  </si>
  <si>
    <t xml:space="preserve">    XLOGIT_PROB1.val = max(probs) if probs else 0</t>
  </si>
  <si>
    <t>elif TYPING_MODULE.r2 and XQSEG_3_EXP.any:</t>
  </si>
  <si>
    <t xml:space="preserve">    probs = [float(row.c2.val) for row in XQSEG_3_EXP.rows if row.c2.val is not None]</t>
  </si>
  <si>
    <t xml:space="preserve">    XLOGIT_PROB1.val = 0</t>
  </si>
  <si>
    <t xml:space="preserve">  label="XCONF_LEVEL"</t>
  </si>
  <si>
    <t xml:space="preserve">  &lt;title&gt;Confidence Level Classification&lt;/title&gt;</t>
  </si>
  <si>
    <t>full_agreement = False</t>
  </si>
  <si>
    <t>if XMODEL_AGREEMENT.any:</t>
  </si>
  <si>
    <t xml:space="preserve">    full_agreement = (XMODEL_AGREEMENT.r1.val == 1)</t>
  </si>
  <si>
    <t>dist1 = 99.0</t>
  </si>
  <si>
    <t>if XCENTROID_DIST1.val is not None:</t>
  </si>
  <si>
    <t xml:space="preserve">    dist1 = float(XCENTROID_DIST1.val)</t>
  </si>
  <si>
    <t>rel_diff = 0.0</t>
  </si>
  <si>
    <t>if XREL_DIFF.val is not None:</t>
  </si>
  <si>
    <t xml:space="preserve">    rel_diff = float(XREL_DIFF.val)</t>
  </si>
  <si>
    <t>logit_prob = 0.0</t>
  </si>
  <si>
    <t>if XLOGIT_PROB1.val is not None:</t>
  </si>
  <si>
    <t xml:space="preserve">    logit_prob = float(XLOGIT_PROB1.val)</t>
  </si>
  <si>
    <t>low_conf = False</t>
  </si>
  <si>
    <t xml:space="preserve">    if XMODEL_AGREEMENT.r3.val == 1:</t>
  </si>
  <si>
    <t xml:space="preserve">        low_conf = True</t>
  </si>
  <si>
    <t>if dist1 &amp;gt;= 0.5:</t>
  </si>
  <si>
    <t xml:space="preserve">    low_conf = True</t>
  </si>
  <si>
    <t xml:space="preserve">    </t>
  </si>
  <si>
    <t>if not (rel_diff &amp;gt; 0.2):</t>
  </si>
  <si>
    <t>if not (logit_prob &amp;gt; 50):</t>
  </si>
  <si>
    <t>if full_agreement and not (dist1 &amp;gt;= 0.5) and rel_diff &amp;gt; 0.5 and logit_prob &amp;gt; 70:</t>
  </si>
  <si>
    <t xml:space="preserve">    XCONF_LEVEL.val = XCONF_LEVEL.r1.index</t>
  </si>
  <si>
    <t>elif low_conf:</t>
  </si>
  <si>
    <t xml:space="preserve">    XCONF_LEVEL.val = XCONF_LEVEL.r3.index</t>
  </si>
  <si>
    <t xml:space="preserve">    XCONF_LEVEL.val = XCONF_LEVEL.r2.index</t>
  </si>
  <si>
    <t xml:space="preserve">  &lt;row label="r1"&gt;High Confidence&lt;/row&gt;</t>
  </si>
  <si>
    <t xml:space="preserve">  &lt;row label="r2"&gt;Moderate Confidence&lt;/row&gt;</t>
  </si>
  <si>
    <t xml:space="preserve">  &lt;row label="r3"&gt;Low Confidence&lt;/row&gt;</t>
  </si>
  <si>
    <t xml:space="preserve">  label="XAMB_FLAG"</t>
  </si>
  <si>
    <t xml:space="preserve">  &lt;title&gt;Ambiguity Flag&lt;/title&gt;</t>
  </si>
  <si>
    <t>no_agreement = (XMODEL_AGREEMENT.r3.val == 1) if XMODEL_AGREEMENT.any else False</t>
  </si>
  <si>
    <t>dist1 = float(XCENTROID_DIST1.val) if XCENTROID_DIST1.val else 99</t>
  </si>
  <si>
    <t>rel_diff = float(XREL_DIFF.val) if XREL_DIFF.val else 0</t>
  </si>
  <si>
    <t>logit_prob = float(XLOGIT_PROB1.val) if XLOGIT_PROB1.val else 0</t>
  </si>
  <si>
    <t>if no_agreement or dist1 &amp;gt;= 0.5 or not (rel_diff &amp;gt; 0.5) or not (logit_prob &amp;gt; 50):</t>
  </si>
  <si>
    <t xml:space="preserve">    XAMB_FLAG.val = XAMB_FLAG.r2.index</t>
  </si>
  <si>
    <t xml:space="preserve">    XAMB_FLAG.val = XAMB_FLAG.r1.index</t>
  </si>
  <si>
    <t xml:space="preserve">  &lt;row label="r1"&gt;Clear&lt;/row&gt;</t>
  </si>
  <si>
    <t xml:space="preserve">  &lt;row label="r2"&gt;Ambiguous&lt;/row&gt;</t>
  </si>
  <si>
    <t xml:space="preserve">  label="QINS1"&gt;</t>
  </si>
  <si>
    <t xml:space="preserve">  &lt;title&gt;&lt;span class="ques_no"&gt;${this.label}&lt;/span&gt; &lt;strong&gt;Are you currently covered by any form of health insurance?&lt;/strong&gt; A health plan would include any private insurance plan through your employer or a plan that you purchased yourself, as well as a government program, like Medicare or Medicaid.&lt;/title&gt;</t>
  </si>
  <si>
    <t xml:space="preserve">  &lt;row label="r1" value="1"&gt;Yes (Insured)&lt;/row&gt;</t>
  </si>
  <si>
    <t xml:space="preserve">  &lt;row label="r2" value="2"&gt;No (Uninsured)&lt;/row&gt;</t>
  </si>
  <si>
    <t xml:space="preserve">  label="QINS2"</t>
  </si>
  <si>
    <t xml:space="preserve">  cond="(QINS1.r1)"&gt;</t>
  </si>
  <si>
    <t xml:space="preserve">  &lt;title&gt;&lt;span class="ques_no"&gt;${this.label}&lt;/span&gt; What is the main type of health insurance coverage that you currently have?&lt;/title&gt;</t>
  </si>
  <si>
    <t xml:space="preserve">  &lt;comment&gt;&amp;amp;#91;Select the one that is your primary source of coverage&amp;amp;#93;&lt;/comment&gt;</t>
  </si>
  <si>
    <t xml:space="preserve">  &lt;row label="r1" value="1"&gt;A plan through my employer&lt;/row&gt;</t>
  </si>
  <si>
    <t xml:space="preserve">  &lt;row label="r2" value="2"&gt;A plan through my spouse’s employer&lt;/row&gt;</t>
  </si>
  <si>
    <t xml:space="preserve">  &lt;row label="r3" value="3"&gt;A plan through my parent’s employer&lt;/row&gt;</t>
  </si>
  <si>
    <t xml:space="preserve">  &lt;row label="r4" value="4"&gt;A plan you purchased yourself directly from an insurance company&lt;/row&gt;</t>
  </si>
  <si>
    <t xml:space="preserve">  &lt;row label="r5" value="5"&gt;A plan you purchased yourself from a state or federal marketplace&lt;/row&gt;</t>
  </si>
  <si>
    <t xml:space="preserve">  &lt;row label="r6" value="6"&gt;Medicaid&lt;/row&gt;</t>
  </si>
  <si>
    <t xml:space="preserve">  &lt;row label="r7" value="7"&gt;Medicare&lt;/row&gt;</t>
  </si>
  <si>
    <t xml:space="preserve">  &lt;row label="r8" open="1" openSize="25" randomize="0" value="8"&gt;Other &amp;amp;#91;Please Specify&amp;amp;#93&lt;/row&gt;</t>
  </si>
  <si>
    <t xml:space="preserve">  &lt;row label="r99" value="99"&gt;Don’t Know/Not sure&lt;/row&gt;</t>
  </si>
  <si>
    <t xml:space="preserve">  label="QINS3"</t>
  </si>
  <si>
    <t xml:space="preserve">  cond="QINS2.r7"&gt;</t>
  </si>
  <si>
    <t xml:space="preserve">  &lt;title&gt;&lt;span class="ques_no"&gt;${this.label}&lt;/span&gt; Do you have traditional or original Medicare, or do you have a Medicare Advantage plan?&lt;/title&gt;</t>
  </si>
  <si>
    <t xml:space="preserve">  &lt;row label="r1" value="1"&gt;Traditional Medicare&lt;/row&gt;</t>
  </si>
  <si>
    <t xml:space="preserve">  &lt;row label="r2" value="2"&gt;Medicare Advantage&lt;/row&gt;</t>
  </si>
  <si>
    <t xml:space="preserve">  &lt;row label="r3" value="3"&gt;Both or neither&lt;/row&gt;</t>
  </si>
  <si>
    <t xml:space="preserve">  label="QPR1"&gt;</t>
  </si>
  <si>
    <t xml:space="preserve">  &lt;title&gt;&lt;span class="ques_no"&gt;${this.label}&lt;/span&gt; Which of the following describes you today... &lt;/title&gt;</t>
  </si>
  <si>
    <t xml:space="preserve">  &lt;row label="r1" value="1"&gt;My partner or I am currently pregnant&lt;/row&gt;</t>
  </si>
  <si>
    <t xml:space="preserve">  &lt;row label="r2" value="2"&gt;My partner or I are planning a pregnancy in the next 12 months&lt;/row&gt;</t>
  </si>
  <si>
    <t xml:space="preserve">  &lt;row label="r3" value="3"&gt;I am a parent or guardian of a child under age 2&lt;/row&gt;</t>
  </si>
  <si>
    <t xml:space="preserve">  &lt;row label="r4" value="4"&gt;None of the above&lt;/row&gt;</t>
  </si>
  <si>
    <t xml:space="preserve">  label="XQPR2"</t>
  </si>
  <si>
    <t xml:space="preserve">  cond="QPR1.but(QPR1.r4).any"</t>
  </si>
  <si>
    <t xml:space="preserve">  &lt;title&gt;Hidden for QPR2&lt;/title&gt;</t>
  </si>
  <si>
    <t>XQPR2.val=QPR1.val</t>
  </si>
  <si>
    <t xml:space="preserve">  &lt;row label="r1" value="1"&gt;Is this your first child?&lt;/row&gt;</t>
  </si>
  <si>
    <t xml:space="preserve">  &lt;row label="r2" value="2"&gt;Will this be your first child?&lt;/row&gt;</t>
  </si>
  <si>
    <t xml:space="preserve">  &lt;row label="r3" value="3"&gt;Is this your first child?&lt;/row&gt;</t>
  </si>
  <si>
    <t xml:space="preserve">  label="QPR2"</t>
  </si>
  <si>
    <t xml:space="preserve">  cond="QPR1.but(QPR1.r4).any"&gt;</t>
  </si>
  <si>
    <t xml:space="preserve">  &lt;title&gt;&lt;span class="ques_no"&gt;${this.label}&lt;/span&gt; [pipe: XQPR2]&lt;/title&gt;</t>
  </si>
  <si>
    <t xml:space="preserve">  label="XQINS2"</t>
  </si>
  <si>
    <t xml:space="preserve">  &lt;title&gt;HIDDEN: XQINS2 Based on QINS2 and QINS3&lt;/title&gt;</t>
  </si>
  <si>
    <t>if QINS3.r2:</t>
  </si>
  <si>
    <t>XQINS2.val=0</t>
  </si>
  <si>
    <t>elif QINS3.r1:</t>
  </si>
  <si>
    <t>XQINS2.val=1</t>
  </si>
  <si>
    <t>elif QINS2.r1 or QINS2.r2 or QINS2.r3:</t>
  </si>
  <si>
    <t>XQINS2.val=2</t>
  </si>
  <si>
    <t>XQINS2.val=3</t>
  </si>
  <si>
    <t xml:space="preserve">  &lt;row label="r1"&gt;Medicare Advantage&lt;/row&gt;</t>
  </si>
  <si>
    <t xml:space="preserve">  &lt;row label="r2"&gt;Traditional Medicare&lt;/row&gt;</t>
  </si>
  <si>
    <t xml:space="preserve">  &lt;row label="r3"&gt;Employer Sponsored Insurance&lt;/row&gt;</t>
  </si>
  <si>
    <t xml:space="preserve">  &lt;row label="r4"&gt;Others&lt;/row&gt;</t>
  </si>
  <si>
    <t>&lt;exec sst="0"&gt;</t>
  </si>
  <si>
    <t>seg = XSEG_ASSIGNED.selected.index + 1</t>
  </si>
  <si>
    <t>quota_cells = gv.survey.root.quota.getQuotaCells()</t>
  </si>
  <si>
    <t>current1, limit1, overquota1 = quota_cells["/Wave One Equal Allocation QUOTA/XSEG_ASSIGN{}/MA_SEC".format(seg)]</t>
  </si>
  <si>
    <t>current2, limit2, overquota2 = quota_cells["/Wave One Equal Allocation QUOTA/XSEG_ASSIGN{}/ESI_SEC".format(seg)]</t>
  </si>
  <si>
    <t>current3, limit3, overquota3 = quota_cells["/Wave One Equal Allocation QUOTA/XSEG_ASSIGN{}/GLP_SEC".format(seg)]</t>
  </si>
  <si>
    <t>current4, limit4, overquota4 = quota_cells["/Wave One Equal Allocation QUOTA/XSEG_ASSIGN{}/PREG_SEC".format(seg)]</t>
  </si>
  <si>
    <t>current5, limit5, overquota5 = quota_cells["/Wave One Equal Allocation QUOTA/XSEG_ASSIGN{}/AL_SEC".format(seg)]</t>
  </si>
  <si>
    <t>current6, limit6, overquota6 = quota_cells["/Wave One Equal Allocation QUOTA/XSEG_ASSIGN{}/VAX_SEC".format(seg)]</t>
  </si>
  <si>
    <t>current7, limit7, overquota7 = quota_cells["/Wave One Equal Allocation QUOTA/XSEG_ASSIGN{}/VICP_SEC".format(seg)]</t>
  </si>
  <si>
    <t>remain_MA = limit1 - current1</t>
  </si>
  <si>
    <t>remain_ESI = limit2 - current2</t>
  </si>
  <si>
    <t>remain_GLP = limit3 - current3</t>
  </si>
  <si>
    <t>remain_PREG = limit4 - current4</t>
  </si>
  <si>
    <t>remain_AL = limit5 - current5</t>
  </si>
  <si>
    <t>remain_VAX = limit6 - current6</t>
  </si>
  <si>
    <t>remain_VICP = limit7 - current7</t>
  </si>
  <si>
    <t># Quota open? (1 = open, 0 = closed)</t>
  </si>
  <si>
    <t>q_MA   = 1 if (limit1 - current1) &amp;gt; 0 else 0</t>
  </si>
  <si>
    <t>q_ESI  = 1 if (limit2 - current2) &amp;gt; 0 else 0</t>
  </si>
  <si>
    <t>q_GLP  = 1 if (limit3 - current3) &amp;gt; 0 else 0</t>
  </si>
  <si>
    <t>q_PREG = 1 if (limit4 - current4) &amp;gt; 0 else 0</t>
  </si>
  <si>
    <t>q_AL   = 1 if (limit5 - current5) &amp;gt; 0 else 0</t>
  </si>
  <si>
    <t>q_VAX  = 1 if (limit6 - current6) &amp;gt; 0 else 0</t>
  </si>
  <si>
    <t>q_VICP = 1 if (limit7 - current7) &amp;gt; 0 else 0</t>
  </si>
  <si>
    <t># =====================</t>
  </si>
  <si>
    <t># STUDY WEIGHTS (from screener responses)</t>
  </si>
  <si>
    <t># MA: w=0 if uninsured, w=2 if MA enrolled, else w=1</t>
  </si>
  <si>
    <t>if QINS1.r2:</t>
  </si>
  <si>
    <t xml:space="preserve">    w_MA = 0</t>
  </si>
  <si>
    <t>elif QINS3.r2:</t>
  </si>
  <si>
    <t xml:space="preserve">    w_MA = 2</t>
  </si>
  <si>
    <t xml:space="preserve">    w_MA = 1</t>
  </si>
  <si>
    <t># ESI: w=0 if uninsured, w=2 if employer insurance, else w=1</t>
  </si>
  <si>
    <t xml:space="preserve">    w_ESI = 0</t>
  </si>
  <si>
    <t xml:space="preserve">    w_ESI = 2</t>
  </si>
  <si>
    <t xml:space="preserve">    w_ESI = 1</t>
  </si>
  <si>
    <t># GLP1: w=2 for everyone</t>
  </si>
  <si>
    <t>w_GLP = 2</t>
  </si>
  <si>
    <t># PREG: w=4 if currently pregnant, w=3 if planning/new parent, else w=0</t>
  </si>
  <si>
    <t>if QPR1.r1:</t>
  </si>
  <si>
    <t xml:space="preserve">    w_PREG =4</t>
  </si>
  <si>
    <t>elif QPR1.r2 or QPR1.r3:</t>
  </si>
  <si>
    <t xml:space="preserve">    w_PREG = 3</t>
  </si>
  <si>
    <t xml:space="preserve">    w_PREG = 0</t>
  </si>
  <si>
    <t># AL, VAX, VICP: w=1 for everyone</t>
  </si>
  <si>
    <t>w_AL = 6</t>
  </si>
  <si>
    <t>w_VAX = 1</t>
  </si>
  <si>
    <t>w_VICP = 1</t>
  </si>
  <si>
    <t># SEGMENT WEIGHTS (target/actual ratio)</t>
  </si>
  <si>
    <t># For now using static weights from spec; replace with dynamic calculation</t>
  </si>
  <si>
    <t># SEGMENT WEIGHTS (from spec)</t>
  </si>
  <si>
    <t xml:space="preserve">sw_ESI = 1 </t>
  </si>
  <si>
    <t>sw_MA = 1</t>
  </si>
  <si>
    <t xml:space="preserve">sw_GLP = 1 </t>
  </si>
  <si>
    <t>sw_PREG = 1</t>
  </si>
  <si>
    <t xml:space="preserve">sw_AL = 1 </t>
  </si>
  <si>
    <t>sw_VAX = 2</t>
  </si>
  <si>
    <t xml:space="preserve">sw_VICP = 2 </t>
  </si>
  <si>
    <t># ELIGIBILITY (from Flag_prism - which studies not yet completed)</t>
  </si>
  <si>
    <t>elig_MA   = 1 if Flag_prism.r1 else 0</t>
  </si>
  <si>
    <t>elig_ESI  = 1 if Flag_prism.r1 else 0</t>
  </si>
  <si>
    <t>elig_GLP  = 1 if Flag_prism.r2 else 0</t>
  </si>
  <si>
    <t>elig_PREG = 1 if Flag_prism.r4 else 0</t>
  </si>
  <si>
    <t>elig_AL   = 1 if Flag_prism.r3 else 0</t>
  </si>
  <si>
    <t xml:space="preserve">elig_VAX  = 1 </t>
  </si>
  <si>
    <t xml:space="preserve">elig_VICP = 1 </t>
  </si>
  <si>
    <t># FINAL SCORES = STUDY_WEIGHT x SEGMENT_WEIGHT x QUOTA_OPEN x ELIGIBILITY</t>
  </si>
  <si>
    <t>score_MA   = w_MA   * sw_MA   * q_MA   * elig_MA</t>
  </si>
  <si>
    <t>score_ESI  = w_ESI  * sw_ESI  * q_ESI  * elig_ESI</t>
  </si>
  <si>
    <t>score_GLP  = w_GLP  * sw_GLP  * q_GLP  * elig_GLP</t>
  </si>
  <si>
    <t>score_PREG = w_PREG * sw_PREG * q_PREG * elig_PREG</t>
  </si>
  <si>
    <t>score_AL   = w_AL   * sw_AL   * q_AL   * elig_AL</t>
  </si>
  <si>
    <t>score_VAX  = w_VAX  * sw_VAX  * q_VAX  * elig_VAX</t>
  </si>
  <si>
    <t>score_VICP = w_VICP * sw_VICP * q_VICP * elig_VICP</t>
  </si>
  <si>
    <t># Store for debugging/audit trail</t>
  </si>
  <si>
    <t>p.score_MA   = score_MA</t>
  </si>
  <si>
    <t>p.score_ESI  = score_ESI</t>
  </si>
  <si>
    <t>p.score_GLP  = score_GLP</t>
  </si>
  <si>
    <t>p.score_PREG = score_PREG</t>
  </si>
  <si>
    <t>p.score_AL   = score_AL</t>
  </si>
  <si>
    <t>p.score_VAX  = score_VAX</t>
  </si>
  <si>
    <t>p.score_VICP = score_VICP</t>
  </si>
  <si>
    <t># FIND WINNER (highest score, randomize ties)</t>
  </si>
  <si>
    <t>scores = [</t>
  </si>
  <si>
    <t xml:space="preserve">    (score_ESI,  1, 'ESI'),</t>
  </si>
  <si>
    <t xml:space="preserve">    (score_MA,   2, 'MA'),</t>
  </si>
  <si>
    <t xml:space="preserve">    (score_GLP,  3, 'GLP'),</t>
  </si>
  <si>
    <t xml:space="preserve">    (score_PREG, 4, 'PREG'),</t>
  </si>
  <si>
    <t xml:space="preserve">    (score_AL,   5, 'AL'),</t>
  </si>
  <si>
    <t xml:space="preserve">    (score_VAX,  6, 'VAX'),</t>
  </si>
  <si>
    <t xml:space="preserve">    (score_VICP, 7, 'VICP'),</t>
  </si>
  <si>
    <t>max_score = max(s[0] for s in scores)</t>
  </si>
  <si>
    <t>p.flag_softterm = 0</t>
  </si>
  <si>
    <t>p.XRANDOMPICK_val=0</t>
  </si>
  <si>
    <t>if max_score == 0:</t>
  </si>
  <si>
    <t xml:space="preserve">    # No valid path - soft terminate</t>
  </si>
  <si>
    <t xml:space="preserve">    p.flag_softterm = 1</t>
  </si>
  <si>
    <t xml:space="preserve">    p.winning_block = 'NONE'</t>
  </si>
  <si>
    <t xml:space="preserve">    # Get all tied for highest</t>
  </si>
  <si>
    <t xml:space="preserve">    winners = [s for s in scores if s[0] == max_score]</t>
  </si>
  <si>
    <t xml:space="preserve">    # Randomize among ties</t>
  </si>
  <si>
    <t xml:space="preserve">    import random</t>
  </si>
  <si>
    <t xml:space="preserve">    winner = random.choice(winners)</t>
  </si>
  <si>
    <t xml:space="preserve">    XRANDOMPICK.val = winner[1]-1</t>
  </si>
  <si>
    <t xml:space="preserve">    p.winning_score = winner[0]</t>
  </si>
  <si>
    <t xml:space="preserve">    p.winning_block = winner[2]</t>
  </si>
  <si>
    <t xml:space="preserve">    p.XRANDOMPICK_val = winner[1]</t>
  </si>
  <si>
    <t># Debug output</t>
  </si>
  <si>
    <t>if p.XRANDOMPICK_val lt 1 or p.XRANDOMPICK_val gt 7:</t>
  </si>
  <si>
    <t>p.flag_softterm = 1</t>
  </si>
  <si>
    <t xml:space="preserve">p.winning_block = 'ERROR' # Audit trail </t>
  </si>
  <si>
    <t>p.XRANDOMPICK_val = XRANDOMPICK.val</t>
  </si>
  <si>
    <t>print "Segment:", seg</t>
  </si>
  <si>
    <t>print "Quotas remaining - MA:{} ESI:{} GLP:{} PREG:{} AL:{} VAX:{} VICP:{}".format(remain_MA, remain_ESI, remain_GLP, remain_PREG, remain_AL, remain_VAX, remain_VICP)</t>
  </si>
  <si>
    <t>print "Study weights - MA:{} ESI:{} GLP:{} PREG:{} AL:{} VAX:{} VICP:{}".format(w_MA, w_ESI, w_GLP, w_PREG, w_AL, w_VAX, w_VICP)</t>
  </si>
  <si>
    <t>print "Segment weights - MA:{:.2f} ESI:{:.2f} GLP:{:.2f} PREG:{:.2f} AL:{:.2f} VAX:{:.2f} VICP:{:.2f}".format(sw_MA, sw_ESI, sw_GLP, sw_PREG, sw_AL, sw_VAX, sw_VICP)</t>
  </si>
  <si>
    <t>print "Final scores - MA:{:.2f} ESI:{:.2f} GLP:{:.2f} PREG:{:.2f} AL:{:.2f} VAX:{:.2f} VICP:{:.2f}".format(score_MA, score_ESI, score_GLP, score_PREG, score_AL, score_VAX, score_VICP)</t>
  </si>
  <si>
    <t>print "Winner:", p.winning_block</t>
  </si>
  <si>
    <t>print "Flag_softterm", p.flag_softterm</t>
  </si>
  <si>
    <t xml:space="preserve">  label="DEBUG_ALLOCATION"</t>
  </si>
  <si>
    <t xml:space="preserve">  sst="0"</t>
  </si>
  <si>
    <t xml:space="preserve">  &lt;title&gt;Hidden: Allocation Debug - All Steps&lt;/title&gt;</t>
  </si>
  <si>
    <t>DEBUG_ALLOCATION.r1.val = seg</t>
  </si>
  <si>
    <t>DEBUG_ALLOCATION.r2.val = remain_MA</t>
  </si>
  <si>
    <t>DEBUG_ALLOCATION.r3.val = remain_ESI</t>
  </si>
  <si>
    <t>DEBUG_ALLOCATION.r4.val = remain_GLP</t>
  </si>
  <si>
    <t>DEBUG_ALLOCATION.r5.val = remain_PREG</t>
  </si>
  <si>
    <t>DEBUG_ALLOCATION.r6.val = remain_AL</t>
  </si>
  <si>
    <t>DEBUG_ALLOCATION.r7.val = remain_VAX</t>
  </si>
  <si>
    <t>DEBUG_ALLOCATION.r8.val = remain_VICP</t>
  </si>
  <si>
    <t>DEBUG_ALLOCATION.r9.val = q_MA</t>
  </si>
  <si>
    <t>DEBUG_ALLOCATION.r10.val = q_ESI</t>
  </si>
  <si>
    <t>DEBUG_ALLOCATION.r11.val = q_GLP</t>
  </si>
  <si>
    <t>DEBUG_ALLOCATION.r12.val = q_PREG</t>
  </si>
  <si>
    <t>DEBUG_ALLOCATION.r13.val = q_AL</t>
  </si>
  <si>
    <t>DEBUG_ALLOCATION.r14.val = q_VAX</t>
  </si>
  <si>
    <t>DEBUG_ALLOCATION.r15.val = q_VICP</t>
  </si>
  <si>
    <t>DEBUG_ALLOCATION.r16.val = w_MA</t>
  </si>
  <si>
    <t>DEBUG_ALLOCATION.r17.val = w_ESI</t>
  </si>
  <si>
    <t>DEBUG_ALLOCATION.r18.val = w_GLP</t>
  </si>
  <si>
    <t>DEBUG_ALLOCATION.r19.val = w_PREG</t>
  </si>
  <si>
    <t>DEBUG_ALLOCATION.r20.val = w_AL</t>
  </si>
  <si>
    <t>DEBUG_ALLOCATION.r21.val = w_VAX</t>
  </si>
  <si>
    <t>DEBUG_ALLOCATION.r22.val = w_VICP</t>
  </si>
  <si>
    <t>DEBUG_ALLOCATION.r23.val = sw_MA</t>
  </si>
  <si>
    <t>DEBUG_ALLOCATION.r24.val = sw_ESI</t>
  </si>
  <si>
    <t>DEBUG_ALLOCATION.r25.val = sw_GLP</t>
  </si>
  <si>
    <t>DEBUG_ALLOCATION.r26.val = sw_PREG</t>
  </si>
  <si>
    <t>DEBUG_ALLOCATION.r27.val = sw_AL</t>
  </si>
  <si>
    <t>DEBUG_ALLOCATION.r28.val = sw_VAX</t>
  </si>
  <si>
    <t>DEBUG_ALLOCATION.r29.val = sw_VICP</t>
  </si>
  <si>
    <t>DEBUG_ALLOCATION.r30.val = elig_MA</t>
  </si>
  <si>
    <t>DEBUG_ALLOCATION.r31.val = elig_ESI</t>
  </si>
  <si>
    <t>DEBUG_ALLOCATION.r32.val = elig_GLP</t>
  </si>
  <si>
    <t>DEBUG_ALLOCATION.r33.val = elig_PREG</t>
  </si>
  <si>
    <t>DEBUG_ALLOCATION.r34.val = elig_AL</t>
  </si>
  <si>
    <t>DEBUG_ALLOCATION.r35.val = elig_VAX</t>
  </si>
  <si>
    <t>DEBUG_ALLOCATION.r36.val = elig_VICP</t>
  </si>
  <si>
    <t>DEBUG_ALLOCATION.r37.val = p.score_MA</t>
  </si>
  <si>
    <t>DEBUG_ALLOCATION.r38.val = p.score_ESI</t>
  </si>
  <si>
    <t>DEBUG_ALLOCATION.r39.val = p.score_GLP</t>
  </si>
  <si>
    <t>DEBUG_ALLOCATION.r40.val = p.score_PREG</t>
  </si>
  <si>
    <t>DEBUG_ALLOCATION.r41.val = p.score_AL</t>
  </si>
  <si>
    <t>DEBUG_ALLOCATION.r42.val = p.score_VAX</t>
  </si>
  <si>
    <t>DEBUG_ALLOCATION.r43.val = p.score_VICP</t>
  </si>
  <si>
    <t>DEBUG_ALLOCATION.r44.val = p.XRANDOMPICK_val</t>
  </si>
  <si>
    <t>DEBUG_ALLOCATION.r45.val = p.flag_softterm</t>
  </si>
  <si>
    <t xml:space="preserve">  &lt;row label="r1"&gt;1. SEGMENT&lt;/row&gt;</t>
  </si>
  <si>
    <t xml:space="preserve">  &lt;row label="r2"&gt;2a. Remain MA&lt;/row&gt;</t>
  </si>
  <si>
    <t xml:space="preserve">  &lt;row label="r3"&gt;2b. Remain ESI&lt;/row&gt;</t>
  </si>
  <si>
    <t xml:space="preserve">  &lt;row label="r4"&gt;2c. Remain GLP&lt;/row&gt;</t>
  </si>
  <si>
    <t xml:space="preserve">  &lt;row label="r5"&gt;2d. Remain PREG&lt;/row&gt;</t>
  </si>
  <si>
    <t xml:space="preserve">  &lt;row label="r6"&gt;2e. Remain AL&lt;/row&gt;</t>
  </si>
  <si>
    <t xml:space="preserve">  &lt;row label="r7"&gt;2f. Remain VAX&lt;/row&gt;</t>
  </si>
  <si>
    <t xml:space="preserve">  &lt;row label="r8"&gt;2g. Remain VICP&lt;/row&gt;</t>
  </si>
  <si>
    <t xml:space="preserve">  &lt;row label="r9"&gt;3a. Quota Open MA&lt;/row&gt;</t>
  </si>
  <si>
    <t xml:space="preserve">  &lt;row label="r10"&gt;3b. Quota Open ESI&lt;/row&gt;</t>
  </si>
  <si>
    <t xml:space="preserve">  &lt;row label="r11"&gt;3c. Quota Open GLP&lt;/row&gt;</t>
  </si>
  <si>
    <t xml:space="preserve">  &lt;row label="r12"&gt;3d. Quota Open PREG&lt;/row&gt;</t>
  </si>
  <si>
    <t xml:space="preserve">  &lt;row label="r13"&gt;3e. Quota Open AL&lt;/row&gt;</t>
  </si>
  <si>
    <t xml:space="preserve">  &lt;row label="r14"&gt;3f. Quota Open VAX&lt;/row&gt;</t>
  </si>
  <si>
    <t xml:space="preserve">  &lt;row label="r15"&gt;3g. Quota Open VICP&lt;/row&gt;</t>
  </si>
  <si>
    <t xml:space="preserve">  &lt;row label="r16"&gt;4a. Study Wt MA&lt;/row&gt;</t>
  </si>
  <si>
    <t xml:space="preserve">  &lt;row label="r17"&gt;4b. Study Wt ESI&lt;/row&gt;</t>
  </si>
  <si>
    <t xml:space="preserve">  &lt;row label="r18"&gt;4c. Study Wt GLP&lt;/row&gt;</t>
  </si>
  <si>
    <t xml:space="preserve">  &lt;row label="r19"&gt;4d. Study Wt PREG&lt;/row&gt;</t>
  </si>
  <si>
    <t xml:space="preserve">  &lt;row label="r20"&gt;4e. Study Wt AL&lt;/row&gt;</t>
  </si>
  <si>
    <t xml:space="preserve">  &lt;row label="r21"&gt;4f. Study Wt VAX&lt;/row&gt;</t>
  </si>
  <si>
    <t xml:space="preserve">  &lt;row label="r22"&gt;4g. Study Wt VICP&lt;/row&gt;</t>
  </si>
  <si>
    <t xml:space="preserve">  &lt;row label="r23"&gt;5a. Seg Wt MA&lt;/row&gt;</t>
  </si>
  <si>
    <t xml:space="preserve">  &lt;row label="r24"&gt;5b. Seg Wt ESI&lt;/row&gt;</t>
  </si>
  <si>
    <t xml:space="preserve">  &lt;row label="r25"&gt;5c. Seg Wt GLP&lt;/row&gt;</t>
  </si>
  <si>
    <t xml:space="preserve">  &lt;row label="r26"&gt;5d. Seg Wt PREG&lt;/row&gt;</t>
  </si>
  <si>
    <t xml:space="preserve">  &lt;row label="r27"&gt;5e. Seg Wt AL&lt;/row&gt;</t>
  </si>
  <si>
    <t xml:space="preserve">  &lt;row label="r28"&gt;5f. Seg Wt VAX&lt;/row&gt;</t>
  </si>
  <si>
    <t xml:space="preserve">  &lt;row label="r29"&gt;5g. Seg Wt VICP&lt;/row&gt;</t>
  </si>
  <si>
    <t xml:space="preserve">  &lt;row label="r30"&gt;6a. Elig MA&lt;/row&gt;</t>
  </si>
  <si>
    <t xml:space="preserve">  &lt;row label="r31"&gt;6b. Elig ESI&lt;/row&gt;</t>
  </si>
  <si>
    <t xml:space="preserve">  &lt;row label="r32"&gt;6c. Elig GLP&lt;/row&gt;</t>
  </si>
  <si>
    <t xml:space="preserve">  &lt;row label="r33"&gt;6d. Elig PREG&lt;/row&gt;</t>
  </si>
  <si>
    <t xml:space="preserve">  &lt;row label="r34"&gt;6e. Elig AL&lt;/row&gt;</t>
  </si>
  <si>
    <t xml:space="preserve">  &lt;row label="r35"&gt;6f. Elig VAX&lt;/row&gt;</t>
  </si>
  <si>
    <t xml:space="preserve">  &lt;row label="r36"&gt;6g. Elig VICP&lt;/row&gt;</t>
  </si>
  <si>
    <t xml:space="preserve">  &lt;row label="r37"&gt;7a. SCORE MA&lt;/row&gt;</t>
  </si>
  <si>
    <t xml:space="preserve">  &lt;row label="r38"&gt;7b. SCORE ESI&lt;/row&gt;</t>
  </si>
  <si>
    <t xml:space="preserve">  &lt;row label="r39"&gt;7c. SCORE GLP&lt;/row&gt;</t>
  </si>
  <si>
    <t xml:space="preserve">  &lt;row label="r40"&gt;7d. SCORE PREG&lt;/row&gt;</t>
  </si>
  <si>
    <t xml:space="preserve">  &lt;row label="r41"&gt;7e. SCORE AL&lt;/row&gt;</t>
  </si>
  <si>
    <t xml:space="preserve">  &lt;row label="r42"&gt;7f. SCORE VAX&lt;/row&gt;</t>
  </si>
  <si>
    <t xml:space="preserve">  &lt;row label="r43"&gt;7g. SCORE VICP&lt;/row&gt;</t>
  </si>
  <si>
    <t xml:space="preserve">  &lt;row label="r44"&gt;8a. WINNER (XRANDOMPICK)&lt;/row&gt;</t>
  </si>
  <si>
    <t xml:space="preserve">  &lt;row label="r45"&gt;8b. SOFTTERM FLAG&lt;/row&gt;</t>
  </si>
  <si>
    <t xml:space="preserve">  label="XRANDOMPICK"</t>
  </si>
  <si>
    <t xml:space="preserve">  &lt;title&gt;Survey picked based on Segmentation&lt;/title&gt;</t>
  </si>
  <si>
    <t xml:space="preserve">  &lt;row label="r1"&gt;ESI&lt;/row&gt;</t>
  </si>
  <si>
    <t xml:space="preserve">  &lt;row label="r2"&gt;MA&lt;/row&gt;</t>
  </si>
  <si>
    <t xml:space="preserve">  &lt;row label="r3"&gt;GLP1&lt;/row&gt;</t>
  </si>
  <si>
    <t xml:space="preserve">  &lt;row label="r4"&gt;PREG&lt;/row&gt;</t>
  </si>
  <si>
    <t xml:space="preserve">  &lt;row label="r5"&gt;AL&lt;/row&gt;</t>
  </si>
  <si>
    <t xml:space="preserve">  &lt;row label="r6"&gt;VAX&lt;/row&gt;</t>
  </si>
  <si>
    <t xml:space="preserve">  &lt;row label="r7"&gt;VICP&lt;/row&gt;</t>
  </si>
  <si>
    <t>&lt;exec cond="(p.flag_softterm==1 or XRANDOMPICK.count==0)" sst="0"&gt;</t>
  </si>
  <si>
    <t>vscreenout.val= str('XRANDOMPICK')</t>
  </si>
  <si>
    <t>setMarker('Screened-No_eligible_batteries')</t>
  </si>
  <si>
    <t>&lt;term label="Term_XRANDOMPICK" cond="(p.flag_softterm==1 or XRANDOMPICK.count==0)" sst="0"&gt;Soft terminate - no eligible study blocks available&lt;/term&gt;</t>
  </si>
  <si>
    <t>&lt;quota label="quo13" cond="(XSEG_ASSIGNED.any and XRANDOMPICK.any)" overquota="noqual" sheet="Wave One Equal Allocation QUOTA" sst="0"/&gt;</t>
  </si>
  <si>
    <t xml:space="preserve">  label="vscreenout"</t>
  </si>
  <si>
    <t xml:space="preserve">  &lt;title&gt;Variable Screened out&lt;/title&gt;</t>
  </si>
  <si>
    <t>&lt;block label="ESI_MA_BLOCK" cond="XRANDOMPICK.r1 or XRANDOMPICK.r2" builder:title="ESI/MA Block"&gt;</t>
  </si>
  <si>
    <t xml:space="preserve">  &lt;quota label="quo_INSTYPE" overquota="noqual" sheet="Block_INSTYPE_Quota" sst="0"/&gt;</t>
  </si>
  <si>
    <t xml:space="preserve">   label="QTOT_FOLLOWERS"</t>
  </si>
  <si>
    <t xml:space="preserve">   values="order"&gt;</t>
  </si>
  <si>
    <t xml:space="preserve">    &lt;title&gt;&lt;span class="ques_no"&gt;${this.label}&lt;/span&gt; Across all your public social-media accounts (X/Twitter, Instagram, TikTok, Facebook pages, Substack, podcast, YouTube, etc.), about how many followers or subscribers do you have in total?&lt;/title&gt;</t>
  </si>
  <si>
    <t xml:space="preserve">    &lt;validate&gt;</t>
  </si>
  <si>
    <t>Prompt(QTOT_FOLLOWERS)</t>
  </si>
  <si>
    <t xml:space="preserve">    &lt;/validate&gt;</t>
  </si>
  <si>
    <t xml:space="preserve">    &lt;row label="r0" value="0"&gt;Fewer than 500&lt;/row&gt;</t>
  </si>
  <si>
    <t xml:space="preserve">    &lt;row label="r1" value="1"&gt;500 - 1,199&lt;/row&gt;</t>
  </si>
  <si>
    <t xml:space="preserve">    &lt;row label="r2" value="2"&gt;2,000 – 9,999&lt;/row&gt;</t>
  </si>
  <si>
    <t xml:space="preserve">    &lt;row label="r3" value="3"&gt;10,000 – 49,999&lt;/row&gt;</t>
  </si>
  <si>
    <t xml:space="preserve">    &lt;row label="r4" value="4"&gt;50,000 or more&lt;/row&gt;</t>
  </si>
  <si>
    <t xml:space="preserve">    &lt;row label="r99" cond="0" value="99"&gt;No answer&lt;/row&gt;</t>
  </si>
  <si>
    <t>Punch3(QTOT_FOLLOWERS)</t>
  </si>
  <si>
    <t xml:space="preserve">  &lt;quota label="ranQuota" overquota="noqual" sheet="random Quota"/&gt;</t>
  </si>
  <si>
    <t>for x in range(2):</t>
  </si>
  <si>
    <t xml:space="preserve"> if hasMarker("/random Quota/split_{}".format(x+1)):</t>
  </si>
  <si>
    <t xml:space="preserve">    XRANDOM.val=x</t>
  </si>
  <si>
    <t xml:space="preserve">   label="XRANDOM"</t>
  </si>
  <si>
    <t xml:space="preserve">    &lt;title&gt;Random pick&lt;/title&gt;</t>
  </si>
  <si>
    <t xml:space="preserve">    &lt;comment&gt;Select one&lt;/comment&gt;</t>
  </si>
  <si>
    <t xml:space="preserve">    &lt;row label="r1"&gt;A&lt;/row&gt;</t>
  </si>
  <si>
    <t xml:space="preserve">    &lt;row label="r2"&gt;B&lt;/row&gt;</t>
  </si>
  <si>
    <t xml:space="preserve">  &lt;quota label="ranQuota1" overquota="noqual" sheet="random Quota1"/&gt;</t>
  </si>
  <si>
    <t xml:space="preserve"> if hasMarker("/random Quota1/split1_{}".format(x+1)):</t>
  </si>
  <si>
    <t xml:space="preserve">    XRANDOM1.val=x</t>
  </si>
  <si>
    <t xml:space="preserve">   label="XRANDOM1"</t>
  </si>
  <si>
    <t xml:space="preserve">  &lt;quota label="ranQuota3" overquota="noqual" sheet="random Quota3"/&gt;</t>
  </si>
  <si>
    <t xml:space="preserve"> if hasMarker("/random Quota3/split3_{}".format(x+1)):</t>
  </si>
  <si>
    <t xml:space="preserve">    XRANDOM3.val=x</t>
  </si>
  <si>
    <t xml:space="preserve">   label="XRANDOM3"</t>
  </si>
  <si>
    <t xml:space="preserve">    &lt;row label="r1"&gt;Q1&lt;/row&gt;</t>
  </si>
  <si>
    <t xml:space="preserve">    &lt;row label="r2"&gt;Q2/Q3&lt;/row&gt;</t>
  </si>
  <si>
    <t xml:space="preserve">   label="Q1"</t>
  </si>
  <si>
    <t xml:space="preserve">   cond="XRANDOM3.r1"</t>
  </si>
  <si>
    <t xml:space="preserve">   shuffle="rows"&gt;</t>
  </si>
  <si>
    <t xml:space="preserve">    &lt;title&gt;&lt;span class="ques_no"&gt;Q1&lt;/span&gt; How important, if at all, is each of the following health care issues to you personally?&lt;/title&gt;</t>
  </si>
  <si>
    <t>Prompt1(Q1)</t>
  </si>
  <si>
    <t xml:space="preserve">    &lt;row label="r1"&gt;&lt;strong&gt;&lt;span style="font-size: 12pt;"&gt;Protecting health coverage provided by employers&lt;/span&gt;&lt;/strong&gt;&lt;/row&gt;</t>
  </si>
  <si>
    <t xml:space="preserve">    &lt;row label="r2"&gt;&lt;strong&gt;&lt;span style="font-size: 12pt;"&gt;Protecting the Medicare Advantage program&lt;/span&gt;&lt;/strong&gt;&lt;/row&gt;</t>
  </si>
  <si>
    <t xml:space="preserve">    &lt;row label="r3"&gt;&lt;strong&gt;&lt;span style="font-size: 12pt;"&gt;Reducing the cost of health care&lt;/span&gt;&lt;/strong&gt;&lt;/row&gt;</t>
  </si>
  <si>
    <t xml:space="preserve">    &lt;row label="r4"&gt;&lt;strong&gt;&lt;span style="font-size: 12pt;"&gt;Providing coverage for the uninsured&lt;/span&gt;&lt;/strong&gt;&lt;/row&gt;</t>
  </si>
  <si>
    <t xml:space="preserve">    &lt;row label="r5"&gt;&lt;strong&gt;&lt;span style="font-size: 12pt;"&gt;Addressing the price of prescription medicine&lt;/span&gt;&lt;/strong&gt;&lt;/row&gt;</t>
  </si>
  <si>
    <t xml:space="preserve">    &lt;row label="r6"&gt;&lt;strong&gt;&lt;span style="font-size: 12pt;"&gt;Addressing the high cost of hospitals&lt;/span&gt;&lt;/strong&gt;&lt;/row&gt;</t>
  </si>
  <si>
    <t xml:space="preserve">    &lt;row label="r7"&gt;&lt;strong&gt;&lt;span style="font-size: 12pt;"&gt;Improving access to mental health and addiction services&lt;/span&gt;&lt;/strong&gt;&lt;/row&gt;</t>
  </si>
  <si>
    <t xml:space="preserve">    &lt;row label="r8"&gt;&lt;strong&gt;&lt;span style="font-size: 12pt;"&gt;Advancing innovation of technologies and therapies&lt;/span&gt;&lt;/strong&gt;&lt;/row&gt;</t>
  </si>
  <si>
    <t xml:space="preserve">    &lt;row label="r9"&gt;&lt;strong&gt;&lt;span style="font-size: 12pt;"&gt;Protecting Medicaid&lt;/span&gt;&lt;/strong&gt;&lt;/row&gt;</t>
  </si>
  <si>
    <t xml:space="preserve">    &lt;row label="r10"&gt;&lt;strong&gt;&lt;span style="font-size: 12pt;"&gt;Maintaining federal funding for ACA coverage subsidies&lt;/span&gt;&lt;/strong&gt;&lt;/row&gt;</t>
  </si>
  <si>
    <t xml:space="preserve">    &lt;row label="r11A" cond="XRANDOM.r1"&gt;&lt;strong&gt;&lt;span style="font-size: 12pt;"&gt;Protecting traditional Medicare&lt;/span&gt;&lt;/strong&gt;&lt;/row&gt;</t>
  </si>
  <si>
    <t xml:space="preserve">    &lt;row label="r11B" cond="XRANDOM.r2"&gt;&lt;strong&gt;&lt;span style="font-size: 12pt;"&gt;Protecting “fee-for-service” Medicare&lt;/span&gt;&lt;/strong&gt;&lt;/row&gt;</t>
  </si>
  <si>
    <t xml:space="preserve">    &lt;col label="c4" value="4"&gt;&lt;strong&gt;Very Important&lt;/strong&gt;&lt;/col&gt;</t>
  </si>
  <si>
    <t xml:space="preserve">    &lt;col label="c3" value="3"&gt;&lt;strong&gt;Somewhat Important&lt;/strong&gt;&lt;/col&gt;</t>
  </si>
  <si>
    <t xml:space="preserve">    &lt;col label="c2" value="2"&gt;&lt;strong&gt;Not Very Important&lt;/strong&gt;&lt;/col&gt;</t>
  </si>
  <si>
    <t xml:space="preserve">    &lt;col label="c1" value="1"&gt;&lt;strong&gt;Not At All Important&lt;/strong&gt;&lt;/col&gt;</t>
  </si>
  <si>
    <t xml:space="preserve">    &lt;col label="c99" cond="0" value="99"&gt;SYSMIS&lt;/col&gt;</t>
  </si>
  <si>
    <t xml:space="preserve">  &lt;exec cond="XRANDOM3.r1"&gt;</t>
  </si>
  <si>
    <t>Punch1(Q1)</t>
  </si>
  <si>
    <t xml:space="preserve">  &lt;quota label="ranQuota4" overquota="noqual" sheet="random Quota4"/&gt;</t>
  </si>
  <si>
    <t xml:space="preserve"> if hasMarker("/random Quota4/split4_{}".format(x+1)):</t>
  </si>
  <si>
    <t xml:space="preserve">    XRANDOM4.val=x</t>
  </si>
  <si>
    <t xml:space="preserve">   label="XRANDOM4"</t>
  </si>
  <si>
    <t xml:space="preserve">    &lt;row label="r1"&gt;ESI/MA_POVFRAME ASKED&lt;/row&gt;</t>
  </si>
  <si>
    <t xml:space="preserve">    &lt;row label="r2"&gt;ESI/MA_POVFRAME SKIPPED&lt;/row&gt;</t>
  </si>
  <si>
    <t xml:space="preserve">  &lt;block label="b4" builder:title="New Block" randomizeChildren="1"&gt;</t>
  </si>
  <si>
    <t xml:space="preserve">    &lt;block label="b1" cond="XRANDOMPICK.r1" randomize="1"&gt;</t>
  </si>
  <si>
    <t xml:space="preserve">     label="QESI_VALUE"</t>
  </si>
  <si>
    <t xml:space="preserve">     atm1d:large_buttonAlign="center"</t>
  </si>
  <si>
    <t xml:space="preserve">     atm1d:numCols="5"</t>
  </si>
  <si>
    <t xml:space="preserve">     atm1d:small_buttonAlign="center"</t>
  </si>
  <si>
    <t xml:space="preserve">     atm1d:small_contentAlign="center"</t>
  </si>
  <si>
    <t xml:space="preserve">     atm1d:viewMode="tiled"</t>
  </si>
  <si>
    <t xml:space="preserve">     ss:listDisplay="1"</t>
  </si>
  <si>
    <t xml:space="preserve">     uses="atm1d.11"</t>
  </si>
  <si>
    <t xml:space="preserve">     values="order"&gt;</t>
  </si>
  <si>
    <t xml:space="preserve">        &lt;title&gt;&lt;span class="ques_no"&gt;${this.label}&lt;/span&gt; Now, let’s focus on health coverage provided through the workplace. Also known as “employer-sponsored insurance,” it is the dominant source of health insurance in the U.S., covering 185 million Americans. &lt;strong&gt;Overall, how well do you think the employer-sponsored health insurance system in the U.S. works for people like you?&lt;/strong&gt;&lt;/title&gt;</t>
  </si>
  <si>
    <t xml:space="preserve">        &lt;row label="r1" value="1"&gt;Very poorly&lt;/row&gt;</t>
  </si>
  <si>
    <t xml:space="preserve">        &lt;row label="r2" value="2"&gt;Somewhat poorly&lt;/row&gt;</t>
  </si>
  <si>
    <t xml:space="preserve">        &lt;row label="r4" value="3"&gt;Neither well nor poorly&lt;/row&gt;</t>
  </si>
  <si>
    <t xml:space="preserve">        &lt;row label="r5" value="4"&gt;Somewhat well&lt;/row&gt;</t>
  </si>
  <si>
    <t xml:space="preserve">        &lt;row label="r3" value="5"&gt;Very well&lt;/row&gt;</t>
  </si>
  <si>
    <t xml:space="preserve">     label="QESI_CRITIC"</t>
  </si>
  <si>
    <t xml:space="preserve">     cardrating:btnlayout="tiled"</t>
  </si>
  <si>
    <t xml:space="preserve">     cardrating:sml_cntalign="center"</t>
  </si>
  <si>
    <t xml:space="preserve">     uses="cardrating.1"</t>
  </si>
  <si>
    <t xml:space="preserve">        &lt;title&gt;&lt;span class="ques_no"&gt;${this.label}&lt;/span&gt; Here is how critics sometimes describe employer-sponsored health insurance coverage. For each statement, indicate how much you agree or disagree…&lt;/title&gt;</t>
  </si>
  <si>
    <t xml:space="preserve">        &lt;validate&gt;</t>
  </si>
  <si>
    <t>Prompt1(QESI_CRITIC)</t>
  </si>
  <si>
    <t xml:space="preserve">        &lt;/validate&gt;</t>
  </si>
  <si>
    <t xml:space="preserve">        &lt;style cond="device.desktop" name="question.after"&gt;&lt;![CDATA[</t>
  </si>
  <si>
    <t>.survey-body, .page-header, .footer,.survey-buttons,.comment,.comment-text,.question-text {min-width: 1200px;}</t>
  </si>
  <si>
    <t xml:space="preserve">       </t>
  </si>
  <si>
    <t xml:space="preserve">        &lt;row label="r1"&gt;&lt;span style="font-size: 12pt;"&gt;&lt;strong&gt;Health insurance through work has become too expensive as rising deductibles and premiums have made quality care harder to get&lt;/strong&gt;&lt;/span&gt;&lt;/row&gt;</t>
  </si>
  <si>
    <t xml:space="preserve">        &lt;row label="r2"&gt;&lt;span style="font-size: 12pt;"&gt;&lt;strong&gt;The employer-sponsored insurance system favors people with stable, well-paid jobs, while lower-wage and part-time workers are left out of quality health coverage&lt;/strong&gt;&lt;/span&gt;&lt;/row&gt;</t>
  </si>
  <si>
    <t xml:space="preserve">        &lt;row label="r3"&gt;&lt;span style="font-size: 12pt;"&gt;&lt;strong&gt;Losing or changing employment often means losing health coverage, making some feel trapped in their jobs&lt;/strong&gt;&lt;/span&gt;&lt;/row&gt;</t>
  </si>
  <si>
    <t xml:space="preserve">        &lt;row label="r4"&gt;&lt;span style="font-size: 12pt;"&gt;&lt;strong&gt;Employees have little control over the type of plan they receive&lt;/strong&gt;&lt;/span&gt;&lt;/row&gt;</t>
  </si>
  <si>
    <t xml:space="preserve">        &lt;row label="r5"&gt;&lt;span style="font-size: 12pt;"&gt;&lt;strong&gt;Employers can no longer afford to keep covering health insurance with generous benefits—it is economically unsustainable&lt;/strong&gt;&lt;/span&gt;&lt;/row&gt;</t>
  </si>
  <si>
    <t xml:space="preserve">        &lt;row label="r6"&gt;&lt;span style="font-size: 12pt;"&gt;&lt;strong&gt;Employer-sponsored health insurance no longer means access to the best care but now offers fewer choices of providers and therapies&lt;/strong&gt;&lt;/span&gt;&lt;/row&gt;</t>
  </si>
  <si>
    <t xml:space="preserve">        &lt;row label="r7"&gt;&lt;span style="font-size: 12pt;"&gt;&lt;strong&gt;Employer-sponsored plans are designed to control company costs, not meet worker needs—giving employees little choice and businesses too much power&lt;/strong&gt;&lt;/span&gt;&lt;/row&gt;</t>
  </si>
  <si>
    <t xml:space="preserve">        &lt;col label="c1" value="1"&gt;Strongly &lt;strong&gt;DISAGREE&lt;/strong&gt;&lt;/col&gt;</t>
  </si>
  <si>
    <t xml:space="preserve">        &lt;col label="c2" value="2"&gt;Disagree&lt;/col&gt;</t>
  </si>
  <si>
    <t xml:space="preserve">        &lt;col label="c3" value="3"&gt;Somewhat Disagree&lt;/col&gt;</t>
  </si>
  <si>
    <t xml:space="preserve">        &lt;col label="c4" value="4"&gt;Neither or Neutral&lt;/col&gt;</t>
  </si>
  <si>
    <t xml:space="preserve">        &lt;col label="c5" value="5"&gt;Somewhat Agree&lt;/col&gt;</t>
  </si>
  <si>
    <t xml:space="preserve">        &lt;col label="c6" value="6"&gt;Agree&lt;/col&gt;</t>
  </si>
  <si>
    <t xml:space="preserve">        &lt;col label="c7" value="7"&gt;Strongly &lt;strong&gt;AGREE&lt;/strong&gt;&lt;/col&gt;</t>
  </si>
  <si>
    <t xml:space="preserve">      &lt;exec&gt;</t>
  </si>
  <si>
    <t>Punch1(QESI_CRITIC)</t>
  </si>
  <si>
    <t xml:space="preserve">      &lt;/exec&gt;</t>
  </si>
  <si>
    <t xml:space="preserve">      &lt;number </t>
  </si>
  <si>
    <t xml:space="preserve">     label="QESI_PRE_ATT"</t>
  </si>
  <si>
    <t xml:space="preserve">     ignoreValues="999"</t>
  </si>
  <si>
    <t xml:space="preserve">     optional="0"</t>
  </si>
  <si>
    <t xml:space="preserve">     size="3"</t>
  </si>
  <si>
    <t xml:space="preserve">     slidernumber:leftLegend="${res.QESILT}"</t>
  </si>
  <si>
    <t xml:space="preserve">     slidernumber:rightLegend="${res.QESIRT}"</t>
  </si>
  <si>
    <t xml:space="preserve">     slidernumber:showValue="On Handle"</t>
  </si>
  <si>
    <t xml:space="preserve">     uses="slidernumber.6"</t>
  </si>
  <si>
    <t xml:space="preserve">     verify="range(0,100)"&gt;</t>
  </si>
  <si>
    <t xml:space="preserve">        &lt;title&gt;&lt;p&gt;&lt;span style="color: #000000;" data-olk-copy-source="MailCompose"&gt;Please indicate how strongly you believe employer-sponsored insurance deserves to play a central role in the U.S. health care system, where 0 means &lt;strong&gt;‘it has no legitimate role’&lt;/strong&gt; and 100 means &lt;strong&gt;‘it plays an essential role that should be protected’.&lt;/strong&gt;&lt;/span&gt;&lt;/p&gt;&lt;/title&gt;</t>
  </si>
  <si>
    <t xml:space="preserve">      &lt;/number&gt;</t>
  </si>
  <si>
    <t xml:space="preserve">     label="QESI_PRE_POL"</t>
  </si>
  <si>
    <t xml:space="preserve">     atm1d:large_contentAlign="center"</t>
  </si>
  <si>
    <t xml:space="preserve">     atm1d:numCols="7"</t>
  </si>
  <si>
    <t xml:space="preserve">        &lt;title&gt;&lt;span class="ques_no"&gt;${this.label}&lt;/span&gt; Under current law, health insurance provided by employers is excluded from income taxes. &lt;strong&gt;Should the tax break for employer-sponsored health insurance stay in place, or be changed so those benefits are taxed like income?&lt;/strong&gt;&lt;/title&gt;</t>
  </si>
  <si>
    <t xml:space="preserve">        &lt;row label="r1" value="1"&gt;&lt;strong&gt;Definitely&lt;/strong&gt;&lt;br /&gt;should&lt;br /&gt;&lt;strong&gt;STAY IN PLACE&lt;/strong&gt;&lt;/row&gt;</t>
  </si>
  <si>
    <t xml:space="preserve">        &lt;row label="r2" value="2"&gt;Should stay in&lt;br /&gt;place&lt;/row&gt;</t>
  </si>
  <si>
    <t xml:space="preserve">        &lt;row label="r3" value="3"&gt;Probably&lt;br /&gt;should stay in&lt;br /&gt;place&lt;/row&gt;</t>
  </si>
  <si>
    <t xml:space="preserve">        &lt;row label="r4" value="4"&gt;Neutral or&lt;br /&gt;uncertain&lt;/row&gt;</t>
  </si>
  <si>
    <t xml:space="preserve">        &lt;row label="r5" value="5"&gt;Probably&lt;br /&gt;should be&lt;br /&gt;changed&lt;/row&gt;</t>
  </si>
  <si>
    <t xml:space="preserve">        &lt;row label="r6" value="6"&gt;Should be&lt;br /&gt;changed&lt;/row&gt;</t>
  </si>
  <si>
    <t xml:space="preserve">        &lt;row label="r7" value="7"&gt;&lt;strong&gt;Definitely&lt;/strong&gt;&lt;br /&gt;should be&lt;br /&gt;&lt;strong&gt;CHANGED&lt;/strong&gt;&lt;/row&gt;</t>
  </si>
  <si>
    <t xml:space="preserve">      &lt;block label="ESIBlock" builder:title="ESI Block"&gt;</t>
  </si>
  <si>
    <t xml:space="preserve">        &lt;note&gt;MaxDiff Indices Template --Start1--&lt;/note&gt;</t>
  </si>
  <si>
    <t xml:space="preserve">        &lt;exec when="init"&gt;</t>
  </si>
  <si>
    <t>QESI_md = setupMaxDiffFile("ESI_Design.dat")</t>
  </si>
  <si>
    <t xml:space="preserve">        &lt;suspend/&gt;</t>
  </si>
  <si>
    <t xml:space="preserve">        &lt;quota label="quo14" overquota="noqual" sheet="ESI Quota"/&gt;</t>
  </si>
  <si>
    <t xml:space="preserve">        &lt;number </t>
  </si>
  <si>
    <t xml:space="preserve">      label="QESI_Version"</t>
  </si>
  <si>
    <t xml:space="preserve">      size="3"</t>
  </si>
  <si>
    <t xml:space="preserve">      verify="range(1,100)"</t>
  </si>
  <si>
    <t xml:space="preserve">      where="execute,survey,report"&gt;</t>
  </si>
  <si>
    <t xml:space="preserve">          &lt;title&gt;QESI - MaxDiff Version&lt;br /&gt;&lt;br /&gt;&lt;em&gt;Pick your version for testing... will be automated when live...&lt;/em&gt;&lt;/title&gt;</t>
  </si>
  <si>
    <t xml:space="preserve">          &lt;exec&gt;</t>
  </si>
  <si>
    <t xml:space="preserve">    if "/ESI Quota/ESI_" in x:</t>
  </si>
  <si>
    <t xml:space="preserve">        QESI_Version.val = int(x.split("_")[-1])</t>
  </si>
  <si>
    <t xml:space="preserve">          &lt;/exec&gt;</t>
  </si>
  <si>
    <t xml:space="preserve">        &lt;/number&gt;</t>
  </si>
  <si>
    <t xml:space="preserve">        &lt;html label="ESIMaxdiff_Intro" where="survey"&gt;You’ll see a series of short statements expressing different points of view. Each statement reflects a point of view about employer-sponsored insurance. For each set, please choose the one statement you find &lt;strong&gt;MOST&lt;/strong&gt; compelling and the one statement you find &lt;strong&gt;LEAST&lt;/strong&gt; compelling. &lt;br /&gt;&lt;br /&gt;&lt;em&gt;Some statements may appear again later. That’s intentional—it helps us understand how people think about ideas in various contexts. &lt;/em&gt;There are no right or wrong answers. Simply go with your first reaction each time.&lt;/html&gt;</t>
  </si>
  <si>
    <t xml:space="preserve">        &lt;loop label="QESI_md_loop" vars="task"&gt;</t>
  </si>
  <si>
    <t xml:space="preserve">          &lt;title&gt;QESI - MaxDiff Loop&lt;/title&gt;</t>
  </si>
  <si>
    <t xml:space="preserve">          &lt;block label="QESI_md_block" randomize="1"&gt;</t>
  </si>
  <si>
    <t xml:space="preserve">            &lt;radio </t>
  </si>
  <si>
    <t xml:space="preserve">        label="QESI_[loopvar: task]"</t>
  </si>
  <si>
    <t xml:space="preserve">        adim="cols"</t>
  </si>
  <si>
    <t xml:space="preserve">        grouping="cols"</t>
  </si>
  <si>
    <t xml:space="preserve">        shuffle="rows"</t>
  </si>
  <si>
    <t xml:space="preserve">        ss:listDisplay="0"</t>
  </si>
  <si>
    <t xml:space="preserve">        ss:questionClassNames="QESI_maxdiff"</t>
  </si>
  <si>
    <t xml:space="preserve">        unique="1"&gt;</t>
  </si>
  <si>
    <t xml:space="preserve">              &lt;title&gt;Select the one statement that is &lt;strong&gt;MOST&lt;/strong&gt; compelling to your own point of view  (on the left), and the statement that &lt;strong&gt;LEAST&lt;/strong&gt; compelling you (on the right)&lt;/title&gt;</t>
  </si>
  <si>
    <t xml:space="preserve">              &lt;exec&gt;</t>
  </si>
  <si>
    <t>setupMaxDiffItemsI( QESI_md, "v%d_t%d" % (QESI_Version.val, [loopvar: task]), QESI_[loopvar: task])</t>
  </si>
  <si>
    <t>p.MDcount = str(QESI_md_loop_expanded.order.index([loopvar: task]-1)+1)</t>
  </si>
  <si>
    <t xml:space="preserve">              &lt;/exec&gt;</t>
  </si>
  <si>
    <t xml:space="preserve">              &lt;col label="best"&gt;&lt;strong&gt;MOST&lt;/strong&gt; compelling&lt;/col&gt;</t>
  </si>
  <si>
    <t xml:space="preserve">              &lt;col label="worst"&gt;&lt;strong&gt;LEAST&lt;/strong&gt; compelling&lt;/col&gt;</t>
  </si>
  <si>
    <t xml:space="preserve">              &lt;row label="item1"&gt;Employer-sponsored insurance shields families from rising medical costs—covering about 80–90 percent of all claims and preventing unexpected bills from becoming financial crises.&lt;/row&gt;</t>
  </si>
  <si>
    <t xml:space="preserve">              &lt;row label="item2"&gt;Employer-sponsored insurance provides complete protection, covering medical, drug, maternity, and mental health care together in one plan so nothing important is left out.&lt;/row&gt;</t>
  </si>
  <si>
    <t xml:space="preserve">              &lt;row label="item3"&gt;Workers stay protected through life changes, with COBRA and retiree options that help them maintain coverage and keep their doctors when jobs or family circumstances change.&lt;/row&gt;</t>
  </si>
  <si>
    <t xml:space="preserve">              &lt;row label="item4"&gt;Employer-sponsored insurance connects employees and families to leading doctors, hospitals, and new treatments—the cornerstone of America’s private health care system that drives innovation and access to advanced care.&lt;/row&gt;</t>
  </si>
  <si>
    <t xml:space="preserve">              &lt;row label="item5"&gt;Employer-sponsored insurance helps keep the health system competitive—by letting businesses and employees select the plans and providers that best fit their needs.&lt;/row&gt;</t>
  </si>
  <si>
    <t xml:space="preserve">              &lt;row label="item6"&gt;Digital tools put employees in control of their coverage—to see costs in advance, track approvals, follow treatment plans and make confident, informed decisions.&lt;/row&gt;</t>
  </si>
  <si>
    <t xml:space="preserve">              &lt;row label="item7"&gt;Employer-sponsored insurance expands convenience through telehealth, 24-hour nurse lines, and virtual mental health services that meet people where they are.&lt;/row&gt;</t>
  </si>
  <si>
    <t xml:space="preserve">              &lt;row label="item8"&gt;Employers tailor benefits to their own workforce, offering coverage options like obesity treatment, fertility, and mental health programs that reflect employee priorities and the company’s values.&lt;/row&gt;</t>
  </si>
  <si>
    <t xml:space="preserve">              &lt;row label="item9"&gt;Employer-sponsored insurance rewards work through a true partnership between employers and employees—turning shared payroll contributions and tax-free benefits into dependable coverage that employees earned.&lt;/row&gt;</t>
  </si>
  <si>
    <t xml:space="preserve">              &lt;row label="item10"&gt;Employer-sponsored insurance has been a basic promise between employers and employees—hard work earns security and peace of mind. Taxing or weakening those benefits breaks that promise and erodes workplace trust between employers and employees.&lt;/row&gt;</t>
  </si>
  <si>
    <t xml:space="preserve">              &lt;row label="item11"&gt;Employer-sponsored insurance channels tax-free private dollars to meet Americans’ health care needs keeping coverage affordable for families while reducing the burden on taxpayer-funded programs.&lt;/row&gt;</t>
  </si>
  <si>
    <t xml:space="preserve">              &lt;row label="item12"&gt;Employers use their collective purchasing power to drive competition among hospitals, doctors, and drug companies—helping improve the quality of care while controlling costs.&lt;/row&gt;</t>
  </si>
  <si>
    <t xml:space="preserve">              &lt;row label="item13"&gt;Employer-sponsored insurance drives medical progress—partnering with top health systems and innovators to expand access to advanced therapies while keeping care affordable for working families.&lt;/row&gt;</t>
  </si>
  <si>
    <t xml:space="preserve">              &lt;row label="item14"&gt;Employers hold plans accountable for quality and spending, tracking data and outcomes to ensure every premium dollar strengthens employee health, not administrative overhead.&lt;/row&gt;</t>
  </si>
  <si>
    <t xml:space="preserve">              &lt;row label="item15"&gt;Employers invest directly in workers’ health through wellness programs, preventive care incentives, and disease management support that keep people healthy and productive.&lt;/row&gt;</t>
  </si>
  <si>
    <t xml:space="preserve">              &lt;style mode="before" name="question.header"&gt;&lt;![CDATA[</t>
  </si>
  <si>
    <t xml:space="preserve">    .QESI_maxdiff tr.maxdiff-header-legend {</t>
  </si>
  <si>
    <t xml:space="preserve">    .QESI_maxdiff tr.maxdiff-header-legend th.legend {</t>
  </si>
  <si>
    <t xml:space="preserve">    .QESI_maxdiff tr.maxdiff-row td.element {</t>
  </si>
  <si>
    <t xml:space="preserve">    .QESI_maxdiff tr.maxdiff-row th.row-legend {</t>
  </si>
  <si>
    <t xml:space="preserve">              &lt;style name="question.top-legend"&gt;&lt;![CDATA[</t>
  </si>
  <si>
    <t xml:space="preserve">              &lt;style name="question.row"&gt;&lt;![CDATA[</t>
  </si>
  <si>
    <t xml:space="preserve">            &lt;/radio&gt;</t>
  </si>
  <si>
    <t xml:space="preserve">            &lt;suspend/&gt;</t>
  </si>
  <si>
    <t xml:space="preserve">          &lt;/block&gt;</t>
  </si>
  <si>
    <t xml:space="preserve">          &lt;looprow label="1"&gt;</t>
  </si>
  <si>
    <t xml:space="preserve">            &lt;loopvar name="task"&gt;1&lt;/loopvar&gt;</t>
  </si>
  <si>
    <t xml:space="preserve">          &lt;/looprow&gt;</t>
  </si>
  <si>
    <t xml:space="preserve">          &lt;looprow label="2"&gt;</t>
  </si>
  <si>
    <t xml:space="preserve">            &lt;loopvar name="task"&gt;2&lt;/loopvar&gt;</t>
  </si>
  <si>
    <t xml:space="preserve">          &lt;looprow label="3"&gt;</t>
  </si>
  <si>
    <t xml:space="preserve">            &lt;loopvar name="task"&gt;3&lt;/loopvar&gt;</t>
  </si>
  <si>
    <t xml:space="preserve">          &lt;looprow label="4"&gt;</t>
  </si>
  <si>
    <t xml:space="preserve">            &lt;loopvar name="task"&gt;4&lt;/loopvar&gt;</t>
  </si>
  <si>
    <t xml:space="preserve">          &lt;looprow label="5"&gt;</t>
  </si>
  <si>
    <t xml:space="preserve">            &lt;loopvar name="task"&gt;5&lt;/loopvar&gt;</t>
  </si>
  <si>
    <t xml:space="preserve">          &lt;looprow label="6"&gt;</t>
  </si>
  <si>
    <t xml:space="preserve">            &lt;loopvar name="task"&gt;6&lt;/loopvar&gt;</t>
  </si>
  <si>
    <t xml:space="preserve">          &lt;looprow label="7"&gt;</t>
  </si>
  <si>
    <t xml:space="preserve">            &lt;loopvar name="task"&gt;7&lt;/loopvar&gt;</t>
  </si>
  <si>
    <t xml:space="preserve">          &lt;looprow label="8"&gt;</t>
  </si>
  <si>
    <t xml:space="preserve">            &lt;loopvar name="task"&gt;8&lt;/loopvar&gt;</t>
  </si>
  <si>
    <t xml:space="preserve">          &lt;looprow label="9"&gt;</t>
  </si>
  <si>
    <t xml:space="preserve">            &lt;loopvar name="task"&gt;9&lt;/loopvar&gt;</t>
  </si>
  <si>
    <t xml:space="preserve">          &lt;looprow label="10"&gt;</t>
  </si>
  <si>
    <t xml:space="preserve">            &lt;loopvar name="task"&gt;10&lt;/loopvar&gt;</t>
  </si>
  <si>
    <t xml:space="preserve">          &lt;looprow label="11"&gt;</t>
  </si>
  <si>
    <t xml:space="preserve">            &lt;loopvar name="task"&gt;11&lt;/loopvar&gt;</t>
  </si>
  <si>
    <t xml:space="preserve">          &lt;looprow label="12"&gt;</t>
  </si>
  <si>
    <t xml:space="preserve">            &lt;loopvar name="task"&gt;12&lt;/loopvar&gt;</t>
  </si>
  <si>
    <t xml:space="preserve">        &lt;/loop&gt;</t>
  </si>
  <si>
    <t xml:space="preserve">        &lt;float </t>
  </si>
  <si>
    <t xml:space="preserve">      label="QESI_Timer"</t>
  </si>
  <si>
    <t xml:space="preserve">      size="15"</t>
  </si>
  <si>
    <t xml:space="preserve">          &lt;title&gt;QESI - MaxDiff Timer (Minutes)&lt;/title&gt;</t>
  </si>
  <si>
    <t>QESI_Timer.val = (timeSpent() - p.startTime) / 60.0</t>
  </si>
  <si>
    <t xml:space="preserve">        &lt;/float&gt;</t>
  </si>
  <si>
    <t xml:space="preserve">      &lt;/block&gt;</t>
  </si>
  <si>
    <t xml:space="preserve">     label="QESI_POVFRAME"</t>
  </si>
  <si>
    <t xml:space="preserve">     cond="XRANDOM4.r1"&gt;</t>
  </si>
  <si>
    <t xml:space="preserve">        &lt;title&gt;&lt;span class="ques_no"&gt;${this.label}&lt;/span&gt; People often think about employer-sponsored health coverage from different points of view.&lt;br /&gt;&lt;strong&gt;When you think about health coverage through work, which point of view feels most natural to you?&lt;/strong&gt;&lt;/title&gt;</t>
  </si>
  <si>
    <t xml:space="preserve">        &lt;row label="r1" value="1"&gt;I’m thinking mainly about &lt;strong&gt;my own coverage as an employee&lt;/strong&gt;&lt;/row&gt;</t>
  </si>
  <si>
    <t xml:space="preserve">        &lt;row label="r2" value="2"&gt;I’m thinking mainly as a &lt;strong&gt;family member&lt;/strong&gt;, making sure loved ones are protected&lt;/row&gt;</t>
  </si>
  <si>
    <t xml:space="preserve">        &lt;row label="r3" value="3"&gt;I’m thinking mainly as a &lt;strong&gt;manager or business owner&lt;/strong&gt;, focused on keeping benefits sustainable&lt;/row&gt;</t>
  </si>
  <si>
    <t xml:space="preserve">        &lt;row label="r4" value="4"&gt;I’m thinking mainly as a &lt;strong&gt;patient&lt;/strong&gt; managing a medical condition&lt;/row&gt;</t>
  </si>
  <si>
    <t xml:space="preserve">        &lt;row label="r5" value="5"&gt;I’m thinking mainly as a &lt;strong&gt;taxpayer&lt;/strong&gt;, considering the broader cost of the system&lt;/row&gt;</t>
  </si>
  <si>
    <t xml:space="preserve">        &lt;row label="r6" value="6"&gt;I’m thinking mainly as a &lt;strong&gt;citizen&lt;/strong&gt;, concerned about fairness and who gets left out&lt;/row&gt;</t>
  </si>
  <si>
    <t xml:space="preserve">        &lt;row label="r9" value="9"&gt;None of these / Not sure&lt;/row&gt;</t>
  </si>
  <si>
    <t xml:space="preserve">     label="QESI_POST_ATT"</t>
  </si>
  <si>
    <t xml:space="preserve">        &lt;title&gt;&lt;span class="ques_no"&gt;${this.label}&lt;/span&gt; Please indicate how strongly you believe employer-sponsored insurance deserves to play a central role in the U.S. health care system, where 0 means &lt;strong&gt;‘it has no legitimate role’&lt;/strong&gt; and 100 means &lt;strong&gt;‘it plays an essential role that should be protected’&lt;/strong&gt;?&lt;/title&gt;</t>
  </si>
  <si>
    <t xml:space="preserve">     label="QESI_POST_POL"</t>
  </si>
  <si>
    <t xml:space="preserve">     label="QESI_MOB"</t>
  </si>
  <si>
    <t xml:space="preserve">     uses="cardrating.1"&gt;</t>
  </si>
  <si>
    <t xml:space="preserve">        &lt;title&gt;&lt;span class="ques_no"&gt;${this.label}&lt;/span&gt; The following statements explore how you feel about taking action on this issue. For each one, please indicate how much you agree or disagree.&lt;/title&gt;</t>
  </si>
  <si>
    <t>Prompt1(QESI_MOB)</t>
  </si>
  <si>
    <t xml:space="preserve">        &lt;row label="r1"&gt;&lt;span style="font-size: 12pt;"&gt;&lt;strong&gt;Working with others, people like me can influence policy that stops unfair changes to the tax treatment of employer health benefits&lt;/strong&gt;&lt;/span&gt;&lt;/row&gt;</t>
  </si>
  <si>
    <t xml:space="preserve">        &lt;row label="r2"&gt;&lt;span style="font-size: 12pt;"&gt;&lt;strong&gt;I know what steps to take to make my voice heard on this issue&lt;/strong&gt;&lt;/span&gt;&lt;/row&gt;</t>
  </si>
  <si>
    <t xml:space="preserve">        &lt;row label="r3"&gt;&lt;span style="font-size: 12pt;"&gt;&lt;strong&gt;It would be morally wrong for Congress to remove the tax break that helps workers afford coverage&lt;/strong&gt;&lt;/span&gt;&lt;/row&gt;</t>
  </si>
  <si>
    <t xml:space="preserve">        &lt;row label="r4"&gt;&lt;span style="font-size: 12pt;"&gt;&lt;strong&gt;It makes me angry that some politicians want to put our health benefits at risk so they can take more money out of our paychecks&lt;/strong&gt;&lt;/span&gt;&lt;/row&gt;</t>
  </si>
  <si>
    <t xml:space="preserve">        &lt;row label="r5"&gt;&lt;span style="font-size: 12pt;"&gt;&lt;strong&gt;If I asked, many of my friends and colleagues would join me in taking action to defend employer-sponsored insurance&lt;/strong&gt;&lt;/span&gt;&lt;/row&gt;</t>
  </si>
  <si>
    <t xml:space="preserve">        &lt;col label="c1"&gt;Strongly &lt;strong&gt;DISAGREE&lt;/strong&gt;&lt;/col&gt;</t>
  </si>
  <si>
    <t xml:space="preserve">        &lt;col label="c2"&gt;Disagree&lt;/col&gt;</t>
  </si>
  <si>
    <t xml:space="preserve">        &lt;col label="c3"&gt;Somewhat disagree&lt;/col&gt;</t>
  </si>
  <si>
    <t xml:space="preserve">        &lt;col label="c4"&gt;Neither agree nor disagree&lt;/col&gt;</t>
  </si>
  <si>
    <t xml:space="preserve">        &lt;col label="c5"&gt;Somewhat agree&lt;/col&gt;</t>
  </si>
  <si>
    <t xml:space="preserve">        &lt;col label="c6"&gt;Agree&lt;/col&gt;</t>
  </si>
  <si>
    <t xml:space="preserve">        &lt;col label="c7"&gt;Strongly &lt;strong&gt;AGREE&lt;/strong&gt;&lt;/col&gt;</t>
  </si>
  <si>
    <t>Punch1(QESI_MOB)</t>
  </si>
  <si>
    <t xml:space="preserve">     label="QESI_ADV_1"&gt;</t>
  </si>
  <si>
    <t xml:space="preserve">        &lt;title&gt;&lt;span class="ques_no"&gt;${this.label}&lt;/span&gt; Here is an example of an invitation you might receive via email or on social media.&lt;br /&gt;&lt;br /&gt;&lt;img src="/survey/selfserve/21a7/260121/ADV_1.PNG" style="display:block; margin-left:auto; margin-right:auto;" title="ADV_1.PNG" class="survey_image survey-image-orginal fit" alt="ADV_1.PNG" /&gt;&lt;br /&gt;&lt;br /&gt;If this came from a source you trust, would you …&lt;/title&gt;</t>
  </si>
  <si>
    <t xml:space="preserve">        &lt;row label="r1" value="1"&gt;&lt;strong&gt;&lt;span style="font-size: 12pt;"&gt;Sign immediately and share it with others&lt;/span&gt;&lt;/strong&gt;&lt;/row&gt;</t>
  </si>
  <si>
    <t xml:space="preserve">        &lt;row label="r2" value="2"&gt;&lt;strong&gt;&lt;span style="font-size: 12pt;"&gt;Sign it, but wouldn’t take the time to share&lt;/span&gt;&lt;/strong&gt;&lt;/row&gt;</t>
  </si>
  <si>
    <t xml:space="preserve">        &lt;row label="r3" value="3"&gt;&lt;strong&gt;&lt;span style="font-size: 12pt;"&gt;Take some time to think about it, but likely take action within a few days&lt;/span&gt;&lt;/strong&gt;&lt;/row&gt;</t>
  </si>
  <si>
    <t xml:space="preserve">        &lt;row label="r4" value="4"&gt;&lt;strong&gt;&lt;span style="font-size: 12pt;"&gt;Consider it, but probably not take action this time&lt;/span&gt;&lt;/strong&gt;&lt;/row&gt;</t>
  </si>
  <si>
    <t xml:space="preserve">        &lt;row label="r5" value="5"&gt;&lt;strong&gt;&lt;span style="font-size: 12pt;"&gt;Ignore it altogether&lt;/span&gt;&lt;/strong&gt;&lt;/row&gt;</t>
  </si>
  <si>
    <t xml:space="preserve">     label="QESI_ADV_2"&gt;</t>
  </si>
  <si>
    <t xml:space="preserve">        &lt;title&gt;&lt;span class="ques_no"&gt;${this.label}&lt;/span&gt; &lt;img src="/survey/selfserve/21a7/260121/ADV_2.PNG" alt="ADV_2.PNG" style="display:block; margin-left:auto; margin-right:auto; " class="survey_image survey-image-orginal fit" title="ADV_2.PNG" /&gt;&lt;br /&gt;&lt;br /&gt;If this invitation came from a source you trust, and there were no obstacles to attending, would you…&lt;/title&gt;</t>
  </si>
  <si>
    <t xml:space="preserve">        &lt;row label="r1" value="1"&gt;&lt;span style="font-size: 12pt;"&gt;&lt;strong&gt;RSVP immediately and share the invitation with others&lt;/strong&gt;&lt;/span&gt;&lt;/row&gt;</t>
  </si>
  <si>
    <t xml:space="preserve">        &lt;row label="r2" value="2"&gt;&lt;span style="font-size: 12pt;"&gt;&lt;strong&gt;RSVP, but wouldn’t share with others&lt;/strong&gt;&lt;/span&gt;&lt;/row&gt;</t>
  </si>
  <si>
    <t xml:space="preserve">        &lt;row label="r3" value="3"&gt;&lt;span style="font-size: 12pt;"&gt;&lt;strong&gt;Take some time to think about it, but likely take action within a few days&lt;/strong&gt;&lt;/span&gt;&lt;/row&gt;</t>
  </si>
  <si>
    <t xml:space="preserve">        &lt;row label="r4" value="4"&gt;&lt;span style="font-size: 12pt;"&gt;&lt;strong&gt;Consider it, but probably not take action this time&lt;/strong&gt;&lt;/span&gt;&lt;/row&gt;</t>
  </si>
  <si>
    <t xml:space="preserve">        &lt;row label="r5" value="5"&gt;&lt;span style="font-size: 12pt;"&gt;&lt;strong&gt;Ignore it altogether&lt;/strong&gt;&lt;/span&gt;&lt;/row&gt;</t>
  </si>
  <si>
    <t xml:space="preserve">    &lt;block label="b2" cond="0" builder:title="New Block" randomize="1"/&gt;</t>
  </si>
  <si>
    <t xml:space="preserve">    &lt;block label="b3" cond="XRANDOMPICK.r2" randomize="1"&gt;</t>
  </si>
  <si>
    <t xml:space="preserve">     label="QMA_VALUE"</t>
  </si>
  <si>
    <t xml:space="preserve">        &lt;title&gt;&lt;span class="ques_no"&gt;${this.label}&lt;/span&gt; Now, let’s focus on Medicare Advantage, the private health plan option within Medicare chosen by more than 35 million seniors and people with disabilities. These plans are offered by private insurance companies approved by the federal government and provide an alternative to “traditional” Medicare. &lt;strong&gt;Overall, how well do you think Medicare Advantage works for seniors compared to traditional Medicare?&lt;/strong&gt;&lt;/title&gt;</t>
  </si>
  <si>
    <t xml:space="preserve">     label="QMA_CRITIC"</t>
  </si>
  <si>
    <t xml:space="preserve">        &lt;title&gt;&lt;span class="ques_no"&gt;${this.label}&lt;/span&gt; Here is how critics sometimes describe Medicare Advantage. For each statement, indicate how much you agree or disagree…&lt;/title&gt;</t>
  </si>
  <si>
    <t xml:space="preserve">        &lt;comment&gt;Please select a button for each card.&lt;/comment&gt;</t>
  </si>
  <si>
    <t>Prompt1(QMA_CRITIC)</t>
  </si>
  <si>
    <t xml:space="preserve">        &lt;row label="r1"&gt;&lt;span style="font-size: 12pt;"&gt;&lt;strong&gt;Medicare Advantage plans are overpaid by the government and waste taxpayer dollars.&lt;/strong&gt;&lt;/span&gt;&lt;/row&gt;</t>
  </si>
  <si>
    <t xml:space="preserve">        &lt;row label="r2"&gt;&lt;span style="font-size: 12pt;"&gt;&lt;strong&gt;Insurers use risk coding and other tactics to exaggerate how sick their members are in order to increase payments.&lt;/strong&gt;&lt;/span&gt;&lt;/row&gt;</t>
  </si>
  <si>
    <t xml:space="preserve">        &lt;row label="r3"&gt;&lt;span style="font-size: 12pt;"&gt;&lt;strong&gt;Medicare Advantage plans make it harder for patients to get needed care by using prior authorization and denying claims.&lt;/strong&gt;&lt;/span&gt;&lt;/row&gt;</t>
  </si>
  <si>
    <t xml:space="preserve">        &lt;row label="r4"&gt;&lt;span style="font-size: 12pt;"&gt;&lt;strong&gt;Many seniors in Medicare Advantage cannot see the doctors or hospitals they want because networks are too narrow.&lt;/strong&gt;&lt;/span&gt;&lt;/row&gt;</t>
  </si>
  <si>
    <t xml:space="preserve">        &lt;row label="r5"&gt;&lt;span style="font-size: 12pt;"&gt;&lt;strong&gt;The Medicare Advantage market is dominated by a few big insurers that put profits ahead of patients.&lt;/strong&gt;&lt;/span&gt;&lt;/row&gt;</t>
  </si>
  <si>
    <t xml:space="preserve">        &lt;row label="r6"&gt;&lt;span style="font-size: 12pt;"&gt;&lt;strong&gt;The government does not provide enough oversight of how Medicare Advantage plans spend taxpayer money.&lt;/strong&gt;&lt;/span&gt;&lt;/row&gt;</t>
  </si>
  <si>
    <t xml:space="preserve">        &lt;row label="r7"&gt;&lt;span style="font-size: 12pt;"&gt;&lt;strong&gt;The Medicare Advantage program is driving up the overall cost of Medicare and threatening its long-term sustainability.&lt;/strong&gt;&lt;/span&gt;&lt;/row&gt;</t>
  </si>
  <si>
    <t xml:space="preserve">        &lt;row label="r8"&gt;&lt;span style="font-size: 12pt;"&gt;&lt;strong&gt;Medicare Advantage plans focus too much on cutting costs instead of improving quality of care.&lt;/strong&gt;&lt;/span&gt;&lt;/row&gt;</t>
  </si>
  <si>
    <t xml:space="preserve">        &lt;col label="c1" value="1"&gt;Strongly&lt;br /&gt;&lt;strong&gt;DISAGREE&lt;/strong&gt;&lt;/col&gt;</t>
  </si>
  <si>
    <t xml:space="preserve">        &lt;col label="c3" value="3"&gt;Somewhat&lt;br /&gt;Disagree&lt;/col&gt;</t>
  </si>
  <si>
    <t xml:space="preserve">        &lt;col label="c4" value="4"&gt;Neither or&lt;br /&gt;Neutral&lt;/col&gt;</t>
  </si>
  <si>
    <t xml:space="preserve">        &lt;col label="c5" value="5"&gt;Somewhat&lt;br /&gt;Agree&lt;/col&gt;</t>
  </si>
  <si>
    <t xml:space="preserve">        &lt;col label="c7" value="7"&gt;Strongly&lt;br /&gt;&lt;strong&gt;AGREE&lt;/strong&gt;&lt;/col&gt;</t>
  </si>
  <si>
    <t xml:space="preserve">        &lt;col label="c99" cond="0" value="99"&gt;SYSMIS&lt;/col&gt;</t>
  </si>
  <si>
    <t>Punch1(QMA_CRITIC)</t>
  </si>
  <si>
    <t xml:space="preserve">     label="QMA_PRE_ATT"</t>
  </si>
  <si>
    <t xml:space="preserve">        &lt;title&gt;&lt;span class="ques_no"&gt;${this.label}&lt;/span&gt; Please indicate how strongly you believe Medicare Advantage deserves to play a central role in the U.S. health care system, where 0 means &lt;strong&gt;‘it has no legitimate role’&lt;/strong&gt; and 100 means &lt;strong&gt;‘it plays an essential role that should be protected’&lt;/strong&gt;. Where would you place it today?&lt;/title&gt;</t>
  </si>
  <si>
    <t xml:space="preserve">     label="QMA_PRE_POL1"</t>
  </si>
  <si>
    <t xml:space="preserve">        &lt;title&gt;&lt;span class="ques_no"&gt;${this.label}&lt;/span&gt; &lt;strong&gt;Do you support or oppose reducing federal payments to Medicare Advantage plans&lt;/strong&gt; &lt;strong&gt;in order to lower overall Medicare spending?&lt;/strong&gt;&lt;/title&gt;</t>
  </si>
  <si>
    <t xml:space="preserve">        &lt;row label="r1" value="1"&gt;Strongly&lt;br /&gt;&lt;strong&gt;OPPOSE&lt;/strong&gt;&lt;/row&gt;</t>
  </si>
  <si>
    <t xml:space="preserve">        &lt;row label="r2" value="2"&gt;Oppose&lt;/row&gt;</t>
  </si>
  <si>
    <t xml:space="preserve">        &lt;row label="r3" value="3"&gt;Somewhat&lt;br /&gt;oppose&lt;/row&gt;</t>
  </si>
  <si>
    <t xml:space="preserve">        &lt;row label="r5" value="5"&gt;Somewhat&lt;br /&gt;support&lt;/row&gt;</t>
  </si>
  <si>
    <t xml:space="preserve">        &lt;row label="r6" value="6"&gt;Support&lt;/row&gt;</t>
  </si>
  <si>
    <t xml:space="preserve">        &lt;row label="r7" value="7"&gt;Strongly&lt;br /&gt;&lt;strong&gt;SUPPORT&lt;/strong&gt;&lt;/row&gt;</t>
  </si>
  <si>
    <t xml:space="preserve">     label="QMA_PRE_POL2"</t>
  </si>
  <si>
    <t xml:space="preserve">        &lt;title&gt;&lt;span class="ques_no"&gt;${this.label}&lt;/span&gt; People have different views about the direction Congress should take on Medicare Advantage.&lt;br /&gt; Please read the two statements below and select the one that comes closer to your own view—even if neither is exactly right.&lt;/title&gt;</t>
  </si>
  <si>
    <t xml:space="preserve">        &lt;row label="r1" legend="both" rightLegend="${res.QMA_POST_SJ_msgB}"&gt;${res.QMA_POST_SJ_msgA}&lt;/row&gt;</t>
  </si>
  <si>
    <t>.survey-body, .page-header, .footer,.survey-buttons,.comment,.comment-text,.question-text{min-width: 1200px;}</t>
  </si>
  <si>
    <t xml:space="preserve">.grid.grid-table-mode .row-legend {min-width: 268px;}       </t>
  </si>
  <si>
    <t xml:space="preserve">        &lt;col label="c1" value="1"&gt;STRONGLY A&lt;/col&gt;</t>
  </si>
  <si>
    <t xml:space="preserve">        &lt;col label="c2" value="2"/&gt;</t>
  </si>
  <si>
    <t xml:space="preserve">        &lt;col label="c3" value="3"/&gt;</t>
  </si>
  <si>
    <t xml:space="preserve">        &lt;col label="c4" value="4"/&gt;</t>
  </si>
  <si>
    <t xml:space="preserve">        &lt;col label="c5" value="5"/&gt;</t>
  </si>
  <si>
    <t xml:space="preserve">        &lt;col label="c6" value="6"/&gt;</t>
  </si>
  <si>
    <t xml:space="preserve">        &lt;col label="c7" value="7"&gt;STRONGLY B&lt;/col&gt;</t>
  </si>
  <si>
    <t xml:space="preserve">      &lt;block label="MABlock" builder:title="MA Block"&gt;</t>
  </si>
  <si>
    <t>QMA_md = setupMaxDiffFile("MA_Design.dat")</t>
  </si>
  <si>
    <t xml:space="preserve">        &lt;quota label="quo15" overquota="noqual" sheet="MA Quota"/&gt;</t>
  </si>
  <si>
    <t xml:space="preserve">      label="QMA_Version"</t>
  </si>
  <si>
    <t xml:space="preserve">          &lt;title&gt;QMA - MaxDiff Version&lt;br /&gt;&lt;br /&gt;&lt;em&gt;Pick your version for testing... will be automated when live...&lt;/em&gt;&lt;/title&gt;</t>
  </si>
  <si>
    <t xml:space="preserve">    if "/MA Quota/MA_" in x:</t>
  </si>
  <si>
    <t xml:space="preserve">        QMA_Version.val = int(x.split("_")[-1])</t>
  </si>
  <si>
    <t xml:space="preserve">        &lt;html label="MAMaxdiff_Intro" where="survey"&gt;You’ll see a series of short statements expressing different points of view. Each statement reflects a point of view about Medicare Advantage. For each set, please choose the one statement you find &lt;strong&gt;MOST&lt;/strong&gt; compelling and the one statement you find &lt;strong&gt;LEAST&lt;/strong&gt; compelling.&lt;br /&gt;&lt;br /&gt;&lt;em&gt;Some statements may appear again later. That’s intentional—it helps us understand how people think about ideas in various contexts. &lt;/em&gt;There are no right or wrong answers. Simply go with your first reaction each time.&lt;/html&gt;</t>
  </si>
  <si>
    <t xml:space="preserve">        &lt;loop label="QMA_md_loop" vars="task"&gt;</t>
  </si>
  <si>
    <t xml:space="preserve">          &lt;title&gt;QMA - MaxDiff Loop&lt;/title&gt;</t>
  </si>
  <si>
    <t xml:space="preserve">          &lt;block label="QMA_md_block" randomize="1"&gt;</t>
  </si>
  <si>
    <t xml:space="preserve">        label="QMA_[loopvar: task]"</t>
  </si>
  <si>
    <t xml:space="preserve">        ss:questionClassNames="QMA_maxdiff"</t>
  </si>
  <si>
    <t>setupMaxDiffItemsI( QMA_md, "v%d_t%d" % (QMA_Version.val, [loopvar: task]), QMA_[loopvar: task])</t>
  </si>
  <si>
    <t>p.MDcount = str(QMA_md_loop_expanded.order.index([loopvar: task]-1)+1)</t>
  </si>
  <si>
    <t xml:space="preserve">              &lt;row label="item1"&gt;Medicare Advantage offers one simple plan with stable premiums and coverage seniors can rely on—unlike traditional Medicare’s patchwork of providers and fees.&lt;/row&gt;</t>
  </si>
  <si>
    <t xml:space="preserve">              &lt;row label="item2"&gt;Medicare Advantage shields retirees from crushing medical debt by capping annual out-of-pocket costs—financial protection traditional Medicare doesn’t provide.&lt;/row&gt;</t>
  </si>
  <si>
    <t xml:space="preserve">              &lt;row label="item3"&gt;Medicare Advantage earns the trust of its members through strict federal audits and quality-based payments that hold every plan accountable for results.&lt;/row&gt;</t>
  </si>
  <si>
    <t xml:space="preserve">              &lt;row label="item4"&gt;Medicare Advantage brings doctors, prescriptions, and benefits together in one coordinated plan so care is seamless, not fragmented like traditional Medicare.&lt;/row&gt;</t>
  </si>
  <si>
    <t xml:space="preserve">              &lt;row label="item5"&gt;Medicare Advantage empowers seniors to choose doctors and benefits that fit their lives instead of a one-size-fits-all government design.&lt;/row&gt;</t>
  </si>
  <si>
    <t xml:space="preserve">              &lt;row label="item6"&gt;Medicare Advantage covers the whole person—with dental, vision, hearing, and fitness benefits that traditional Medicare leaves out.&lt;/row&gt;</t>
  </si>
  <si>
    <t xml:space="preserve">              &lt;row label="item7"&gt;Medicare Advantage modernizes care through telehealth and digital tools that keep members connected anywhere, unlike Medicare’s paper-driven system.&lt;/row&gt;</t>
  </si>
  <si>
    <t xml:space="preserve">              &lt;row label="item8"&gt;Medicare Advantage rewards a lifetime of work by turning savings into lower premiums and better benefits for the people who earned them.&lt;/row&gt;</t>
  </si>
  <si>
    <t xml:space="preserve">              &lt;row label="item9"&gt;Medicare Advantage stands beside patients with complex or chronic conditions, coordinating specialists and care managers that traditional Medicare doesn’t provide.&lt;/row&gt;</t>
  </si>
  <si>
    <t xml:space="preserve">              &lt;row label="item10"&gt;Seniors chose Medicare Advantage on a promise of dependable care. Cutting benefits breaks that promise and betrays the trust people placed in the program.&lt;/row&gt;</t>
  </si>
  <si>
    <t xml:space="preserve">              &lt;row label="item11"&gt;Medicare Advantage reinvests plan savings directly into seniors’ benefits—proof that efficiency can serve people, not profit.&lt;/row&gt;</t>
  </si>
  <si>
    <t xml:space="preserve">              &lt;row label="item12"&gt;Medicare Advantage delivers better outcomes at lower cost by paying for coordinated, effective care instead of rewarding volume like traditional Medicare.&lt;/row&gt;</t>
  </si>
  <si>
    <t xml:space="preserve">              &lt;row label="item13"&gt;Medicare Advantage protects seniors’ independence and saves money through preventive care and early detection that prevent costly illness and hospitalization.&lt;/row&gt;</t>
  </si>
  <si>
    <t xml:space="preserve">              &lt;row label="item14"&gt;Medicare Advantage ensures every dollar goes to patient care by tying payments to performance and quality outcomes.&lt;/row&gt;</t>
  </si>
  <si>
    <t xml:space="preserve">              &lt;row label="item15"&gt;Medicare Advantage strengthens—not replaces—Medicare by combining public oversight with private innovation to meet today’s medical realities.&lt;/row&gt;</t>
  </si>
  <si>
    <t xml:space="preserve">    .QMA_maxdiff tr.maxdiff-header-legend {</t>
  </si>
  <si>
    <t xml:space="preserve">    .QMA_maxdiff tr.maxdiff-header-legend th.legend {</t>
  </si>
  <si>
    <t xml:space="preserve">    .QMA_maxdiff tr.maxdiff-row td.element {</t>
  </si>
  <si>
    <t xml:space="preserve">    .QMA_maxdiff tr.maxdiff-row th.row-legend {</t>
  </si>
  <si>
    <t xml:space="preserve">      label="QMA_Timer"</t>
  </si>
  <si>
    <t xml:space="preserve">          &lt;title&gt;QMA - MaxDiff Timer (Minutes)&lt;/title&gt;</t>
  </si>
  <si>
    <t>QMA_Timer.val = (timeSpent() - p.startTime) / 60.0</t>
  </si>
  <si>
    <t xml:space="preserve">     label="QMA_POVFRAME"</t>
  </si>
  <si>
    <t xml:space="preserve">        &lt;title&gt;&lt;span class="ques_no"&gt;${this.label}&lt;/span&gt; People often think about Medicare or Medicare Advantage from different points of view.&lt;br /&gt;&lt;strong&gt;When you think about Medicare or Medicare Advantage, which point of view feels most natural to you?&lt;/strong&gt;&lt;/title&gt;</t>
  </si>
  <si>
    <t xml:space="preserve">        &lt;row label="r1"&gt;I’m thinking mainly about &lt;strong&gt;my own current or future Medicare coverage&lt;/strong&gt;&lt;/row&gt;</t>
  </si>
  <si>
    <t xml:space="preserve">        &lt;row label="r2"&gt;I’m thinking mainly as a &lt;strong&gt;caregiver or family member&lt;/strong&gt; of someone on Medicare&lt;/row&gt;</t>
  </si>
  <si>
    <t xml:space="preserve">        &lt;row label="r3"&gt;I’m thinking mainly as a &lt;strong&gt;taxpayer&lt;/strong&gt;, considering how Medicare affects government spending&lt;/row&gt;</t>
  </si>
  <si>
    <t xml:space="preserve">        &lt;row label="r4"&gt;I’m thinking mainly as a &lt;strong&gt;citizen&lt;/strong&gt;, concerned about fairness across generations&lt;/row&gt;</t>
  </si>
  <si>
    <t xml:space="preserve">        &lt;row label="r5"&gt;I’m thinking mainly as a &lt;strong&gt;health-care professional&lt;/strong&gt;, or someone working in the system&lt;/row&gt;</t>
  </si>
  <si>
    <t xml:space="preserve">        &lt;row label="r6"&gt;None of these / Not sure&lt;/row&gt;</t>
  </si>
  <si>
    <t xml:space="preserve">     label="QMA_POST_ATT"</t>
  </si>
  <si>
    <t xml:space="preserve">     label="QMA_POST_POL1"</t>
  </si>
  <si>
    <t xml:space="preserve">        &lt;title&gt;&lt;span class="ques_no"&gt;${this.label}&lt;/span&gt; &lt;strong&gt;Do you support or oppose reducing federal payments to Medicare Advantage plans in order to lower overall Medicare spending?&lt;/strong&gt;&lt;/title&gt;</t>
  </si>
  <si>
    <t xml:space="preserve">     label="QMA_POST_POL2"</t>
  </si>
  <si>
    <t xml:space="preserve">     label="QMA_MOB"</t>
  </si>
  <si>
    <t>Prompt1(QMA_MOB)</t>
  </si>
  <si>
    <t xml:space="preserve">        &lt;row label="r1"&gt;&lt;span style="font-size: 12pt;"&gt;&lt;strong&gt;Working with others, people like me can influence policy that protects Medicare Advantage&lt;/strong&gt;&lt;/span&gt;&lt;/row&gt;</t>
  </si>
  <si>
    <t xml:space="preserve">        &lt;row label="r3"&gt;&lt;span style="font-size: 12pt;"&gt;&lt;strong&gt;It would be morally wrong for Congress to cut funding for Medicare Advantage that millions of seniors rely upon&lt;/strong&gt;&lt;/span&gt;&lt;/row&gt;</t>
  </si>
  <si>
    <t xml:space="preserve">        &lt;row label="r4"&gt;&lt;span style="font-size: 12pt;"&gt;&lt;strong&gt;It makes me angry that some politicians want to find savings by cutting Medicare Advantage that seniors depend on&lt;/strong&gt;&lt;/span&gt;&lt;/row&gt;</t>
  </si>
  <si>
    <t xml:space="preserve">        &lt;row label="r5"&gt;&lt;span style="font-size: 12pt;"&gt;&lt;strong&gt;If I asked, many of my friends and colleagues would join me in taking action to defend Medicare Advantage&lt;/strong&gt;&lt;/span&gt;&lt;/row&gt;</t>
  </si>
  <si>
    <t>Punch1(QMA_MOB)</t>
  </si>
  <si>
    <t xml:space="preserve">     label="QMA_ADV_1"&gt;</t>
  </si>
  <si>
    <t xml:space="preserve">        &lt;title&gt;&lt;span class="ques_no"&gt;${this.label}&lt;/span&gt; Here is an example of an invitation you might receive via email or on social media.&lt;br /&gt;&lt;br /&gt;&lt;img src="/survey/selfserve/21a7/260121/ADV_1a.PNG" alt="ADV_1a.PNG" style="display: block; margin-left: auto; margin-right: auto;" class="survey_image survey-image-original fit" title="ADV_1a.PNG" /&gt;&lt;br /&gt;&lt;br /&gt;If this came from a source you trust, would you …&lt;/title&gt;</t>
  </si>
  <si>
    <t xml:space="preserve">     label="QMA_ADV_2"&gt;</t>
  </si>
  <si>
    <t xml:space="preserve">        &lt;title&gt;&lt;span class="ques_no"&gt;${this.label}&lt;/span&gt; &lt;img src="/survey/selfserve/21a7/260121/ADV_1b.PNG" alt="ADV_1b.PNG" style="display:block; margin-left:auto; margin-right:auto; " class="survey_image survey-image-original fit" title="ADV_1b.PNG" /&gt;&lt;br /&gt;&lt;br /&gt;If this invitation came from a source you trust, and there were no obstacles to attending, would you…&lt;/title&gt;</t>
  </si>
  <si>
    <t xml:space="preserve">        &lt;row label="r1" value="1"&gt;&lt;strong&gt;&lt;span style="font-size: 12pt;"&gt;RSVP immediately and share the invitation with others&lt;/span&gt;&lt;/strong&gt;&lt;/row&gt;</t>
  </si>
  <si>
    <t xml:space="preserve">        &lt;row label="r2" value="2"&gt;&lt;strong&gt;&lt;span style="font-size: 12pt;"&gt;RSVP, but wouldn’t share with others&lt;/span&gt;&lt;/strong&gt;&lt;/row&gt;</t>
  </si>
  <si>
    <t xml:space="preserve">  &lt;/block&gt;</t>
  </si>
  <si>
    <t xml:space="preserve">  &lt;quota label="ranQuota2" cond="XRANDOM3.r2" overquota="noqual" sheet="random Quota2"/&gt;</t>
  </si>
  <si>
    <t xml:space="preserve">  &lt;exec cond="XRANDOM3.r2"&gt;</t>
  </si>
  <si>
    <t xml:space="preserve"> if hasMarker("/random Quota2/split2_{}".format(x+1)):</t>
  </si>
  <si>
    <t xml:space="preserve">    XRANDOM2.val=x</t>
  </si>
  <si>
    <t xml:space="preserve">   label="XRANDOM2"</t>
  </si>
  <si>
    <t xml:space="preserve">   cond="XRANDOM3.r2"</t>
  </si>
  <si>
    <t xml:space="preserve">    &lt;row label="r1"&gt;Q2&lt;/row&gt;</t>
  </si>
  <si>
    <t xml:space="preserve">    &lt;row label="r2"&gt;Q3&lt;/row&gt;</t>
  </si>
  <si>
    <t xml:space="preserve">   label="Q2"</t>
  </si>
  <si>
    <t xml:space="preserve">   cond="XRANDOM2.r1"</t>
  </si>
  <si>
    <t xml:space="preserve">    &lt;title&gt;&lt;span class="ques_no"&gt;Q2&lt;/span&gt; How much do you trust information or recommendations about health coverage and costs from each of the following?&lt;/title&gt;</t>
  </si>
  <si>
    <t>Prompt1(Q2)</t>
  </si>
  <si>
    <t xml:space="preserve">    &lt;row label="r1"&gt;Your employer&lt;/row&gt;</t>
  </si>
  <si>
    <t xml:space="preserve">    &lt;row label="r2"&gt;Your spouse or partner&lt;/row&gt;</t>
  </si>
  <si>
    <t xml:space="preserve">    &lt;row label="r3A"&gt;Health insurance plans&lt;/row&gt;</t>
  </si>
  <si>
    <t xml:space="preserve">    &lt;row label="r3"&gt;Medicare Advantage providers&lt;/row&gt;</t>
  </si>
  <si>
    <t xml:space="preserve">    &lt;row label="r4"&gt;Small business owners&lt;/row&gt;</t>
  </si>
  <si>
    <t xml:space="preserve">    &lt;row label="r5"&gt;Labor unions&lt;/row&gt;</t>
  </si>
  <si>
    <t xml:space="preserve">    &lt;row label="r6"&gt;Pharmacy Benefit Managers (PBMs)&lt;/row&gt;</t>
  </si>
  <si>
    <t xml:space="preserve">    &lt;row label="r7"&gt;Hospitals and health systems&lt;/row&gt;</t>
  </si>
  <si>
    <t xml:space="preserve">    &lt;row label="r8"&gt;Physicians&lt;/row&gt;</t>
  </si>
  <si>
    <t xml:space="preserve">    &lt;row label="r9"&gt;Nurses&lt;/row&gt;</t>
  </si>
  <si>
    <t xml:space="preserve">    &lt;row label="r10"&gt;Health economists or policy experts&lt;/row&gt;</t>
  </si>
  <si>
    <t xml:space="preserve">    &lt;row label="r11"&gt;State and local government officials&lt;/row&gt;</t>
  </si>
  <si>
    <t xml:space="preserve">    &lt;row label="r12A" cond="XRANDOM.r1"&gt;Department of Health and Human Services (HHS)&lt;/row&gt;</t>
  </si>
  <si>
    <t xml:space="preserve">    &lt;row label="r12B" cond="XRANDOM.r2"&gt;Secretary of Health and Human Services, Robert Kennedy, Jr.&lt;/row&gt;</t>
  </si>
  <si>
    <t xml:space="preserve">    &lt;row label="r13A" cond="XRANDOM.r1"&gt;Centers for Medicare &amp;amp; Medicaid Services (CMS)&lt;/row&gt;</t>
  </si>
  <si>
    <t xml:space="preserve">    &lt;row label="r13B" cond="XRANDOM.r2"&gt;Administrator of Centers for Medicare &amp;amp; Medicaid Services (CMS), Dr. Mehmet Oz&lt;/row&gt;</t>
  </si>
  <si>
    <t xml:space="preserve">    &lt;row label="r14" cond="not XQUSREP.r99"&gt;Your Congressman, Rep [pipe: XQUSREP]&lt;/row&gt;</t>
  </si>
  <si>
    <t xml:space="preserve">    &lt;row label="r15" cond="not XQSEN1.r99"&gt;Senator&amp;amp;nbsp;[pipe: XQSEN1]&lt;/row&gt;</t>
  </si>
  <si>
    <t xml:space="preserve">    &lt;row label="r16" cond="not XQSEN2.r99"&gt;Senator&amp;amp;nbsp;[pipe: XQSEN2]&lt;/row&gt;</t>
  </si>
  <si>
    <t xml:space="preserve">    &lt;row label="r17A" cond="XRANDOM.r1"&gt;White House officials&lt;/row&gt;</t>
  </si>
  <si>
    <t xml:space="preserve">    &lt;row label="r17B" cond="XRANDOM.r2"&gt;President Donald Trump&lt;/row&gt;</t>
  </si>
  <si>
    <t xml:space="preserve">    &lt;row label="r18"&gt;Medicare&lt;/row&gt;</t>
  </si>
  <si>
    <t xml:space="preserve">    &lt;row label="r19"&gt;Medicaid&lt;/row&gt;</t>
  </si>
  <si>
    <t xml:space="preserve">    &lt;col label="c1" value="1"&gt;Not at all (DISTRUST)&lt;/col&gt;</t>
  </si>
  <si>
    <t xml:space="preserve">    &lt;col label="c2" value="2"&gt;Only a little&lt;/col&gt;</t>
  </si>
  <si>
    <t xml:space="preserve">    &lt;col label="c3" value="3"&gt;Some&lt;/col&gt;</t>
  </si>
  <si>
    <t xml:space="preserve">    &lt;col label="c4" value="4"&gt;A fair amount&lt;/col&gt;</t>
  </si>
  <si>
    <t xml:space="preserve">    &lt;col label="c5" value="5"&gt;A great deal (TRUST)&lt;/col&gt;</t>
  </si>
  <si>
    <t xml:space="preserve">    &lt;col label="c99" cond="0" value="99"&gt;N/A&lt;/col&gt;</t>
  </si>
  <si>
    <t xml:space="preserve">  &lt;exec cond="XRANDOM2.r1"&gt;</t>
  </si>
  <si>
    <t>Punch1(Q2)</t>
  </si>
  <si>
    <t xml:space="preserve">   label="Q3"</t>
  </si>
  <si>
    <t xml:space="preserve">   cond="XRANDOM2.r2"</t>
  </si>
  <si>
    <t xml:space="preserve">    &lt;title&gt;&lt;span class="ques_no"&gt;Q3&lt;/span&gt; When thinking about health care and coverage issues, how much do you trust advice or guidance from each of the following&lt;/title&gt;</t>
  </si>
  <si>
    <t>Prompt1(Q3)</t>
  </si>
  <si>
    <t xml:space="preserve">    &lt;row label="r1"&gt;Your personal doctor or nurse&lt;/row&gt;</t>
  </si>
  <si>
    <t xml:space="preserve">    &lt;row label="r2"&gt;Your employer’s HR or benefits manager&lt;/row&gt;</t>
  </si>
  <si>
    <t xml:space="preserve">    &lt;row label="r3"&gt;Your coworkers&lt;/row&gt;</t>
  </si>
  <si>
    <t xml:space="preserve">    &lt;row label="r4"&gt;Your religious or faith leader&lt;/row&gt;</t>
  </si>
  <si>
    <t xml:space="preserve">    &lt;row label="r5"&gt;Local community organizations&lt;/row&gt;</t>
  </si>
  <si>
    <t xml:space="preserve">    &lt;row label="r6"&gt;Local business or civic leaders&lt;/row&gt;</t>
  </si>
  <si>
    <t xml:space="preserve">    &lt;row label="r7"&gt;Benefits consultants and actuaries&lt;/row&gt;</t>
  </si>
  <si>
    <t xml:space="preserve">    &lt;row label="r8"&gt;Digital health entrepreneurs&lt;/row&gt;</t>
  </si>
  <si>
    <t xml:space="preserve">    &lt;row label="r9"&gt;Academic researchers (universities, think tanks)&lt;/row&gt;</t>
  </si>
  <si>
    <t xml:space="preserve">    &lt;row label="r10"&gt;Technology companies (e.g., Google Health, Apple Health)&lt;/row&gt;</t>
  </si>
  <si>
    <t xml:space="preserve">    &lt;row label="r11"&gt;Employer coalitions or business alliance leaders&lt;/row&gt;</t>
  </si>
  <si>
    <t xml:space="preserve">    &lt;row label="r12" open="1" openOptional="1" openSize="25"&gt;Patient advocacy organizations &amp;amp;#91;Which one comes to mind?&amp;amp;#93;&lt;/row&gt;</t>
  </si>
  <si>
    <t xml:space="preserve">    &lt;row label="r13" open="1" openOptional="1" openSize="25"&gt;Health care journalists or podcast hosts &amp;amp;#91;Which one comes to mind?&amp;amp;#93;&lt;/row&gt;</t>
  </si>
  <si>
    <t xml:space="preserve">    &lt;row label="r14" open="1" openOptional="1" openSize="25"&gt;Substack health policy writers &amp;amp;#91;Which one comes to mind?&amp;amp;#93;&lt;/row&gt;</t>
  </si>
  <si>
    <t xml:space="preserve">    &lt;row label="r15"&gt;LinkedIn thought leaders in health policy&lt;/row&gt;</t>
  </si>
  <si>
    <t xml:space="preserve">  &lt;exec cond="XRANDOM2.r2"&gt;</t>
  </si>
  <si>
    <t>Punch1(Q3)</t>
  </si>
  <si>
    <t xml:space="preserve">  &lt;goto cond="QINS3.r2 or QINS3.r3" target="HIDQ1_title"/&gt;</t>
  </si>
  <si>
    <t xml:space="preserve">   label="QMA_REL"</t>
  </si>
  <si>
    <t xml:space="preserve">   cond="XRANDOMPICK.r2 and QINS2.but(QINS2.r7).any"&gt;</t>
  </si>
  <si>
    <t xml:space="preserve">    &lt;title&gt;&lt;div class="tt_container1"&gt;&lt;span class="ques_no"&gt;${this.label}&lt;/span&gt; Do you know someone who has a &lt;a href="#" class="tt_link1" onclick="return false;"&gt;&lt;strong&gt;&lt;u&gt;Medicare Advantage&lt;/u&gt;&lt;/strong&gt;&lt;/a&gt; plan, like a close friend or relative?</t>
  </si>
  <si>
    <t>&lt;div class="tt_text1"&gt;&lt;p&gt;Medicare Advantage is an alternative way to receive Medicare benefits through private health plans that cover hospital and medical services, and often include extra benefits&lt;/p&gt;&lt;/div&gt;&lt;/div&gt;&lt;/title&gt;</t>
  </si>
  <si>
    <t xml:space="preserve">    &lt;row label="r1" value="1"&gt;Yes&lt;/row&gt;</t>
  </si>
  <si>
    <t xml:space="preserve">    &lt;row label="r0" value="0"&gt;No&lt;/row&gt;</t>
  </si>
  <si>
    <t xml:space="preserve">  &lt;checkbox </t>
  </si>
  <si>
    <t xml:space="preserve">   label="QMA_REL_A"</t>
  </si>
  <si>
    <t xml:space="preserve">   cond="QMA_REL.r1"</t>
  </si>
  <si>
    <t xml:space="preserve">   atleast="1"&gt;</t>
  </si>
  <si>
    <t xml:space="preserve">    &lt;title&gt;&lt;span class="ques_no"&gt;${this.label}&lt;/span&gt; Who is the person you know with Medicare Advantage?&lt;/title&gt;</t>
  </si>
  <si>
    <t xml:space="preserve">    &lt;comment&gt;&lt;em&gt;(Select all that apply)&lt;/em&gt;&lt;/comment&gt;</t>
  </si>
  <si>
    <t xml:space="preserve">    &lt;row label="r1"&gt;Spouse or partner&lt;/row&gt;</t>
  </si>
  <si>
    <t xml:space="preserve">    &lt;row label="r2"&gt;Parent(s)&lt;/row&gt;</t>
  </si>
  <si>
    <t xml:space="preserve">    &lt;row label="r3"&gt;Grandparent(s)&lt;/row&gt;</t>
  </si>
  <si>
    <t xml:space="preserve">    &lt;row label="r4"&gt;Other close relative&lt;/row&gt;</t>
  </si>
  <si>
    <t xml:space="preserve">    &lt;row label="r5"&gt;A close friend or colleague&lt;/row&gt;</t>
  </si>
  <si>
    <t xml:space="preserve">    &lt;row label="r6" open="1" openSize="25" randomize="0"&gt;Someone else (Please specify)&lt;/row&gt;</t>
  </si>
  <si>
    <t xml:space="preserve">  &lt;/checkbox&gt;</t>
  </si>
  <si>
    <t xml:space="preserve">   label="QMA_KNOW"</t>
  </si>
  <si>
    <t xml:space="preserve">   cond="QMA_REL.r0"&gt;</t>
  </si>
  <si>
    <t xml:space="preserve">    &lt;title&gt;&lt;span class="ques_no"&gt;${this.label}&lt;/span&gt; How much do you know about Medicare Advantage?&lt;/title&gt;</t>
  </si>
  <si>
    <t xml:space="preserve">    &lt;row label="r1" value="1"&gt;Nothing at all&lt;/row&gt;</t>
  </si>
  <si>
    <t xml:space="preserve">    &lt;row label="r2" value="2"&gt;Very little&lt;/row&gt;</t>
  </si>
  <si>
    <t xml:space="preserve">    &lt;row label="r3" value="3"&gt;Some&lt;/row&gt;</t>
  </si>
  <si>
    <t xml:space="preserve">    &lt;row label="r4" value="4"&gt;A fair amount&lt;/row&gt;</t>
  </si>
  <si>
    <t xml:space="preserve">    &lt;row label="r5" value="5"&gt;A lot&lt;/row&gt;</t>
  </si>
  <si>
    <t xml:space="preserve">   label="QMA_SHOP"</t>
  </si>
  <si>
    <t xml:space="preserve">   cond="XRANDOMPICK.r2 and QINS2.but(QINS2.r6,QINS2.r7).any and QAGE.ival ge 55"</t>
  </si>
  <si>
    <t xml:space="preserve">    &lt;title&gt;&lt;span class="ques_no"&gt;${this.label}&lt;/span&gt; In the past year, have you done any of the following?&lt;/title&gt;</t>
  </si>
  <si>
    <t xml:space="preserve">    &lt;row label="r1"&gt;Visited a website about Medicare or Medicare Advantage&lt;/row&gt;</t>
  </si>
  <si>
    <t xml:space="preserve">    &lt;row label="r2"&gt;Spoken with a broker or insurance representative about Medicare coverage&lt;/row&gt;</t>
  </si>
  <si>
    <t xml:space="preserve">    &lt;row label="r3"&gt;Compared costs or benefits of different Medicare plans online&lt;/row&gt;</t>
  </si>
  <si>
    <t xml:space="preserve">    &lt;row label="r4"&gt;Discussed Medicare coverage with family or friends&lt;/row&gt;</t>
  </si>
  <si>
    <t xml:space="preserve">    &lt;row label="r0" exclusive="1" randomize="0"&gt;None of these&lt;/row&gt;</t>
  </si>
  <si>
    <t xml:space="preserve">   label="QMA_CONS"</t>
  </si>
  <si>
    <t xml:space="preserve">   optional="1"&gt;</t>
  </si>
  <si>
    <t xml:space="preserve">    &lt;title&gt;&lt;span class="ques_no"&gt;${this.label}&lt;/span&gt; How likely are you to choose a Medicare Advantage plan when you reach the age of eligibility for Medicare coverage?&lt;/title&gt;</t>
  </si>
  <si>
    <t>Prompt3(QMA_CONS)</t>
  </si>
  <si>
    <t xml:space="preserve">    &lt;row label="r1" value="1"&gt;Very unlikely&lt;/row&gt;</t>
  </si>
  <si>
    <t xml:space="preserve">    &lt;row label="r2" value="2"&gt;Somewhat unlikely&lt;/row&gt;</t>
  </si>
  <si>
    <t xml:space="preserve">    &lt;row label="r3" value="3"&gt;Unsure&lt;/row&gt;</t>
  </si>
  <si>
    <t xml:space="preserve">    &lt;row label="r4" value="4"&gt;Somewhat likely&lt;/row&gt;</t>
  </si>
  <si>
    <t xml:space="preserve">    &lt;row label="r5" value="5"&gt;Very likely&lt;/row&gt;</t>
  </si>
  <si>
    <t xml:space="preserve">    &lt;row label="r99" cond="0" value="99"&gt;SYSMIS&lt;/row&gt;</t>
  </si>
  <si>
    <t xml:space="preserve">  &lt;exec cond="XRANDOMPICK.r2 and QINS2.but(QINS2.r6,QINS2.r7).any and QAGE.ival ge 55"&gt;</t>
  </si>
  <si>
    <t>Punch3(QMA_CONS)</t>
  </si>
  <si>
    <t xml:space="preserve">   label="HIDQ1_title"</t>
  </si>
  <si>
    <t xml:space="preserve">    &lt;title&gt;Q1 Title Hidden Question&lt;/title&gt;</t>
  </si>
  <si>
    <t>if QMA_REL.r1:</t>
  </si>
  <si>
    <t xml:space="preserve">    HIDQ1_title.val = HIDQ1_title.r4.index</t>
  </si>
  <si>
    <t xml:space="preserve">    HIDQ1_title.val = HIDQ1_title.r1.index</t>
  </si>
  <si>
    <t xml:space="preserve">    HIDQ1_title.val = HIDQ1_title.r2.index</t>
  </si>
  <si>
    <t xml:space="preserve">    HIDQ1_title.val = HIDQ1_title.r3.index</t>
  </si>
  <si>
    <t xml:space="preserve">    HIDQ1_title.val = HIDQ1_title.r5.index</t>
  </si>
  <si>
    <t xml:space="preserve">    &lt;row label="r1"&gt;Overall, how satisfied are you with your employer-based health insurance coverage?&lt;/row&gt;</t>
  </si>
  <si>
    <t xml:space="preserve">    &lt;row label="r2"&gt;Overall, how satisfied are you with your Medicare Advantage coverage?&lt;/row&gt;</t>
  </si>
  <si>
    <t xml:space="preserve">    &lt;row label="r3"&gt;Overall, how satisfied are you with Medicare coverage?&lt;/row&gt;</t>
  </si>
  <si>
    <t xml:space="preserve">    &lt;row label="r4"&gt;From what you know or have heard, how satisfied do you think they are with their Medicare Advantage coverage plan?&lt;/row&gt;</t>
  </si>
  <si>
    <t xml:space="preserve">    &lt;row label="r5"&gt;Overall, how satisfied are you with your current health plan?&lt;/row&gt;</t>
  </si>
  <si>
    <t xml:space="preserve">   label="QINS_SAT_XX"&gt;</t>
  </si>
  <si>
    <t xml:space="preserve">    &lt;title&gt;&lt;span class="ques_no"&gt;${this.label}&lt;/span&gt; [pipe: HIDQ1_title]&lt;/title&gt;</t>
  </si>
  <si>
    <t xml:space="preserve">    &lt;row label="r1" value="1"&gt;Very UNSATISFIED&lt;/row&gt;</t>
  </si>
  <si>
    <t xml:space="preserve">    &lt;row label="r2" value="2"&gt;Somewhat unsatisfied&lt;/row&gt;</t>
  </si>
  <si>
    <t xml:space="preserve">    &lt;row label="r3" value="3"&gt;Neither satisfied nor unsatisfied&lt;/row&gt;</t>
  </si>
  <si>
    <t xml:space="preserve">    &lt;row label="r4" value="4"&gt;Somewhat satisfied&lt;/row&gt;</t>
  </si>
  <si>
    <t xml:space="preserve">    &lt;row label="r5" value="5"&gt;Very SATISFIED&lt;/row&gt;</t>
  </si>
  <si>
    <t xml:space="preserve">   label="XQREASON_UNSAT"</t>
  </si>
  <si>
    <t xml:space="preserve">   cond="QINS_SAT_XX.r1 or QINS_SAT_XX.r2"</t>
  </si>
  <si>
    <t xml:space="preserve">    &lt;title&gt;QREASON_UNSAT: Hidden&lt;/title&gt;</t>
  </si>
  <si>
    <t xml:space="preserve">    XQREASON_UNSAT.val = XQREASON_UNSAT.r1.index</t>
  </si>
  <si>
    <t xml:space="preserve">    XQREASON_UNSAT.val = XQREASON_UNSAT.r2.index</t>
  </si>
  <si>
    <t xml:space="preserve">    &lt;row label="r1"&gt;What is the main reason your relative/friend is unsatisfied—from what you know?&lt;/row&gt;</t>
  </si>
  <si>
    <t xml:space="preserve">    &lt;row label="r2"&gt;What is the main reason you are unsatisfied?&lt;/row&gt;</t>
  </si>
  <si>
    <t xml:space="preserve">   label="QREASON_UNSAT"</t>
  </si>
  <si>
    <t xml:space="preserve">    &lt;title&gt;&lt;span class="ques_no"&gt;${this.label}&lt;/span&gt; [pipe: XQREASON_UNSAT]&lt;/title&gt;</t>
  </si>
  <si>
    <t>Prompt3(QREASON_UNSAT)</t>
  </si>
  <si>
    <t xml:space="preserve">    &lt;row label="r1" value="1"&gt;Unable to afford the out-of-pocket costs (deductibles, co-pays, etc.)&lt;/row&gt;</t>
  </si>
  <si>
    <t xml:space="preserve">    &lt;row label="r2" value="2"&gt;Complexity and lack of transparency&lt;/row&gt;</t>
  </si>
  <si>
    <t xml:space="preserve">    &lt;row label="r3" value="3"&gt;Unable to get the approvals for the care or medicines needed&lt;/row&gt;</t>
  </si>
  <si>
    <t xml:space="preserve">    &lt;row label="r4" value="4"&gt;Unable to find preferred health care providers that accept the insurance&lt;/row&gt;</t>
  </si>
  <si>
    <t xml:space="preserve">    &lt;row label="r5" value="5"&gt;Unable to get to health care provider when or where needed&lt;/row&gt;</t>
  </si>
  <si>
    <t xml:space="preserve">    &lt;row label="r6" value="6"&gt;Premiums are too high&lt;/row&gt;</t>
  </si>
  <si>
    <t xml:space="preserve">    &lt;row label="r7" value="7"&gt;Out-of-pocket costs (deductibles, co-pays, etc.) are too unpredictable to manage&lt;/row&gt;</t>
  </si>
  <si>
    <t xml:space="preserve">    &lt;row label="r8" value="8"&gt;Too many hoops to jump through to get care&lt;/row&gt;</t>
  </si>
  <si>
    <t xml:space="preserve">    &lt;row label="r9" value="9"&gt;I don’t trust the health insurance company&lt;/row&gt;</t>
  </si>
  <si>
    <t xml:space="preserve">    &lt;row label="r10" open="1" openSize="25" randomize="0" value="10"&gt;Had a bad experience (Please describe:)&lt;/row&gt;</t>
  </si>
  <si>
    <t xml:space="preserve">    &lt;row label="r88" open="1" openSize="25" randomize="0" value="88"&gt;Other reason&lt;/row&gt;</t>
  </si>
  <si>
    <t xml:space="preserve">    &lt;row label="r99" cond="0" randomize="0" value="99"&gt;No Response&lt;/row&gt;</t>
  </si>
  <si>
    <t xml:space="preserve">  &lt;exec cond="QINS_SAT_XX.r1 or QINS_SAT_XX.r2"&gt;</t>
  </si>
  <si>
    <t>Punch3(QREASON_UNSAT)</t>
  </si>
  <si>
    <t xml:space="preserve">  &lt;quota label="ranQuota5" overquota="noqual" sheet="random Quota5"/&gt;</t>
  </si>
  <si>
    <t xml:space="preserve"> if hasMarker("/random Quota5/split5_{}".format(x+1)):</t>
  </si>
  <si>
    <t xml:space="preserve">    XRANDOM5.val=x</t>
  </si>
  <si>
    <t xml:space="preserve">   label="XRANDOM5"</t>
  </si>
  <si>
    <t xml:space="preserve">    &lt;row label="r1"&gt;INS_EXPA&lt;/row&gt;</t>
  </si>
  <si>
    <t xml:space="preserve">    &lt;row label="r2"&gt;INS_EXPB&lt;/row&gt;</t>
  </si>
  <si>
    <t xml:space="preserve">  &lt;block label="INS_EXP" builder:title="New Block" randomizeChildren="1"&gt;</t>
  </si>
  <si>
    <t xml:space="preserve">    &lt;radio </t>
  </si>
  <si>
    <t xml:space="preserve">    label="INS_EXPA"</t>
  </si>
  <si>
    <t xml:space="preserve">    cond="XRANDOM5.r1"</t>
  </si>
  <si>
    <t xml:space="preserve">    shuffle="rows"&gt;</t>
  </si>
  <si>
    <t xml:space="preserve">      &lt;title&gt;&lt;span class="ques_no"&gt;INS_EXPA&lt;/span&gt; Has any of the following happened to you over the past year? (Select all that apply)&lt;br /&gt;&lt;br /&gt; NOTE: “treatment” refers to any medical test, diagnostic, procedure, therapy, or medicine prescribed or recommended by a doctor or other medical professional.&lt;/title&gt;</t>
  </si>
  <si>
    <t xml:space="preserve">      &lt;row label="r1"&gt;My health plan denied treatment recommended by a doctor&lt;/row&gt;</t>
  </si>
  <si>
    <t xml:space="preserve">      &lt;row label="r2"&gt;I couldn’t afford the out-of-pocket costs of a treatment prescribed by a doctor&lt;/row&gt;</t>
  </si>
  <si>
    <t xml:space="preserve">      &lt;row label="r3"&gt;I was unable to get the information I needed from my health plan&lt;/row&gt;</t>
  </si>
  <si>
    <t xml:space="preserve">      &lt;row label="r4"&gt;I was unable to get care from my preferred provider or facility because they were out of network&lt;/row&gt;</t>
  </si>
  <si>
    <t xml:space="preserve">      &lt;row label="r5"&gt;I often skip care because it is too difficult to access in-network providers and facilities where I live&lt;/row&gt;</t>
  </si>
  <si>
    <t xml:space="preserve">      &lt;row label="r6"&gt;Dealing with the paperwork and red tape is so stressful that I avoid using my health coverage&lt;/row&gt;</t>
  </si>
  <si>
    <t xml:space="preserve">      &lt;row label="r7"&gt;I had to wait for my health plan to provide &lt;strong style="color:#4472C4;"&gt;&lt;u&gt;prior authorization&lt;/u&gt;&lt;/strong&gt; for a medicine, test, or treatment my doctor prescribed&lt;/row&gt;</t>
  </si>
  <si>
    <t xml:space="preserve">      &lt;row label="r8"&gt;I received a “surprise” bill for unexpected costs associated with a treatment&lt;/row&gt;</t>
  </si>
  <si>
    <t xml:space="preserve">      &lt;row label="r9"&gt;I had to appeal a decision made by my health plan&lt;/row&gt;</t>
  </si>
  <si>
    <t xml:space="preserve">      &lt;row label="r10"&gt;I went into medical debt to pay for medical expenses not covered by my health plan&lt;/row&gt;</t>
  </si>
  <si>
    <t xml:space="preserve">      &lt;col label="c1" value="1"&gt;Yes&lt;/col&gt;</t>
  </si>
  <si>
    <t xml:space="preserve">      &lt;col label="c0" value="0"&gt;No&lt;/col&gt;</t>
  </si>
  <si>
    <t xml:space="preserve">    &lt;/radio&gt;</t>
  </si>
  <si>
    <t xml:space="preserve">    &lt;suspend/&gt;</t>
  </si>
  <si>
    <t xml:space="preserve">    label="INS_EXPB"</t>
  </si>
  <si>
    <t xml:space="preserve">    cond="XRANDOM5.r2"</t>
  </si>
  <si>
    <t xml:space="preserve">      &lt;title&gt;&lt;span class="ques_no"&gt;INS_EXPB&lt;/span&gt; Has any of the following happened to you over the past year? (Select all that apply)&lt;br /&gt;&lt;br /&gt; NOTE: “treatment” refers to any medical test, diagnostic, procedure, therapy, or medicine prescribed or recommended by a doctor or other medical professional.&lt;/title&gt;</t>
  </si>
  <si>
    <t xml:space="preserve">      &lt;row label="r1"&gt;My health plan covered a major expense that I expected to pay more for&lt;/row&gt;</t>
  </si>
  <si>
    <t xml:space="preserve">      &lt;row label="r2"&gt;I was able to get an appointment with my preferred doctor without difficulty&lt;/row&gt;</t>
  </si>
  <si>
    <t xml:space="preserve">      &lt;row label="r3"&gt;My plan approved a treatment or prescription quickly&lt;/row&gt;</t>
  </si>
  <si>
    <t xml:space="preserve">      &lt;row label="r4"&gt;My plan’s customer service resolved a question or problem easily&lt;/row&gt;</t>
  </si>
  <si>
    <t xml:space="preserve">      &lt;row label="r5"&gt;My plan helped coordinate my care or referrals&lt;/row&gt;</t>
  </si>
  <si>
    <t xml:space="preserve">      &lt;row label="r6"&gt;I was able to access preventive services (checkups, screenings, vaccines) at no cost&lt;/row&gt;</t>
  </si>
  <si>
    <t xml:space="preserve">      &lt;row label="r7"&gt;I used additional plan benefits (vision, dental, wellness programs) and found them valuable&lt;/row&gt;</t>
  </si>
  <si>
    <t xml:space="preserve">      &lt;row label="r8"&gt;I felt confident that my plan protected me from unexpected medical bills&lt;/row&gt;</t>
  </si>
  <si>
    <t>&lt;block label="GLP_BLOCK" cond="XRANDOMPICK.r3" builder:title="GLP Block"&gt;</t>
  </si>
  <si>
    <t xml:space="preserve">   label="GLP_QELECTED"</t>
  </si>
  <si>
    <t xml:space="preserve">   builderHint="{&amp;quot;rocochoName&amp;quot;:&amp;quot;radiogrid&amp;quot;}"</t>
  </si>
  <si>
    <t xml:space="preserve">    &lt;title&gt;Have you ever done any of the following?&lt;/title&gt;</t>
  </si>
  <si>
    <t xml:space="preserve">    &lt;col label="c1" value="1"&gt;Yes&lt;/col&gt;</t>
  </si>
  <si>
    <t xml:space="preserve">    &lt;col label="c0" value="0"&gt;No&lt;/col&gt;</t>
  </si>
  <si>
    <t xml:space="preserve">    &lt;row label="r1"&gt;Held elected office&lt;/row&gt;</t>
  </si>
  <si>
    <t xml:space="preserve">    &lt;row label="r2"&gt;Been a paid staffer or advisor to an elected official or gov’t agency&lt;/row&gt;</t>
  </si>
  <si>
    <t xml:space="preserve">    &lt;row label="r3"&gt;Held an elected or appointed role in a party committee&lt;/row&gt;</t>
  </si>
  <si>
    <t xml:space="preserve">    &lt;row label="r4"&gt;Met (in person or video) with congressional, agency, or state legislative staff about health policy&lt;/row&gt;</t>
  </si>
  <si>
    <t xml:space="preserve">    &lt;row label="r5"&gt;Sat on the board or executive committee of any health, policy, or business association&lt;/row&gt;</t>
  </si>
  <si>
    <t xml:space="preserve">    &lt;row label="r6"&gt;Worked with or advised a Washington-based health organization (think tank, patient advocacy group, trade association)&lt;/row&gt;</t>
  </si>
  <si>
    <t xml:space="preserve">    &lt;row label="r7"&gt;Testified or submitted written comments to a state or federal committee on a health bill&lt;/row&gt;</t>
  </si>
  <si>
    <t xml:space="preserve">    &lt;row label="r8"&gt;Been appointed to a state party committee, including rules or platform committee&lt;/row&gt;</t>
  </si>
  <si>
    <t xml:space="preserve">    &lt;row label="r9"&gt;Helped recruit a candidate to run for public office&lt;/row&gt;</t>
  </si>
  <si>
    <t xml:space="preserve">    &lt;row label="r10"&gt;Helped recruit staff for a political campaign, office of an elected official, or any other political appointee&lt;/row&gt;</t>
  </si>
  <si>
    <t xml:space="preserve">    &lt;row label="r11"&gt;Raised or bundled political donations (&amp;amp;gt;$5k total)&lt;/row&gt;</t>
  </si>
  <si>
    <t xml:space="preserve">    &lt;row label="r12"&gt;Volunteered on a political campaign&lt;/row&gt;</t>
  </si>
  <si>
    <t xml:space="preserve">    &lt;row label="r13"&gt;Organized a rally/petition on any issue&lt;/row&gt;</t>
  </si>
  <si>
    <t xml:space="preserve">    &lt;row label="r14"&gt;Donated money to a health policy PAC, ballot measure, lawsuit, or campaign&lt;/row&gt;</t>
  </si>
  <si>
    <t xml:space="preserve">    &lt;row label="r15"&gt;Contacted an elected official or their staff about a health policy bill or regulation&lt;/row&gt;</t>
  </si>
  <si>
    <t xml:space="preserve">    &lt;row label="r16"&gt;Spoke at a public meeting, podcast, webinar, church or civic group on a health topic&lt;/row&gt;</t>
  </si>
  <si>
    <t xml:space="preserve">    &lt;row label="r17"&gt;Shared links or memes on health topics regularly&lt;/row&gt;</t>
  </si>
  <si>
    <t xml:space="preserve">    &lt;row label="r18"&gt;Posted original commentary or threads on social media regularly&lt;/row&gt;</t>
  </si>
  <si>
    <t xml:space="preserve">    &lt;row label="r19"&gt;Wrote an article, blog post, Substack, or op-ed on a health issue&lt;/row&gt;</t>
  </si>
  <si>
    <t xml:space="preserve">   label="GLP_QTOT_FOLLOWERS"</t>
  </si>
  <si>
    <t>Prompt(GLP_QTOT_FOLLOWERS)</t>
  </si>
  <si>
    <t>Punch3(GLP_QTOT_FOLLOWERS)</t>
  </si>
  <si>
    <t xml:space="preserve">  &lt;html label="cm1" where="survey"&gt;Thank you. Now, let's explore your views on medications called "&lt;strong&gt;GLP-1s&lt;/strong&gt;" that are often used to treat obesity and other health conditions.&amp;amp;nbsp; Let's dive in!&lt;/html&gt;</t>
  </si>
  <si>
    <t xml:space="preserve">   label="QGLP1_AWARE"&gt;</t>
  </si>
  <si>
    <t xml:space="preserve">    &lt;title&gt;&lt;span class="ques_no"&gt;${this.label}. &lt;/span&gt;&lt;strong&gt;How familiar are you with medications often called “GLP-1s,”&lt;/strong&gt; including brands like Ozempic, Wegovy, Mounjaro, or Zepbound, which are used for weight loss and other health conditions?&lt;/title&gt;</t>
  </si>
  <si>
    <t xml:space="preserve">    &lt;row label="r0" value="0"&gt;&lt;span style="font-size: 10pt;"&gt;I have never heard of these medications&lt;/span&gt;&lt;/row&gt;</t>
  </si>
  <si>
    <t xml:space="preserve">    &lt;row label="r1" value="1"&gt;&lt;span style="font-size: 10pt;"&gt;I’ve heard of them, but don’t know much about them&lt;/span&gt;&lt;/row&gt;</t>
  </si>
  <si>
    <t xml:space="preserve">    &lt;row label="r2" value="2"&gt;&lt;span style="font-size: 10pt;"&gt;I know a bit about them, but no one I know has used them&lt;/span&gt;&lt;/row&gt;</t>
  </si>
  <si>
    <t xml:space="preserve">    &lt;row label="r3" value="3"&gt;&lt;span style="font-size: 10pt;"&gt;Someone close to me (family or friend) has used one of these medications&lt;/span&gt;&lt;/row&gt;</t>
  </si>
  <si>
    <t xml:space="preserve">    &lt;row label="r4" value="4"&gt;&lt;span style="font-size: 10pt;"&gt;I am currently using or have personally used one of these medications&lt;/span&gt;&lt;/row&gt;</t>
  </si>
  <si>
    <t xml:space="preserve">   label="QEFFICACY"</t>
  </si>
  <si>
    <t xml:space="preserve">   atm1d:large_buttonAlign="center"</t>
  </si>
  <si>
    <t xml:space="preserve">   atm1d:numCols="6"</t>
  </si>
  <si>
    <t xml:space="preserve">   atm1d:small_buttonAlign="center"</t>
  </si>
  <si>
    <t xml:space="preserve">   atm1d:viewMode="tiled"</t>
  </si>
  <si>
    <t xml:space="preserve">   ss:listDisplay="1"</t>
  </si>
  <si>
    <t xml:space="preserve">   uses="atm1d.11"</t>
  </si>
  <si>
    <t xml:space="preserve">    &lt;title&gt;&lt;span class="ques_no"&gt;${this.label}. &lt;/span&gt;&lt;strong&gt;How effective do you believe GLP-1 medications are&lt;/strong&gt; for weight loss or improving health?&lt;/title&gt;</t>
  </si>
  <si>
    <t xml:space="preserve">    &lt;row label="r1" value="1"&gt;&lt;strong&gt;Not at all&lt;/strong&gt;&lt;br /&gt;effective&lt;/row&gt;</t>
  </si>
  <si>
    <t xml:space="preserve">    &lt;row label="r2" value="2"&gt;Slightly&lt;br /&gt;effective&lt;/row&gt;</t>
  </si>
  <si>
    <t xml:space="preserve">    &lt;row label="r3" value="3"&gt;Moderately&lt;br /&gt;effective&lt;/row&gt;</t>
  </si>
  <si>
    <t xml:space="preserve">    &lt;row label="r4" value="4"&gt;Very&lt;br /&gt;effective&lt;/row&gt;</t>
  </si>
  <si>
    <t xml:space="preserve">    &lt;row label="r5" value="5"&gt;&lt;strong&gt;Extremely&lt;/strong&gt;&lt;br /&gt;effective&lt;/row&gt;</t>
  </si>
  <si>
    <t xml:space="preserve">    &lt;row label="r9" value="9"&gt;&lt;em&gt;Not&lt;br /&gt;sure&lt;/em&gt;&lt;/row&gt;</t>
  </si>
  <si>
    <t xml:space="preserve">   label="QSAFETY"</t>
  </si>
  <si>
    <t xml:space="preserve">    &lt;title&gt;&lt;span class="ques_no"&gt;${this.label}. &lt;/span&gt;&lt;strong&gt;How safe do you believe FDA-approved GLP-1 medications&lt;/strong&gt; (such as Ozempic, Wegovy, Mounjaro, or Zepbound) are when prescribed and used as directed?&lt;/title&gt;</t>
  </si>
  <si>
    <t xml:space="preserve">    &lt;row label="r1" value="1"&gt;Very&lt;br /&gt;&lt;strong&gt;&lt;u&gt;UN&lt;/u&gt;SAFE&lt;/strong&gt;&lt;/row&gt;</t>
  </si>
  <si>
    <t xml:space="preserve">    &lt;row label="r2" value="2"&gt;Somewhat&lt;br /&gt;unsafe&lt;/row&gt;</t>
  </si>
  <si>
    <t xml:space="preserve">    &lt;row label="r3" value="3"&gt;Neither or&lt;br /&gt;Neutral&lt;/row&gt;</t>
  </si>
  <si>
    <t xml:space="preserve">    &lt;row label="r4" value="4"&gt;Somewhat&lt;br /&gt;safe&lt;/row&gt;</t>
  </si>
  <si>
    <t xml:space="preserve">    &lt;row label="r5" value="5"&gt;Very&lt;br /&gt;&lt;strong&gt;SAFE&lt;/strong&gt;&lt;/row&gt;</t>
  </si>
  <si>
    <t xml:space="preserve">    &lt;row label="r9" value="9"&gt;&lt;em&gt;Not &lt;/em&gt;&lt;br /&gt;&lt;em&gt;sure&lt;/em&gt;&lt;/row&gt;</t>
  </si>
  <si>
    <t xml:space="preserve">   label="QGENERIC"&gt;</t>
  </si>
  <si>
    <t xml:space="preserve">    &lt;title&gt;&lt;span class="ques_no"&gt;${this.label}. &lt;/span&gt;To the best of your knowledge, do &lt;strong&gt;FDA-approved generic versions&lt;/strong&gt; of Ozempic, Wegovy, Mounjaro, or similar GLP-1 drugs currently exist?&lt;/title&gt;</t>
  </si>
  <si>
    <t xml:space="preserve">    &lt;row label="r1" value="1"&gt;Yes, generic versions exist&lt;/row&gt;</t>
  </si>
  <si>
    <t xml:space="preserve">    &lt;row label="r2" value="2"&gt;No, generic versions do NOT exist&lt;/row&gt;</t>
  </si>
  <si>
    <t xml:space="preserve">    &lt;row label="r9" value="9"&gt;Not sure&lt;/row&gt;</t>
  </si>
  <si>
    <t xml:space="preserve">   label="QGLP1_INFOSOURCE"</t>
  </si>
  <si>
    <t xml:space="preserve">    &lt;title&gt;&lt;span class="ques_no"&gt;${this.label}. &lt;/span&gt;&lt;strong&gt;Where have you heard about GLP-1 medications?&lt;/strong&gt;&lt;/title&gt;</t>
  </si>
  <si>
    <t xml:space="preserve">    &lt;comment&gt;&lt;em&gt;Please select all that apply.&lt;/em&gt;&lt;/comment&gt;</t>
  </si>
  <si>
    <t xml:space="preserve">    &lt;row label="r1"&gt;&lt;strong&gt;A doctor or other clinician&lt;/strong&gt;&lt;/row&gt;</t>
  </si>
  <si>
    <t xml:space="preserve">    &lt;row label="r2"&gt;&lt;strong&gt;A pharmacist&lt;/strong&gt;&lt;/row&gt;</t>
  </si>
  <si>
    <t xml:space="preserve">    &lt;row label="r3"&gt;&lt;strong&gt;A friend or family member&lt;/strong&gt;&lt;/row&gt;</t>
  </si>
  <si>
    <t xml:space="preserve">    &lt;row label="r4"&gt;&lt;strong&gt;Social media &lt;/strong&gt;(TikTok, Instagram, Facebook, YouTube)&lt;/row&gt;</t>
  </si>
  <si>
    <t xml:space="preserve">    &lt;row label="r5"&gt;&lt;strong&gt;Online health or weight-loss forums&lt;/strong&gt;&lt;/row&gt;</t>
  </si>
  <si>
    <t xml:space="preserve">    &lt;row label="r6"&gt;&lt;strong&gt;Television news or newspaper articles&lt;/strong&gt;&lt;/row&gt;</t>
  </si>
  <si>
    <t xml:space="preserve">    &lt;row label="r7"&gt;&lt;strong&gt;Advertisements or promotions&lt;/strong&gt;&lt;/row&gt;</t>
  </si>
  <si>
    <t xml:space="preserve">    &lt;row label="r8"&gt;&lt;strong&gt;Telehealth companies &lt;/strong&gt;(Hims/Hers, Ro, etc.)&lt;/row&gt;</t>
  </si>
  <si>
    <t xml:space="preserve">    &lt;row label="r9" open="1" openSize="25"&gt;&lt;strong&gt;Other&lt;/strong&gt;&lt;/row&gt;</t>
  </si>
  <si>
    <t xml:space="preserve">    &lt;row label="r99" exclusive="1"&gt;&lt;strong&gt;I have not heard about them before today&lt;/strong&gt;&lt;/row&gt;</t>
  </si>
  <si>
    <t xml:space="preserve">   label="QINTEREST"</t>
  </si>
  <si>
    <t xml:space="preserve">    &lt;title&gt;&lt;span class="ques_no"&gt;${this.label}. &lt;/span&gt;&lt;strong&gt;How interested, if at all, would you be in using a GLP-1 medication&lt;/strong&gt; for weight loss or health reasons if cost and access were not barriers?&lt;/title&gt;</t>
  </si>
  <si>
    <t xml:space="preserve">    &lt;row label="r1" value="1"&gt;&lt;strong&gt;Not at all&lt;/strong&gt;&lt;br /&gt;interested&lt;/row&gt;</t>
  </si>
  <si>
    <t xml:space="preserve">    &lt;row label="r2" value="2"&gt;Slightly&lt;br /&gt;interested&lt;/row&gt;</t>
  </si>
  <si>
    <t xml:space="preserve">    &lt;row label="r3" value="3"&gt;Moderately&lt;br /&gt;interested&lt;/row&gt;</t>
  </si>
  <si>
    <t xml:space="preserve">    &lt;row label="r4" value="4"&gt;Very&lt;br /&gt;interested&lt;/row&gt;</t>
  </si>
  <si>
    <t xml:space="preserve">    &lt;row label="r5" value="5"&gt;&lt;strong&gt;Extremely&lt;/strong&gt;&lt;br /&gt;interested&lt;/row&gt;</t>
  </si>
  <si>
    <t xml:space="preserve">    &lt;row label="r9" value="9"&gt;&lt;em&gt;Not&lt;/em&gt;&lt;br /&gt;&lt;em&gt;sure&lt;/em&gt;&lt;/row&gt;</t>
  </si>
  <si>
    <t xml:space="preserve">   label="QCOMP_AWARE"</t>
  </si>
  <si>
    <t xml:space="preserve">    &lt;title&gt;&lt;span class="ques_no"&gt;${this.label}. &lt;/span&gt;&lt;strong&gt;How much have you heard of the practice where online pharmacies or compounding facilities make unapproved versions of brand-name, FDA-approved medications (e.g., GLP-1 drugs)? This practice is called compounding, or "mass compounding" when produced at scale rather than for an individual patient.&lt;/strong&gt;&lt;/title&gt;</t>
  </si>
  <si>
    <t>Prompt3(QCOMP_AWARE)</t>
  </si>
  <si>
    <t xml:space="preserve">    &lt;row label="r3" value="3"&gt;A great deal&lt;/row&gt;</t>
  </si>
  <si>
    <t xml:space="preserve">    &lt;row label="r2" value="2"&gt;Some&lt;/row&gt;</t>
  </si>
  <si>
    <t xml:space="preserve">    &lt;row label="r1" value="1"&gt;Only a little&lt;/row&gt;</t>
  </si>
  <si>
    <t xml:space="preserve">    &lt;row label="r0" value="0"&gt;Never heard before&lt;/row&gt;</t>
  </si>
  <si>
    <t xml:space="preserve">    &lt;row label="r99" cond="0" value="99"&gt;SYSMISS&lt;/row&gt;</t>
  </si>
  <si>
    <t>Punch3(QCOMP_AWARE)</t>
  </si>
  <si>
    <t xml:space="preserve">  &lt;quota label="GLP_random_Quota" overquota="noqual" sheet="GLP random Quota"/&gt;</t>
  </si>
  <si>
    <t xml:space="preserve">   label="XGLP"</t>
  </si>
  <si>
    <t xml:space="preserve"> if hasMarker("/GLP random Quota/c2_{}".format(x+1)):</t>
  </si>
  <si>
    <t xml:space="preserve">    XGLP.val=x</t>
  </si>
  <si>
    <t xml:space="preserve">    &lt;row label="r1"&gt;GLP_PRE&lt;/row&gt;</t>
  </si>
  <si>
    <t xml:space="preserve">    &lt;row label="r2"&gt;GLP_POST&lt;/row&gt;</t>
  </si>
  <si>
    <t xml:space="preserve">  &lt;block label="GLP_b4" builder:title="New Block"&gt;</t>
  </si>
  <si>
    <t xml:space="preserve">    &lt;block label="GLP_b1" builder:title="Block A"&gt;</t>
  </si>
  <si>
    <t xml:space="preserve">     label="QCRITIC_PRE"</t>
  </si>
  <si>
    <t xml:space="preserve">     cond="XGLP.r1"</t>
  </si>
  <si>
    <t xml:space="preserve">        &lt;title&gt;&lt;span class="ques_no"&gt;${this.label}. &lt;/span&gt;Here are some things mass compounders are saying about their GLP-1s. For each statement, indicate how much you agree or disagree…&lt;br /&gt;&lt;/title&gt;</t>
  </si>
  <si>
    <t xml:space="preserve">        &lt;row label="r1"&gt;&lt;span style="font-size: 12pt;"&gt;&lt;strong&gt;Compounded GLP-1s provide a cheaper, more accessible product to people who can’t afford brand name GLP-1s&lt;/strong&gt;&lt;/span&gt;&lt;/row&gt;</t>
  </si>
  <si>
    <t xml:space="preserve">        &lt;row label="r2"&gt;&lt;span style="font-size: 12pt;"&gt;&lt;strong&gt;The pharmaceutical industry making brand name GLP-1s puts profits over patients, limiting Americans’ access to approved medicines&lt;/strong&gt;&lt;/span&gt;&lt;/row&gt;</t>
  </si>
  <si>
    <t xml:space="preserve">        &lt;row label="r3"&gt;&lt;span style="font-size: 12pt;"&gt;&lt;strong&gt;Compounded GLP-1s are working for millions of patients&lt;/strong&gt;&lt;/span&gt;&lt;/row&gt;</t>
  </si>
  <si>
    <t xml:space="preserve">        &lt;row label="r4"&gt;&lt;span style="font-size: 12pt;"&gt;&lt;strong&gt;Compounders use the same ingredients as brand name GLP-1s&lt;/strong&gt;&lt;/span&gt;&lt;/row&gt;</t>
  </si>
  <si>
    <t xml:space="preserve">        &lt;row label="r5"&gt;&lt;span style="font-size: 12pt;"&gt;&lt;strong&gt;Compounders provide consumer-friendly websites with supportive services that provide a better user experience&lt;/strong&gt;&lt;/span&gt;&lt;/row&gt;</t>
  </si>
  <si>
    <t xml:space="preserve">        &lt;row label="r6"&gt;&lt;span style="font-size: 12pt;"&gt;&lt;strong&gt;Compounded GLP-1s are safe according to state regulations&lt;/strong&gt;&lt;/span&gt;&lt;/row&gt;</t>
  </si>
  <si>
    <t xml:space="preserve">        &lt;row label="r7"&gt;&lt;span style="font-size: 12pt;"&gt;&lt;strong&gt;Compounders personalize their GLP-1 treatments to meet patients’ needs&lt;/strong&gt;&lt;/span&gt;&lt;/row&gt;</t>
  </si>
  <si>
    <t xml:space="preserve">        &lt;col label="c4" value="4"&gt;Neutral or&lt;br /&gt;Unsure&lt;/col&gt;</t>
  </si>
  <si>
    <t xml:space="preserve">     label="QPRE"</t>
  </si>
  <si>
    <t xml:space="preserve">        &lt;title&gt;&lt;span class="ques_no"&gt;${this.label}. &lt;/span&gt;How much do you agree or disagree with each of the following statements?&lt;br /&gt;&lt;/title&gt;</t>
  </si>
  <si>
    <t xml:space="preserve">        &lt;row label="r1"&gt;&lt;span style="font-size: 12pt;"&gt;&lt;strong&gt;Compounded drugs are just as safe as brand name medicines.&lt;/strong&gt;&lt;/span&gt;&lt;/row&gt;</t>
  </si>
  <si>
    <t xml:space="preserve">        &lt;row label="r2"&gt;&lt;span style="font-size: 12pt;"&gt;&lt;strong&gt;The safety risks of taking a compounded GLP-1s aren’t worth the potential cost savings&lt;/strong&gt;&lt;/span&gt;&lt;/row&gt;</t>
  </si>
  <si>
    <t xml:space="preserve">        &lt;row label="r3"&gt;&lt;span style="font-size: 12pt;"&gt;&lt;strong&gt;The FDA needs to protect patients by increasing enforcement against illegally compounded GLP-1 drugs&lt;/strong&gt;&lt;/span&gt;&lt;/row&gt;</t>
  </si>
  <si>
    <t xml:space="preserve">        &lt;row label="r4"&gt;&lt;span style="font-size: 12pt;"&gt;&lt;strong&gt;Congress should take action to ensure FDA enforces the law against illegal compounded GLP-1 drugs, preventing compounders from selling untested and potentially dangerous drugs&lt;/strong&gt;&lt;/span&gt;&lt;/row&gt;</t>
  </si>
  <si>
    <t xml:space="preserve">    &lt;block label="GLP_b2" builder:title="Block Maxdiff"&gt;</t>
  </si>
  <si>
    <t xml:space="preserve">      &lt;quota label="quota_CRITIC1" overquota="noqual" sheet="CRITIC1 Random Quota"/&gt;</t>
  </si>
  <si>
    <t xml:space="preserve">      &lt;quota label="quota1_CRITIC1" overquota="noqual" sheet="CRITIC1 Random Quota1"/&gt;</t>
  </si>
  <si>
    <t xml:space="preserve">     label="XCRITIC1_1"</t>
  </si>
  <si>
    <t xml:space="preserve">     where="execute,survey,report"&gt;</t>
  </si>
  <si>
    <t xml:space="preserve">        &lt;title&gt;Hidden: CRITIC1 Row-11&lt;/title&gt;</t>
  </si>
  <si>
    <t>for x in xrange(2):</t>
  </si>
  <si>
    <t xml:space="preserve"> if hasMarker('/*/CRITIC_{}'.format(x+1)):</t>
  </si>
  <si>
    <t xml:space="preserve">  XCRITIC1_1.val = x</t>
  </si>
  <si>
    <t xml:space="preserve">        &lt;row label="r1"&gt;Many compounded GLP-1s are made with ingredients from unregistered foreign suppliers, which lack inspections, purity testing, or sterility verification.&lt;/row&gt;</t>
  </si>
  <si>
    <t xml:space="preserve">        &lt;row label="r2"&gt;Many compounded GLP-1s are made with ingredients from unregistered Chinese suppliers, which lack inspections, purity testing, or sterility verification.&lt;/row&gt;</t>
  </si>
  <si>
    <t xml:space="preserve">     label="XCRITIC1_2"</t>
  </si>
  <si>
    <t xml:space="preserve">        &lt;title&gt;Hidden: CRITIC1 Row-12&lt;/title&gt;</t>
  </si>
  <si>
    <t xml:space="preserve"> if hasMarker('/*/CRITIC1_{}'.format(x+1)):</t>
  </si>
  <si>
    <t xml:space="preserve">  XCRITIC1_2.val = x</t>
  </si>
  <si>
    <t xml:space="preserve">        &lt;row label="r1"&gt;Some compounders are illegally importing ingredients for their products and deceiving inspectors — putting patients at risk.&lt;/row&gt;</t>
  </si>
  <si>
    <t xml:space="preserve">        &lt;row label="r2"&gt;Some compounders are illegally importing ingredients for their products and deceiving inspectors — putting patients and national security at risk.&lt;/row&gt;</t>
  </si>
  <si>
    <t xml:space="preserve">      &lt;note&gt;MaxDiff Indices Template --Start--&lt;/note&gt;</t>
  </si>
  <si>
    <t xml:space="preserve">      &lt;exec sst="0" when="init"&gt;</t>
  </si>
  <si>
    <t>CRITIC1_md = setupMaxDiffFile("GLP_Design.dat")</t>
  </si>
  <si>
    <t xml:space="preserve">      &lt;html label="Maxdiff_Intro2" where="survey"&gt;&lt;p&gt;&lt;strong&gt;You’ll see a series of short statements expressing different points of view. Each statement reflects a point of view about mass compounding and GLP-1s. For each set, please choose the one statement you find MOST compelling and the one statement you find LEAST compelling.&amp;amp;nbsp;&lt;br /&gt;&lt;br /&gt;&lt;/strong&gt;&lt;/p&gt;</t>
  </si>
  <si>
    <t>&lt;p&gt;&lt;strong&gt;Some statements may appear again later. That’s intentional—it helps us understand how people think about ideas in various contexts. There are no right or wrong answers. Simply go with your first reaction each time.&lt;/strong&gt;&lt;/p&gt;</t>
  </si>
  <si>
    <t>&lt;p&gt;&amp;amp;nbsp;&lt;/p&gt;&lt;/html&gt;</t>
  </si>
  <si>
    <t xml:space="preserve">     label="CRITIC1_Version"</t>
  </si>
  <si>
    <t xml:space="preserve">     verify="range(1,10)"</t>
  </si>
  <si>
    <t xml:space="preserve">        &lt;title&gt;Q24 - MaxDiff Version&lt;/title&gt;</t>
  </si>
  <si>
    <t>CRITIC1_Version.val = 1</t>
  </si>
  <si>
    <t xml:space="preserve">      &lt;loop label="CRITIC1_md_loop" vars="task"&gt;</t>
  </si>
  <si>
    <t xml:space="preserve">        &lt;title&gt;CRITIC1 - MaxDiff Loop&lt;/title&gt;</t>
  </si>
  <si>
    <t xml:space="preserve">        &lt;block label="CRITIC1_md_block" randomize="1"&gt;</t>
  </si>
  <si>
    <t xml:space="preserve">          &lt;radio </t>
  </si>
  <si>
    <t xml:space="preserve">       label="CRITIC1_[loopvar: task]"</t>
  </si>
  <si>
    <t xml:space="preserve">       adim="cols"</t>
  </si>
  <si>
    <t xml:space="preserve">       grouping="cols"</t>
  </si>
  <si>
    <t xml:space="preserve">       shuffle="rows"</t>
  </si>
  <si>
    <t xml:space="preserve">       ss:questionClassNames="CRITIC1_maxdiff"</t>
  </si>
  <si>
    <t xml:space="preserve">       unique="1"&gt;</t>
  </si>
  <si>
    <t xml:space="preserve">            &lt;title&gt;&lt;span&gt;Select one statement you find MOST compelling (button on the left) and the one statement you find LEAST compelling (button on the right).&lt;/span&gt;&lt;/title&gt;</t>
  </si>
  <si>
    <t xml:space="preserve">            &lt;exec&gt;</t>
  </si>
  <si>
    <t>setupMaxDiffItemsI( CRITIC1_md, "v%d_t%d" % (CRITIC1_Version.val, [loopvar: task]), CRITIC1_[loopvar: task])</t>
  </si>
  <si>
    <t>p.MDcount = str(CRITIC1_md_loop_expanded.order.index([loopvar: task]-1)+1)</t>
  </si>
  <si>
    <t xml:space="preserve">            &lt;/exec&gt;</t>
  </si>
  <si>
    <t xml:space="preserve">            &lt;col label="best"&gt;&lt;strong&gt;MOST compelling&lt;/strong&gt;&lt;/col&gt;</t>
  </si>
  <si>
    <t xml:space="preserve">            &lt;col label="worst"&gt;&lt;strong&gt;LEAST compelling&lt;/strong&gt;&lt;/col&gt;</t>
  </si>
  <si>
    <t xml:space="preserve">            &lt;row label="item1"&gt;Compounded GLP-1s are risky because they aren’t regulated like the brand name drugs they claim to copy. They may be contaminated, have the wrong dose of medicine, or not have the right medicine at all.&lt;/row&gt;</t>
  </si>
  <si>
    <t xml:space="preserve">            &lt;row label="item2"&gt;Compounded GLP-1s aren’t tested in large placebo-controlled studies like brand name drugs — so patients don’t know if they are safe or effective.&lt;/row&gt;</t>
  </si>
  <si>
    <t xml:space="preserve">            &lt;row label="item3"&gt;Compounded GLP-1s are being sold online, in beauty salons, and spas. Patients have no way of knowing what they are getting in their medicine — or if it is even medicine at all.&lt;/row&gt;</t>
  </si>
  <si>
    <t xml:space="preserve">            &lt;row label="item4"&gt;It doesn’t make sense to have two different sets of rules for medicines — one for brand name medicines that are tested and reviewed by the FDA and one for compounded medicines that don’t have to prove anything.&lt;/row&gt;</t>
  </si>
  <si>
    <t xml:space="preserve">            &lt;row label="item5"&gt;Because compounders don’t do clinical trials, they are essentially experimenting on all the patients who take their medicine.&lt;/row&gt;</t>
  </si>
  <si>
    <t xml:space="preserve">            &lt;row label="item6"&gt;Unsafe compounding has led to deaths and illness in the past. We shouldn’t wait for that tragedy to repeat before taking action to stop illegal compounding.&lt;/row&gt;</t>
  </si>
  <si>
    <t xml:space="preserve">            &lt;row label="item7"&gt;Since these compounded drugs aren’t tested, you can’t trust that each dose is the same. While one may not be harmful, the next one may be.&lt;/row&gt;</t>
  </si>
  <si>
    <t xml:space="preserve">            &lt;row label="item8"&gt;Mass compounders are lying when they claim to “personalize” drugs. They’re giving the same version to everyone.&lt;/row&gt;</t>
  </si>
  <si>
    <t xml:space="preserve">            &lt;row label="item9"&gt;Compounders are claiming to “personalize” medicines to get around the law against mass-producing compounded medicines — not for medical reasons.&lt;/row&gt;</t>
  </si>
  <si>
    <t xml:space="preserve">            &lt;row label="item10"&gt;Buying a compounded medicine is like buying a fake handbag off the street — except you are injecting the medicine in your body without knowing what’s in it.&lt;/row&gt;</t>
  </si>
  <si>
    <t xml:space="preserve">            &lt;row label="item11"&gt;[pipe: XCRITIC1_1]&lt;/row&gt;</t>
  </si>
  <si>
    <t xml:space="preserve">            &lt;row label="item12"&gt;[pipe: XCRITIC1_2]&lt;/row&gt;</t>
  </si>
  <si>
    <t xml:space="preserve">            &lt;row label="item13"&gt;Compounders are skirting federal compounding rules to gain an unfair advantage — operating outside the guardrails that legitimate pharmacies and manufacturers follow.&lt;/row&gt;</t>
  </si>
  <si>
    <t xml:space="preserve">            &lt;row label="item14"&gt;Medicines that are not tested and FDA-approved are riskier than those that are.&lt;/row&gt;</t>
  </si>
  <si>
    <t xml:space="preserve">            &lt;row label="item15"&gt;Online pharmacies and others who push compounded GLP-1s often mislead consumers into believing their medicines are FDA-approved when they are not.&lt;/row&gt;</t>
  </si>
  <si>
    <t xml:space="preserve">            &lt;row label="item16"&gt;Some compounders leave out or hide important information about what patients are getting and the risks — keeping people from having accurate information to make informed decisions.&lt;/row&gt;</t>
  </si>
  <si>
    <t xml:space="preserve">            &lt;row label="item17"&gt;Many online compounders use short, low-quality telehealth visits that act as “rubber stamps,” blurring the line between real care and just filling an order.&lt;/row&gt;</t>
  </si>
  <si>
    <t xml:space="preserve">            &lt;row label="item18"&gt;Compounders are ripping off Americans by selling fake GLP-1s and pretending they are safe and effective, like brand name medicines.&lt;/row&gt;</t>
  </si>
  <si>
    <t xml:space="preserve">            &lt;row label="item19"&gt;Employers and insurers should do a better job covering GLP-1s so that people aren’t pushed to take unproven knock-off drugs.&lt;/row&gt;</t>
  </si>
  <si>
    <t xml:space="preserve">            &lt;row label="item20"&gt;A two-tier system is emerging where wealthier patients get tested, FDA-approved medicines while lower-income and marginalized communities are left with unsafe compounded knockoffs.&lt;/row&gt;</t>
  </si>
  <si>
    <t xml:space="preserve">            &lt;style mode="before" name="question.header"&gt;&lt;![CDATA[</t>
  </si>
  <si>
    <t xml:space="preserve">    .CRITIC1_maxdiff tr.maxdiff-header-legend {</t>
  </si>
  <si>
    <t xml:space="preserve">    .CRITIC1_maxdiff tr.maxdiff-header-legend th.legend {</t>
  </si>
  <si>
    <t xml:space="preserve">    .CRITIC1_maxdiff tr.maxdiff-row td.element {</t>
  </si>
  <si>
    <t xml:space="preserve">    .CRITIC1_maxdiff tr.maxdiff-row th.row-legend {</t>
  </si>
  <si>
    <t xml:space="preserve">            &lt;style name="question.top-legend"&gt;&lt;![CDATA[</t>
  </si>
  <si>
    <t xml:space="preserve">            &lt;style name="question.row"&gt;&lt;![CDATA[</t>
  </si>
  <si>
    <t xml:space="preserve">          &lt;/radio&gt;</t>
  </si>
  <si>
    <t xml:space="preserve">        &lt;/block&gt;</t>
  </si>
  <si>
    <t xml:space="preserve">        &lt;looprow label="1"&gt;</t>
  </si>
  <si>
    <t xml:space="preserve">          &lt;loopvar name="task"&gt;1&lt;/loopvar&gt;</t>
  </si>
  <si>
    <t xml:space="preserve">        &lt;/looprow&gt;</t>
  </si>
  <si>
    <t xml:space="preserve">        &lt;looprow label="2"&gt;</t>
  </si>
  <si>
    <t xml:space="preserve">          &lt;loopvar name="task"&gt;2&lt;/loopvar&gt;</t>
  </si>
  <si>
    <t xml:space="preserve">        &lt;looprow label="3"&gt;</t>
  </si>
  <si>
    <t xml:space="preserve">          &lt;loopvar name="task"&gt;3&lt;/loopvar&gt;</t>
  </si>
  <si>
    <t xml:space="preserve">        &lt;looprow label="4"&gt;</t>
  </si>
  <si>
    <t xml:space="preserve">          &lt;loopvar name="task"&gt;4&lt;/loopvar&gt;</t>
  </si>
  <si>
    <t xml:space="preserve">        &lt;looprow label="5"&gt;</t>
  </si>
  <si>
    <t xml:space="preserve">          &lt;loopvar name="task"&gt;5&lt;/loopvar&gt;</t>
  </si>
  <si>
    <t xml:space="preserve">        &lt;looprow label="6"&gt;</t>
  </si>
  <si>
    <t xml:space="preserve">          &lt;loopvar name="task"&gt;6&lt;/loopvar&gt;</t>
  </si>
  <si>
    <t xml:space="preserve">        &lt;looprow label="7"&gt;</t>
  </si>
  <si>
    <t xml:space="preserve">          &lt;loopvar name="task"&gt;7&lt;/loopvar&gt;</t>
  </si>
  <si>
    <t xml:space="preserve">        &lt;looprow label="8"&gt;</t>
  </si>
  <si>
    <t xml:space="preserve">          &lt;loopvar name="task"&gt;8&lt;/loopvar&gt;</t>
  </si>
  <si>
    <t xml:space="preserve">        &lt;looprow label="9"&gt;</t>
  </si>
  <si>
    <t xml:space="preserve">          &lt;loopvar name="task"&gt;9&lt;/loopvar&gt;</t>
  </si>
  <si>
    <t xml:space="preserve">        &lt;looprow label="10"&gt;</t>
  </si>
  <si>
    <t xml:space="preserve">          &lt;loopvar name="task"&gt;10&lt;/loopvar&gt;</t>
  </si>
  <si>
    <t xml:space="preserve">        &lt;looprow label="11"&gt;</t>
  </si>
  <si>
    <t xml:space="preserve">          &lt;loopvar name="task"&gt;11&lt;/loopvar&gt;</t>
  </si>
  <si>
    <t xml:space="preserve">        &lt;looprow label="12"&gt;</t>
  </si>
  <si>
    <t xml:space="preserve">          &lt;loopvar name="task"&gt;12&lt;/loopvar&gt;</t>
  </si>
  <si>
    <t xml:space="preserve">        &lt;looprow label="13"&gt;</t>
  </si>
  <si>
    <t xml:space="preserve">          &lt;loopvar name="task"&gt;13&lt;/loopvar&gt;</t>
  </si>
  <si>
    <t xml:space="preserve">        &lt;looprow label="14"&gt;</t>
  </si>
  <si>
    <t xml:space="preserve">          &lt;loopvar name="task"&gt;14&lt;/loopvar&gt;</t>
  </si>
  <si>
    <t xml:space="preserve">        &lt;looprow label="15"&gt;</t>
  </si>
  <si>
    <t xml:space="preserve">          &lt;loopvar name="task"&gt;15&lt;/loopvar&gt;</t>
  </si>
  <si>
    <t xml:space="preserve">      &lt;/loop&gt;</t>
  </si>
  <si>
    <t xml:space="preserve">      &lt;float </t>
  </si>
  <si>
    <t xml:space="preserve">     label="CRITIC1_Timer"</t>
  </si>
  <si>
    <t xml:space="preserve">     size="15"</t>
  </si>
  <si>
    <t xml:space="preserve">        &lt;title&gt;CRITIC1 - MaxDiff Timer (Minutes)&lt;/title&gt;</t>
  </si>
  <si>
    <t>CRITIC1_Timer.val = (timeSpent() - p.startTime) / 60.0</t>
  </si>
  <si>
    <t xml:space="preserve">      &lt;/float&gt;</t>
  </si>
  <si>
    <t xml:space="preserve">      &lt;note&gt;MaxDiff Indices Template --End--&lt;/note&gt;</t>
  </si>
  <si>
    <t xml:space="preserve">    &lt;block label="GLP_b3" builder:title="Block B"&gt;</t>
  </si>
  <si>
    <t xml:space="preserve">      &lt;select </t>
  </si>
  <si>
    <t xml:space="preserve">     label="QFDA"</t>
  </si>
  <si>
    <t xml:space="preserve">     minRanks="0"</t>
  </si>
  <si>
    <t xml:space="preserve">     optional="1"</t>
  </si>
  <si>
    <t xml:space="preserve">     ranksort:answersContainerCSS="width: 580px;"</t>
  </si>
  <si>
    <t xml:space="preserve">     ranksort:bucketCSS="width:259px; height: 75px;"</t>
  </si>
  <si>
    <t xml:space="preserve">     ranksort:cardCSS="width:259px; height: 75px;"</t>
  </si>
  <si>
    <t xml:space="preserve">     ranksort:mobile_cardCSS="width:259px; height: 75px;"</t>
  </si>
  <si>
    <t xml:space="preserve">     unique="none,cols"</t>
  </si>
  <si>
    <t xml:space="preserve">     uses="ranksort.7"&gt;</t>
  </si>
  <si>
    <t xml:space="preserve">        &lt;title&gt;&lt;span class="ques_no"&gt;${this.label}. &lt;/span&gt;&lt;strong&gt;When you think about the Food and Drug Administration (FDA), what do you see as their most important roles. Rank these statements in order of MOST important to LEAST important.&lt;/strong&gt;&lt;/title&gt;</t>
  </si>
  <si>
    <t>Prompt(QFDA)</t>
  </si>
  <si>
    <t xml:space="preserve">        &lt;row label="r1"&gt;&lt;strong&gt;Ensuring that the ingredients being used by mass compounders are not being imported illegally&lt;/strong&gt;&lt;/row&gt;</t>
  </si>
  <si>
    <t xml:space="preserve">        &lt;row label="r2"&gt;&lt;strong&gt;Enforcing the law against mass compounding and cracking down on compounders who are in violation&lt;/strong&gt;&lt;/row&gt;</t>
  </si>
  <si>
    <t xml:space="preserve">        &lt;row label="r3"&gt;&lt;strong&gt;Alerting patients/the public to the risks posed by untested and unapproved drugs&lt;/strong&gt;&lt;/row&gt;</t>
  </si>
  <si>
    <t xml:space="preserve">        &lt;row label="r4"&gt;&lt;strong&gt;Alerting doctors to the risks posed by untested and unapproved drugs&lt;/strong&gt;&lt;/row&gt;</t>
  </si>
  <si>
    <t xml:space="preserve">        &lt;noanswer label="r99" cond="0"&gt;SYSMISS&lt;/noanswer&gt;</t>
  </si>
  <si>
    <t xml:space="preserve">        &lt;choice label="ch1"&gt;MOST important&lt;/choice&gt;</t>
  </si>
  <si>
    <t xml:space="preserve">        &lt;choice label="ch2"/&gt;</t>
  </si>
  <si>
    <t xml:space="preserve">        &lt;choice label="ch3"/&gt;</t>
  </si>
  <si>
    <t xml:space="preserve">        &lt;choice label="ch4"&gt;Least important&lt;/choice&gt;</t>
  </si>
  <si>
    <t xml:space="preserve">      &lt;/select&gt;</t>
  </si>
  <si>
    <t>Punch2(QFDA)</t>
  </si>
  <si>
    <t xml:space="preserve">     label="QPOST"</t>
  </si>
  <si>
    <t xml:space="preserve">        &lt;title&gt;&lt;span class="ques_no"&gt;${this.label}. &lt;/span&gt;How much do you agree or disagree with each of the following statements?&lt;/title&gt;</t>
  </si>
  <si>
    <t xml:space="preserve">        &lt;row label="r2"&gt;&lt;span style="font-size: 12pt;"&gt;&lt;strong&gt;The safety risks of taking a compounded GLP-1s aren’t worth the potential cost savings.&lt;/strong&gt;&lt;/span&gt;&lt;/row&gt;</t>
  </si>
  <si>
    <t xml:space="preserve">        &lt;row label="r3"&gt;&lt;span style="font-size: 12pt;"&gt;&lt;strong&gt;The FDA needs to protect patients by increasing enforcement against illegally compounded GLP-1 drugs.&lt;/strong&gt;&lt;/span&gt;&lt;/row&gt;</t>
  </si>
  <si>
    <t xml:space="preserve">        &lt;row label="r4"&gt;&lt;span style="font-size: 12pt;"&gt;&lt;strong&gt;Congress should take action to ensure FDA enforces the law against illegal compounded GLP-1 drugs, preventing compounders from selling untested and potentially dangerous drugs.&lt;/strong&gt;&lt;/span&gt;&lt;/row&gt;</t>
  </si>
  <si>
    <t xml:space="preserve">     label="QCRITIC_POST"</t>
  </si>
  <si>
    <t xml:space="preserve">     cond="XGLP.r2"</t>
  </si>
  <si>
    <t xml:space="preserve">     randomize="0"</t>
  </si>
  <si>
    <t xml:space="preserve">   label="QMOB"</t>
  </si>
  <si>
    <t xml:space="preserve">   shuffle="rows"</t>
  </si>
  <si>
    <t xml:space="preserve">   uses="cardrating.1"&gt;</t>
  </si>
  <si>
    <t xml:space="preserve">    &lt;title&gt;&lt;span class="ques_no"&gt;${this.label}&lt;/span&gt; The following statements explore how you feel about taking action on this issue. For each one, please indicate how much you agree or disagree.&lt;/title&gt;</t>
  </si>
  <si>
    <t xml:space="preserve">    &lt;row label="r1"&gt;&lt;span style="font-size: 12pt;"&gt;&lt;strong&gt;Working with others, people like me can have an impact and influence the FDA to do more to prevent compounders from selling untested medicines&lt;/strong&gt;&lt;/span&gt;&lt;/row&gt;</t>
  </si>
  <si>
    <t xml:space="preserve">    &lt;row label="r2"&gt;&lt;span style="font-size: 12pt;"&gt;&lt;strong&gt;I know what steps to take to make my voice heard on this issue&lt;/strong&gt;&lt;/span&gt;&lt;/row&gt;</t>
  </si>
  <si>
    <t xml:space="preserve">    &lt;row label="r3"&gt;&lt;span style="font-size: 12pt;"&gt;&lt;strong&gt;What mass compounders are doing raises important questions of right and wrong for me personally&lt;/strong&gt;&lt;/span&gt;&lt;/row&gt;</t>
  </si>
  <si>
    <t xml:space="preserve">    &lt;row label="r4"&gt;&lt;span style="font-size: 12pt;"&gt;&lt;strong&gt;It makes me angry that mass compounders can get away with selling untested and potentially dangerous medicines to consumers&lt;/strong&gt;&lt;/span&gt;&lt;/row&gt;</t>
  </si>
  <si>
    <t xml:space="preserve">    &lt;row label="r5"&gt;&lt;span style="font-size: 12pt;"&gt;&lt;strong&gt;If I asked, many of my friends and colleagues would join me in taking action to stop compounders from selling fake, untested versions of GLP-1s&lt;/strong&gt;&lt;/span&gt;&lt;/row&gt;</t>
  </si>
  <si>
    <t xml:space="preserve">    &lt;col label="c1" value="1"&gt;Strongly&lt;br /&gt;&lt;strong&gt;DISAGREE&lt;/strong&gt;&lt;/col&gt;</t>
  </si>
  <si>
    <t xml:space="preserve">    &lt;col label="c2" value="2"&gt;Disagree&lt;/col&gt;</t>
  </si>
  <si>
    <t xml:space="preserve">    &lt;col label="c3" value="3"&gt;Somewhat&lt;br /&gt;Disagree&lt;/col&gt;</t>
  </si>
  <si>
    <t xml:space="preserve">    &lt;col label="c4" value="4"&gt;Neutral or&lt;br /&gt;Unsure&lt;/col&gt;</t>
  </si>
  <si>
    <t xml:space="preserve">    &lt;col label="c5" value="5"&gt;Somewhat&lt;br /&gt;Agree&lt;/col&gt;</t>
  </si>
  <si>
    <t xml:space="preserve">    &lt;col label="c6" value="6"&gt;Agree&lt;/col&gt;</t>
  </si>
  <si>
    <t xml:space="preserve">    &lt;col label="c7" value="7"&gt;Strongly&lt;br /&gt;&lt;strong&gt;AGREE&lt;/strong&gt;&lt;/col&gt;</t>
  </si>
  <si>
    <t xml:space="preserve">   label="QPETITION"</t>
  </si>
  <si>
    <t xml:space="preserve">    &lt;title&gt;&lt;span class="ques_no"&gt;${this.label}&lt;/span&gt; If you received an &lt;strong&gt;online petition calling on the FDA to enforce the law against illegal compounded GLP-1 drugs&lt;/strong&gt;, and If this came from a source you trust, would you …&lt;/title&gt;</t>
  </si>
  <si>
    <t>Prompt3(QPETITION)</t>
  </si>
  <si>
    <t xml:space="preserve">    &lt;row label="r1" value="1"&gt;&lt;strong&gt;Sign immediately and share it with others&lt;/strong&gt;&lt;/row&gt;</t>
  </si>
  <si>
    <t xml:space="preserve">    &lt;row label="r2" value="2"&gt;&lt;strong&gt;Sign it, but wouldn’t take the time to share&lt;/strong&gt;&lt;/row&gt;</t>
  </si>
  <si>
    <t xml:space="preserve">    &lt;row label="r3" value="3"&gt;&lt;strong&gt;Take some time to think about it, but likely take action within a few days&lt;/strong&gt;&lt;/row&gt;</t>
  </si>
  <si>
    <t xml:space="preserve">    &lt;row label="r4" value="4"&gt;&lt;strong&gt;Consider it, but probably not take action this time&lt;/strong&gt;&lt;/row&gt;</t>
  </si>
  <si>
    <t xml:space="preserve">    &lt;row label="r5" value="5"&gt;&lt;strong&gt;Ignore it altogether&lt;/strong&gt;&lt;/row&gt;</t>
  </si>
  <si>
    <t>Punch3(QPETITION)</t>
  </si>
  <si>
    <t xml:space="preserve">   label="QEVENT"&gt;</t>
  </si>
  <si>
    <t xml:space="preserve">    &lt;title&gt;&lt;span class="ques_no"&gt;${this.label}&lt;/span&gt; If you received &lt;strong&gt;an invitation to volunteer with a group speaking out against mass compounding of GLP-1s&lt;/strong&gt;, requesting support writing letters, attending rallies, and other activities, would you…&lt;/title&gt;</t>
  </si>
  <si>
    <t xml:space="preserve">    &lt;row label="r1" value="1"&gt;&lt;strong&gt;Sign-up immediately and share the invitation with others&lt;/strong&gt;&lt;/row&gt;</t>
  </si>
  <si>
    <t xml:space="preserve">    &lt;row label="r2" value="2"&gt;&lt;strong&gt;Sign-up, but wouldn’t share with others&lt;/strong&gt;&lt;/row&gt;</t>
  </si>
  <si>
    <t xml:space="preserve">  &lt;textarea </t>
  </si>
  <si>
    <t xml:space="preserve">   label="QNAME_OPEN"</t>
  </si>
  <si>
    <t xml:space="preserve">   height="10"</t>
  </si>
  <si>
    <t xml:space="preserve">   width="50"&gt;</t>
  </si>
  <si>
    <t xml:space="preserve">    &lt;title&gt;&lt;span class="ques_no"&gt;${this.label}&lt;/span&gt; After learning about so-called “mass compounding,” do you think there is a better term for it? What would you call these businesses?&lt;/title&gt;</t>
  </si>
  <si>
    <t>Prompt4(QNAME_OPEN)</t>
  </si>
  <si>
    <t xml:space="preserve">    &lt;noanswer label="r99" cond="0"&gt;SYSMISS&lt;/noanswer&gt;</t>
  </si>
  <si>
    <t xml:space="preserve">  &lt;/textarea&gt;</t>
  </si>
  <si>
    <t>Punch4(QNAME_OPEN)</t>
  </si>
  <si>
    <t xml:space="preserve">  &lt;select </t>
  </si>
  <si>
    <t xml:space="preserve">   label="QTERMS"</t>
  </si>
  <si>
    <t xml:space="preserve">   minRanks="2"</t>
  </si>
  <si>
    <t xml:space="preserve">   ranksort:answersContainerCSS="width: 580px;"</t>
  </si>
  <si>
    <t xml:space="preserve">   ranksort:bucketCSS="width:259px; height: 75px;"</t>
  </si>
  <si>
    <t xml:space="preserve">   ranksort:cardCSS="width:259px; height: 75px;"</t>
  </si>
  <si>
    <t xml:space="preserve">   ranksort:mobile_cardCSS="width:259px; height: 75px;"</t>
  </si>
  <si>
    <t xml:space="preserve">   unique="none,cols"</t>
  </si>
  <si>
    <t xml:space="preserve">   uses="ranksort.7"&gt;</t>
  </si>
  <si>
    <t xml:space="preserve">    &lt;title&gt;&lt;span class="ques_no"&gt;${this.label}&lt;/span&gt; &lt;strong&gt;Here are some different ways to describe mass compounders.&lt;/strong&gt;&lt;/title&gt;</t>
  </si>
  <si>
    <t xml:space="preserve">    &lt;comment&gt;Select the one you think describes them best and the one you think describes them the least.&lt;/comment&gt;</t>
  </si>
  <si>
    <t xml:space="preserve">    &lt;row label="r1"&gt;&lt;span style="font-size: large;"&gt;&lt;strong&gt;Sham&lt;/strong&gt; compounders&lt;/span&gt;&lt;/row&gt;</t>
  </si>
  <si>
    <t xml:space="preserve">    &lt;row label="r2A"&gt;&lt;span style="font-size: large;"&gt;&lt;strong&gt;Illegal&lt;/strong&gt; drugmakers&lt;/span&gt;&lt;/row&gt;</t>
  </si>
  <si>
    <t xml:space="preserve">    &lt;row label="r2B"&gt;&lt;span style="font-size: large;"&gt;&lt;strong&gt;Illegal foreign &lt;/strong&gt;drugmakers&lt;/span&gt;&lt;/row&gt;</t>
  </si>
  <si>
    <t xml:space="preserve">    &lt;row label="r3"&gt;&lt;span style="font-size: large;"&gt;&lt;strong&gt;Black market &lt;/strong&gt;drugmakers&lt;/span&gt;&lt;/row&gt;</t>
  </si>
  <si>
    <t xml:space="preserve">    &lt;row label="r4"&gt;&lt;span style="font-size: large;"&gt;&lt;strong&gt;Grey market &lt;/strong&gt;drugmakers&lt;/span&gt;&lt;/row&gt;</t>
  </si>
  <si>
    <t xml:space="preserve">    &lt;row label="r5"&gt;&lt;span style="font-size: large;"&gt;&lt;strong&gt;Fake &lt;/strong&gt;drugmakers&lt;/span&gt;&lt;/row&gt;</t>
  </si>
  <si>
    <t xml:space="preserve">    &lt;row label="r6"&gt;&lt;span style="font-size: large;"&gt;&lt;strong&gt;Knock-off&lt;/strong&gt; drugmakers&lt;/span&gt;&lt;/row&gt;</t>
  </si>
  <si>
    <t xml:space="preserve">    &lt;choice label="ch1"&gt;Best&lt;/choice&gt;</t>
  </si>
  <si>
    <t xml:space="preserve">    &lt;choice label="ch2"&gt;Least&lt;/choice&gt;</t>
  </si>
  <si>
    <t xml:space="preserve">  &lt;/select&gt;</t>
  </si>
  <si>
    <t xml:space="preserve">   label="GLP_Q2"</t>
  </si>
  <si>
    <t xml:space="preserve">    &lt;title&gt;&lt;span class="ques_no"&gt;${this.label}&lt;/span&gt; How much do you trust the following institutions or organizations when it comes to information about health care and medicines?&lt;/title&gt;</t>
  </si>
  <si>
    <t>Prompt1(GLP_Q2)</t>
  </si>
  <si>
    <t xml:space="preserve">    &lt;row label="r1"&gt;Hospitals and health systems&lt;/row&gt;</t>
  </si>
  <si>
    <t xml:space="preserve">    &lt;row label="r2"&gt;Health insurance plans&lt;/row&gt;</t>
  </si>
  <si>
    <t xml:space="preserve">    &lt;row label="r3"&gt;Independent compounding pharmacies&lt;/row&gt;</t>
  </si>
  <si>
    <t xml:space="preserve">    &lt;row label="r4"&gt;Retail walk-in clinics (CVS MinuteClinic, Walgreens clinics)&lt;/row&gt;</t>
  </si>
  <si>
    <t xml:space="preserve">    &lt;row label="r5"&gt;Telehealth prescribing platforms (e.g., Hims/Hers, Ro)&lt;/row&gt;</t>
  </si>
  <si>
    <t xml:space="preserve">    &lt;row label="r6"&gt;Pharmacists at national retail pharmacies (e.g. CVS, Walgreens, Walmart)&lt;/row&gt;</t>
  </si>
  <si>
    <t xml:space="preserve">    &lt;row label="r7"&gt;Weight-loss clinics&lt;/row&gt;</t>
  </si>
  <si>
    <t xml:space="preserve">    &lt;row label="r8"&gt;Alternative medicine providers&lt;/row&gt;</t>
  </si>
  <si>
    <t xml:space="preserve">    &lt;row label="r9"&gt;Naturopath or homeopathic providers&lt;/row&gt;</t>
  </si>
  <si>
    <t xml:space="preserve">    &lt;row label="r10"&gt;Wellness experts and influencers&lt;/row&gt;</t>
  </si>
  <si>
    <t xml:space="preserve">    &lt;row label="r11"&gt;Academic researchers/universities&lt;/row&gt;</t>
  </si>
  <si>
    <t xml:space="preserve">    &lt;row label="r12"&gt;CDC&lt;/row&gt;</t>
  </si>
  <si>
    <t xml:space="preserve">    &lt;row label="r13"&gt;FDA&lt;/row&gt;</t>
  </si>
  <si>
    <t xml:space="preserve">    &lt;row label="r14"&gt;State and local public health departments&lt;/row&gt;</t>
  </si>
  <si>
    <t xml:space="preserve">    &lt;row label="r15"&gt;Department of Health &amp;amp;amp; Human Services (HHS)&lt;/row&gt;</t>
  </si>
  <si>
    <t>Punch1(GLP_Q2)</t>
  </si>
  <si>
    <t xml:space="preserve">   label="GLP_Q3"</t>
  </si>
  <si>
    <t xml:space="preserve">    &lt;title&gt;&lt;span class="ques_no"&gt;${this.label}&lt;/span&gt; When thinking about health care safety issues, how much do you trust advice or guidance from each of the following&lt;/title&gt;</t>
  </si>
  <si>
    <t>Prompt1(GLP_Q3)</t>
  </si>
  <si>
    <t xml:space="preserve">    &lt;row label="r2"&gt;Your pharmacist&lt;/row&gt;</t>
  </si>
  <si>
    <t xml:space="preserve">    &lt;row label="r3"&gt;Your employer’s HR or benefits manager&lt;/row&gt;</t>
  </si>
  <si>
    <t xml:space="preserve">    &lt;row label="r4"&gt;Religious or faith leaders&lt;/row&gt;</t>
  </si>
  <si>
    <t xml:space="preserve">    &lt;row label="r6"&gt;Online patient communities (Reddit, Facebook, support groups)&lt;/row&gt;</t>
  </si>
  <si>
    <t xml:space="preserve">    &lt;row label="r7"&gt;Social media health influencers (TikTok, Instagram, YouTube)&lt;/row&gt;</t>
  </si>
  <si>
    <t xml:space="preserve">    &lt;row label="r9"&gt;LinkedIn health policy voices&lt;/row&gt;</t>
  </si>
  <si>
    <t xml:space="preserve">    &lt;row label="r10"&gt;People sharing their GLP-1 success stories online&lt;/row&gt;</t>
  </si>
  <si>
    <t xml:space="preserve">    &lt;row label="r11"&gt;YouTube medical educators&lt;/row&gt;</t>
  </si>
  <si>
    <t xml:space="preserve">    &lt;row label="r12" open="1" openOptional="1" openSize="25"&gt;Substack writers &amp;amp;#91;Which one comes to mind?&amp;amp;#93;&lt;/row&gt;</t>
  </si>
  <si>
    <t xml:space="preserve">    &lt;row label="r14" open="1" openOptional="1" openSize="25"&gt;Substack health writers &amp;amp;#91;Which one comes to mind?&amp;amp;#93;&lt;/row&gt;</t>
  </si>
  <si>
    <t>Punch1(GLP_Q3)</t>
  </si>
  <si>
    <t>&lt;block label="AL_VAX_VICP_BLOCK" cond="XRANDOMPICK.r5 or XRANDOMPICK.r6 or XRANDOMPICK.r7" builder:title="AL_VAX_VICP Block"&gt;</t>
  </si>
  <si>
    <t xml:space="preserve">  &lt;quota label="AL_randomQuota2" cond="XRANDOMPICK.r5" overquota="noqual" sheet="AL_random Quota2"/&gt;</t>
  </si>
  <si>
    <t xml:space="preserve">  &lt;exec cond="XRANDOMPICK.r5"&gt;</t>
  </si>
  <si>
    <t xml:space="preserve">    if hasMarker("/AL_random Quota2/AL_Split2_{}".format(x+1)):</t>
  </si>
  <si>
    <t xml:space="preserve">        Xrandom2.val = x</t>
  </si>
  <si>
    <t xml:space="preserve">   label="Xrandom2"</t>
  </si>
  <si>
    <t xml:space="preserve">   cond="XRANDOMPICK.r5"</t>
  </si>
  <si>
    <t xml:space="preserve">    &lt;title&gt;Hidden: Random pick A/B for split sample&lt;/title&gt;</t>
  </si>
  <si>
    <t xml:space="preserve">  &lt;quota label="AL_randomQuota4" cond="XRANDOMPICK.r5" overquota="noqual" sheet="AL_random Quota4"/&gt;</t>
  </si>
  <si>
    <t xml:space="preserve">    if hasMarker("/AL_random Quota4/AL_Split4_{}".format(x+1)):</t>
  </si>
  <si>
    <t xml:space="preserve">        Xrandom4.val = x</t>
  </si>
  <si>
    <t xml:space="preserve">   label="Xrandom4"</t>
  </si>
  <si>
    <t xml:space="preserve">    &lt;title&gt;Hidden: Random pick PERSONA VARIAN/CONTROL for split sample&lt;/title&gt;</t>
  </si>
  <si>
    <t xml:space="preserve">    &lt;row label="r1"&gt;PERSONA VARIANT&lt;/row&gt;</t>
  </si>
  <si>
    <t xml:space="preserve">    &lt;row label="r2"&gt;CONTROL&lt;/row&gt;</t>
  </si>
  <si>
    <t xml:space="preserve">  &lt;block label="BLOCK_INF360" builder:title="Influencer 360 &amp;amp; Baseline Mobilization Model"&gt;</t>
  </si>
  <si>
    <t xml:space="preserve">    label="AL_VAX_VICP_QELECTED"</t>
  </si>
  <si>
    <t xml:space="preserve">    builderHint="{&amp;quot;rocochoName&amp;quot;:&amp;quot;radiogrid&amp;quot;}"</t>
  </si>
  <si>
    <t xml:space="preserve">    randomize="0"</t>
  </si>
  <si>
    <t xml:space="preserve">    values="order"&gt;</t>
  </si>
  <si>
    <t xml:space="preserve">      &lt;title&gt;Have you ever done any of the following?&lt;/title&gt;</t>
  </si>
  <si>
    <t xml:space="preserve">      &lt;row label="r1"&gt;Held elected office&lt;/row&gt;</t>
  </si>
  <si>
    <t xml:space="preserve">      &lt;row label="r2"&gt;Been a paid staffer or advisor to an elected official or gov’t agency&lt;/row&gt;</t>
  </si>
  <si>
    <t xml:space="preserve">      &lt;row label="r3"&gt;Held an elected or appointed role in a party committee&lt;/row&gt;</t>
  </si>
  <si>
    <t xml:space="preserve">      &lt;row label="r4"&gt;Contacted an elected official or their staff&lt;/row&gt;</t>
  </si>
  <si>
    <t xml:space="preserve">      &lt;row label="r5"&gt;Helped recruit a candidate to run for public office&lt;/row&gt;</t>
  </si>
  <si>
    <t xml:space="preserve">      &lt;row label="r6"&gt;Helped recruit staff for a political campaign, office of an elected official, or any other political appointee&lt;/row&gt;</t>
  </si>
  <si>
    <t xml:space="preserve">      &lt;row label="r7"&gt;Met (in person or video) with congressional, agency, or state legislative staff&lt;/row&gt;</t>
  </si>
  <si>
    <t xml:space="preserve">      &lt;row label="r8"&gt;Sat on the board or executive committee of any health, policy, or business association?&lt;/row&gt;</t>
  </si>
  <si>
    <t xml:space="preserve">      &lt;row label="r9"&gt;Worked with or advised a Washington-based health organization (think tank, patient advocacy group, trade association)&lt;/row&gt;</t>
  </si>
  <si>
    <t xml:space="preserve">      &lt;row label="r10"&gt;Testified or submitted written comments to a state legislative or Congressional committee&lt;/row&gt;</t>
  </si>
  <si>
    <t xml:space="preserve">      &lt;row label="r11"&gt;Spoke at a public meeting, podcast, webinar, church or civic group on an issue&lt;/row&gt;</t>
  </si>
  <si>
    <t xml:space="preserve">      &lt;row label="r12"&gt;Wrote an article, blog post, Substack, or op-ed on an issue&lt;/row&gt;</t>
  </si>
  <si>
    <t xml:space="preserve">      &lt;row label="r13"&gt;Volunteered on a political campaign&lt;/row&gt;</t>
  </si>
  <si>
    <t xml:space="preserve">      &lt;row label="r14"&gt;Organized an event or rally on any issue&lt;/row&gt;</t>
  </si>
  <si>
    <t xml:space="preserve">    &lt;checkbox </t>
  </si>
  <si>
    <t xml:space="preserve">    label="LOWINF"</t>
  </si>
  <si>
    <t xml:space="preserve">    atleast="1"</t>
  </si>
  <si>
    <t xml:space="preserve">    randomize="0"&gt;</t>
  </si>
  <si>
    <t xml:space="preserve">      &lt;title&gt;In the past 12 months, have you taken any of the following actions &lt;strong&gt;related to a public policy issue?&lt;/strong&gt;&lt;/title&gt;</t>
  </si>
  <si>
    <t xml:space="preserve">      &lt;comment&gt;Select all that apply&lt;/comment&gt;</t>
  </si>
  <si>
    <t xml:space="preserve">      &lt;row label="r1"&gt;Signed a petition&lt;/row&gt;</t>
  </si>
  <si>
    <t xml:space="preserve">      &lt;row label="r2"&gt;Attended a meeting&lt;/row&gt;</t>
  </si>
  <si>
    <t xml:space="preserve">      &lt;row label="r3"&gt;&lt;span style="color: black;"&gt;Donated money &lt;/span&gt;&lt;/row&gt;</t>
  </si>
  <si>
    <t xml:space="preserve">      &lt;row label="r4" exclusive="1"&gt;None of the Above&lt;/row&gt;</t>
  </si>
  <si>
    <t xml:space="preserve">    &lt;/checkbox&gt;</t>
  </si>
  <si>
    <t xml:space="preserve">    label="AL_VAX_VICP_QTOT_FOLLOWERS"</t>
  </si>
  <si>
    <t xml:space="preserve">    optional="1"</t>
  </si>
  <si>
    <t xml:space="preserve">      &lt;title&gt;&lt;span class="ques_no"&gt;${this.label}&lt;/span&gt; Across all your public social-media accounts (X/Twitter, Instagram, TikTok, Facebook pages, Substack, podcast, YouTube, etc.), about how many followers or subscribers do you have in total?&lt;/title&gt;</t>
  </si>
  <si>
    <t xml:space="preserve">      &lt;validate&gt;</t>
  </si>
  <si>
    <t>Prompt(AL_VAX_VICP_QTOT_FOLLOWERS)</t>
  </si>
  <si>
    <t xml:space="preserve">      &lt;/validate&gt;</t>
  </si>
  <si>
    <t xml:space="preserve">      &lt;row label="r0" value="0"&gt;None – I don’t use social media&lt;/row&gt;</t>
  </si>
  <si>
    <t xml:space="preserve">      &lt;row label="r1" value="1"&gt;1 - 500&lt;/row&gt;</t>
  </si>
  <si>
    <t xml:space="preserve">      &lt;row label="r2" value="2"&gt;501 - 1,199&lt;/row&gt;</t>
  </si>
  <si>
    <t xml:space="preserve">      &lt;row label="r3" value="3"&gt;2,000 – 9,999&lt;/row&gt;</t>
  </si>
  <si>
    <t xml:space="preserve">      &lt;row label="r4" value="4"&gt;10,000 – 49,999&lt;/row&gt;</t>
  </si>
  <si>
    <t xml:space="preserve">      &lt;row label="r5" value="5"&gt;50,000 or more&lt;/row&gt;</t>
  </si>
  <si>
    <t xml:space="preserve">      &lt;row label="r99" cond="0" value="99"&gt;No answer&lt;/row&gt;</t>
  </si>
  <si>
    <t>Punch3(AL_VAX_VICP_QTOT_FOLLOWERS)</t>
  </si>
  <si>
    <t xml:space="preserve">    label="SOCIALINF"</t>
  </si>
  <si>
    <t xml:space="preserve">      &lt;title&gt;&lt;span style="color: black;"&gt;Thinking about the &lt;strong&gt;past 30 days&lt;/strong&gt;, across &lt;strong&gt;any social media platform&lt;/strong&gt; you use &lt;/span&gt;&lt;span style="color: black;"&gt;(Facebook, X, LinkedIn, TikTok, or others):&amp;amp;nbsp; Approximately how many times have you done any of the following to advocate on a public policy or other important issue&lt;/span&gt;&lt;/title&gt;</t>
  </si>
  <si>
    <t xml:space="preserve">      &lt;comment&gt;Select one for each option&lt;/comment&gt;</t>
  </si>
  <si>
    <t xml:space="preserve">      &lt;row label="r1"&gt;&lt;span style="color: black;"&gt;Shared or reposted content &lt;/span&gt;&lt;/row&gt;</t>
  </si>
  <si>
    <t xml:space="preserve">      &lt;row label="r2"&gt;&lt;span style="color: black;"&gt;Commented or replied on posts about a public policy or other important issue&lt;/span&gt;&lt;/row&gt;</t>
  </si>
  <si>
    <t xml:space="preserve">      &lt;row label="r3"&gt;&lt;span style="color: black;"&gt;Created an original post or video &lt;/span&gt;&lt;/row&gt;</t>
  </si>
  <si>
    <t xml:space="preserve">      &lt;col label="c1" value="1"&gt;Never&lt;/col&gt;</t>
  </si>
  <si>
    <t xml:space="preserve">      &lt;col label="c2" value="2"&gt;Not in past 30 days&lt;/col&gt;</t>
  </si>
  <si>
    <t xml:space="preserve">      &lt;col label="c3" value="3"&gt;1 time&amp;amp;nbsp; &amp;amp;nbsp;&lt;/col&gt;</t>
  </si>
  <si>
    <t xml:space="preserve">      &lt;col label="c5" value="5"&gt;2-4 times&lt;/col&gt;</t>
  </si>
  <si>
    <t xml:space="preserve">      &lt;col label="c7" value="7"&gt;5+ times&lt;/col&gt;</t>
  </si>
  <si>
    <t xml:space="preserve">  &lt;block label="BLOCKA" cond="XRANDOMPICK.r5" builder:title="Block A"&gt;</t>
  </si>
  <si>
    <t xml:space="preserve">    &lt;block label="BLOCK_AL_PRETESTS" builder:title="American Leadership (AL) Pre-Test &amp;amp; Baseline"&gt;</t>
  </si>
  <si>
    <t xml:space="preserve">     label="SECTORFAV"</t>
  </si>
  <si>
    <t xml:space="preserve">     builderHint="{&amp;quot;rocochoName&amp;quot;:&amp;quot;radiogrid&amp;quot;}"</t>
  </si>
  <si>
    <t xml:space="preserve">     separator:elements="c12"</t>
  </si>
  <si>
    <t xml:space="preserve">     separator:space="8"</t>
  </si>
  <si>
    <t xml:space="preserve">     uses="separator.5"</t>
  </si>
  <si>
    <t xml:space="preserve">        &lt;title&gt;Rate your overall impressions of each of the following&lt;/title&gt;</t>
  </si>
  <si>
    <t xml:space="preserve">        &lt;comment&gt;&lt;span style="font-size: 10pt;"&gt;&lt;em&gt;Rate your impressions on a scale from zero (0) to ten (10) where zero means you have &lt;/em&gt;&lt;strong&gt;very &lt;u&gt;un&lt;/u&gt;favorable&lt;/strong&gt;&lt;em&gt; impressions and ten means you have &lt;/em&gt;&lt;strong&gt;very favorable&lt;/strong&gt;&lt;em&gt; impressions.&lt;br /&gt;&lt;br /&gt;&lt;/em&gt;&lt;span style="font-size: 12pt;"&gt;Unless you are &lt;strong&gt;completely unfamiliar&lt;/strong&gt; with the institution, we'd appreciate if you would share your general impressions.&lt;/span&gt;&lt;/span&gt;&lt;/comment&gt;</t>
  </si>
  <si>
    <t xml:space="preserve">        &lt;col label="c1" value="0"&gt;&lt;span style="font-size: 8pt;"&gt; &lt;strong&gt;&lt;span style="font-size: 10pt;"&gt;Very&lt;/span&gt;&lt;br /&gt;&lt;span style="font-size: 10pt;"&gt;Unfavorable&lt;/span&gt; &lt;br /&gt;(0)&lt;br /&gt;&lt;/strong&gt;&lt;/span&gt;&lt;/col&gt;</t>
  </si>
  <si>
    <t xml:space="preserve">        &lt;col label="c2" value="1"&gt;&lt;span style="font-size: 8pt;"&gt;1&lt;/span&gt;&lt;/col&gt;</t>
  </si>
  <si>
    <t xml:space="preserve">        &lt;col label="c3" value="2"&gt;&lt;span style="font-size: 8pt;"&gt;2&lt;/span&gt;&lt;/col&gt;</t>
  </si>
  <si>
    <t xml:space="preserve">        &lt;col label="c4" value="3"&gt;&lt;span style="font-size: 8pt;"&gt;3&lt;/span&gt;&lt;/col&gt;</t>
  </si>
  <si>
    <t xml:space="preserve">        &lt;col label="c5" value="4"&gt;&lt;span style="font-size: 8pt;"&gt;4&lt;/span&gt;&lt;/col&gt;</t>
  </si>
  <si>
    <t xml:space="preserve">        &lt;col label="c6" value="5"&gt;&lt;span style="font-size: 8pt;"&gt;5&lt;/span&gt;&lt;/col&gt;</t>
  </si>
  <si>
    <t xml:space="preserve">        &lt;col label="c7" value="6"&gt;&lt;span style="font-size: 8pt;"&gt;6&lt;/span&gt;&lt;/col&gt;</t>
  </si>
  <si>
    <t xml:space="preserve">        &lt;col label="c8" value="7"&gt;&lt;span style="font-size: 8pt;"&gt;7&lt;/span&gt;&lt;/col&gt;</t>
  </si>
  <si>
    <t xml:space="preserve">        &lt;col label="c9" value="8"&gt;&lt;span style="font-size: 8pt;"&gt;8&lt;/span&gt;&lt;/col&gt;</t>
  </si>
  <si>
    <t xml:space="preserve">        &lt;col label="c10" value="9"&gt;&lt;span style="font-size: 8pt;"&gt;9&lt;/span&gt;&lt;/col&gt;</t>
  </si>
  <si>
    <t xml:space="preserve">        &lt;col label="c11" value="10"&gt;&lt;span style="font-size: 8pt;"&gt;&lt;strong&gt;&lt;span style="font-size: 10pt;"&gt;Very&lt;/span&gt;&lt;br /&gt;&lt;span style="font-size: 10pt;"&gt;Favorable&lt;/span&gt; &lt;br /&gt;(10)&lt;/strong&gt;&lt;/span&gt;&lt;/col&gt;</t>
  </si>
  <si>
    <t xml:space="preserve">        &lt;col label="c12" value="99"&gt;&lt;span style="font-size: 8pt;"&gt;Not familiar&amp;amp;nbsp;&lt;/span&gt;&lt;/col&gt;</t>
  </si>
  <si>
    <t xml:space="preserve">        &lt;row label="r1"&gt;&lt;span style="font-size: 12pt;"&gt;&lt;strong&gt;Biopharmaceutical companies&lt;/strong&gt;&lt;/span&gt;&lt;/row&gt;</t>
  </si>
  <si>
    <t xml:space="preserve">        &lt;row label="r2"&gt;&lt;span style="font-size: 12pt;"&gt;&lt;strong&gt;Health insurance companies&lt;/strong&gt;&lt;/span&gt;&lt;/row&gt;</t>
  </si>
  <si>
    <t xml:space="preserve">        &lt;row label="r3"&gt;&lt;span style="font-size: 12pt;"&gt;&lt;strong&gt;Hospitals&lt;/strong&gt;&lt;/span&gt;&lt;/row&gt;</t>
  </si>
  <si>
    <t xml:space="preserve">        &lt;row label="r4A" cond="Xrandom2.r1"&gt;&lt;span style="font-size: 12pt;"&gt;&lt;strong&gt;Pediatricians&lt;/strong&gt;&lt;/span&gt;&lt;/row&gt;</t>
  </si>
  <si>
    <t xml:space="preserve">        &lt;row label="r5A" cond="Xrandom2.r1"&gt;&lt;span style="font-size: 12pt;"&gt;&lt;strong&gt;Family Physicians&lt;/strong&gt;&lt;/span&gt;&lt;/row&gt;</t>
  </si>
  <si>
    <t xml:space="preserve">        &lt;row label="r6A" cond="Xrandom2.r1"&gt;&lt;span style="font-size: 12pt;"&gt;&lt;strong&gt;Medical scientists&lt;/strong&gt;&lt;/span&gt;&lt;/row&gt;</t>
  </si>
  <si>
    <t xml:space="preserve">        &lt;row label="r4B" cond="Xrandom2.r2"&gt;&lt;span style="font-size: 12pt;"&gt;&lt;strong&gt;American Academy of Pediatrics (AAP)&lt;/strong&gt;&lt;/span&gt;&lt;/row&gt;</t>
  </si>
  <si>
    <t xml:space="preserve">        &lt;row label="r5B" cond="Xrandom2.r2"&gt;&lt;span style="font-size: 12pt;"&gt;&lt;strong&gt;American Academy of Family Physicians (AAFP)&lt;/strong&gt;&lt;/span&gt;&lt;/row&gt;</t>
  </si>
  <si>
    <t xml:space="preserve">        &lt;row label="r6B" cond="Xrandom2.r2"&gt;&lt;span style="font-size: 12pt;"&gt;&lt;strong&gt;Infectious Diseases Society of America (IDSA)&lt;/strong&gt;&lt;/span&gt;&lt;/row&gt;</t>
  </si>
  <si>
    <t xml:space="preserve">        &lt;row label="r7"&gt;&lt;span style="font-size: 12pt;"&gt;&lt;strong&gt;Automobile manufacturers&lt;/strong&gt;&lt;/span&gt;&lt;/row&gt;</t>
  </si>
  <si>
    <t xml:space="preserve">        &lt;row label="r8"&gt;&lt;span style="font-size: 12pt;"&gt;&lt;strong&gt;Oil and gas companies&lt;/strong&gt;&lt;/span&gt;&lt;/row&gt;</t>
  </si>
  <si>
    <t xml:space="preserve">        &lt;row label="r9"&gt;&lt;span style="font-size: 12pt;"&gt;&lt;strong&gt;Artificial Intelligence / Technology companies&lt;/strong&gt;&lt;/span&gt;&lt;/row&gt;</t>
  </si>
  <si>
    <t xml:space="preserve">        &lt;row label="r10"&gt;&lt;span style="font-size: 12pt;"&gt;&lt;strong&gt;NIH (National Institutes of Health)&lt;/strong&gt;&lt;/span&gt;&lt;/row&gt;</t>
  </si>
  <si>
    <t xml:space="preserve">        &lt;row label="r11"&gt;&lt;span style="font-size: 12pt;"&gt;&lt;strong&gt;CDC (Centers for Disease Control)&lt;/strong&gt;&lt;/span&gt;&lt;/row&gt;</t>
  </si>
  <si>
    <t xml:space="preserve">        &lt;row label="r12"&gt;&lt;span style="font-size: 12pt;"&gt;&lt;strong&gt;FDA (Food and Drug Administration)&lt;/strong&gt;&lt;/span&gt;&lt;/row&gt;</t>
  </si>
  <si>
    <t xml:space="preserve">     label="CORPFAV"</t>
  </si>
  <si>
    <t xml:space="preserve">        &lt;title&gt;Rate your overall impressions of each of the following companies.&lt;/title&gt;</t>
  </si>
  <si>
    <t xml:space="preserve">        &lt;comment&gt;&lt;span style="font-size: 10pt;"&gt;&lt;em&gt;Rate your impressions on a scale from zero (0) to ten (10) where zero means you have &lt;/em&gt;&lt;strong&gt;very &lt;span style="text-decoration: underline;"&gt;un&lt;/span&gt;favorable&lt;/strong&gt;&lt;em&gt; impressions and ten means you have &lt;/em&gt;&lt;strong&gt;very favorable&lt;/strong&gt;&lt;em&gt; impressions.&lt;br /&gt;&lt;br /&gt;&lt;/em&gt;&lt;span style="font-size: 12pt;"&gt;Unless you are &lt;strong&gt;completely unfamiliar&lt;/strong&gt; with the company, we'd appreciate if you would share your general impressions.&lt;/span&gt;&lt;/span&gt;&lt;/comment&gt;</t>
  </si>
  <si>
    <t xml:space="preserve">        &lt;row label="r15"&gt;&lt;strong&gt;&lt;span style="font-size: 12pt;"&gt;Pfizer&lt;/span&gt;&lt;/strong&gt;&lt;/row&gt;</t>
  </si>
  <si>
    <t xml:space="preserve">        &lt;row label="r16"&gt;&lt;strong&gt;&lt;span style="font-size: 12pt;"&gt;Bristol Myers Squibb (BMS)&lt;/span&gt;&lt;/strong&gt;&lt;/row&gt;</t>
  </si>
  <si>
    <t xml:space="preserve">        &lt;row label="r17"&gt;&lt;strong&gt;&lt;span style="font-size: 12pt;"&gt;Amgen&lt;/span&gt;&lt;/strong&gt;&lt;/row&gt;</t>
  </si>
  <si>
    <t xml:space="preserve">        &lt;row label="r18"&gt;&lt;strong&gt;&lt;span style="font-size: 12pt;"&gt;Eli Lilly&lt;/span&gt;&lt;/strong&gt;&lt;/row&gt;</t>
  </si>
  <si>
    <t xml:space="preserve">        &lt;row label="r19"&gt;&lt;strong&gt;&lt;span style="font-size: 12pt;"&gt;Novartis&lt;/span&gt;&lt;/strong&gt;&lt;/row&gt;</t>
  </si>
  <si>
    <t xml:space="preserve">        &lt;row label="r20"&gt;&lt;strong&gt;&lt;span style="font-size: 12pt;"&gt;Merck&lt;/span&gt;&lt;/strong&gt;&lt;/row&gt;</t>
  </si>
  <si>
    <t xml:space="preserve">        &lt;row label="r21"&gt;&lt;strong&gt;&lt;span style="font-size: 12pt;"&gt;Johnson &amp;amp;amp; Johnson&lt;/span&gt;&lt;/strong&gt;&lt;/row&gt;</t>
  </si>
  <si>
    <t xml:space="preserve">        &lt;row label="r22"&gt;&lt;strong&gt;&lt;span style="font-size: 12pt;"&gt;Ford Motor Company&lt;/span&gt;&lt;/strong&gt;&lt;/row&gt;</t>
  </si>
  <si>
    <t xml:space="preserve">        &lt;row label="r23"&gt;&lt;strong&gt;&lt;span style="font-size: 12pt;"&gt;General Motors&lt;/span&gt;&lt;/strong&gt;&lt;/row&gt;</t>
  </si>
  <si>
    <t xml:space="preserve">        &lt;row label="r24"&gt;&lt;strong&gt;&lt;span style="font-size: 12pt;"&gt;OpenAI&lt;/span&gt;&lt;/strong&gt;&lt;/row&gt;</t>
  </si>
  <si>
    <t xml:space="preserve">        &lt;row label="r25"&gt;&lt;strong&gt;&lt;span style="font-size: 12pt;"&gt;Google&lt;/span&gt;&lt;/strong&gt;&lt;/row&gt;</t>
  </si>
  <si>
    <t xml:space="preserve">        &lt;row label="r26"&gt;&lt;strong&gt;&lt;span style="font-size: 12pt;"&gt;Chevron&lt;/span&gt;&lt;/strong&gt;&lt;/row&gt;</t>
  </si>
  <si>
    <t xml:space="preserve">     label="INVEST_AWARE"</t>
  </si>
  <si>
    <t xml:space="preserve">     randomize="0"&gt;</t>
  </si>
  <si>
    <t xml:space="preserve">        &lt;title&gt;&lt;strong&gt;&lt;span style="color: black;"&gt;Have you heard or seen anything recently about companies committing to significant investments—such as new factories, major expansions, or large job-creation projects—here in the United States?&lt;/span&gt;&lt;/strong&gt;&lt;/title&gt;</t>
  </si>
  <si>
    <t xml:space="preserve">        &lt;comment&gt;Select one&lt;/comment&gt;</t>
  </si>
  <si>
    <t xml:space="preserve">        &lt;row label="r1"&gt;Yes, I’ve &lt;strong&gt;heard a lot&lt;/strong&gt; about this recently&lt;/row&gt;</t>
  </si>
  <si>
    <t xml:space="preserve">        &lt;row label="r2"&gt;Yes, I’ve &lt;strong&gt;heard a little&lt;/strong&gt; about this recently&lt;/row&gt;</t>
  </si>
  <si>
    <t xml:space="preserve">        &lt;row label="r3"&gt;Yes, but&lt;strong&gt; I don’t recall any details&lt;/strong&gt; or specific companies&lt;/row&gt;</t>
  </si>
  <si>
    <t xml:space="preserve">        &lt;row label="r4"&gt;&lt;strong&gt;No, I haven’t heard anything&lt;/strong&gt; about this recently&lt;/row&gt;</t>
  </si>
  <si>
    <t xml:space="preserve">        &lt;row label="r5"&gt;Not sure&lt;/row&gt;</t>
  </si>
  <si>
    <t xml:space="preserve">      &lt;text </t>
  </si>
  <si>
    <t xml:space="preserve">     label="INVEST_AWARE_OE"</t>
  </si>
  <si>
    <t xml:space="preserve">     size="25"</t>
  </si>
  <si>
    <t xml:space="preserve">     verify="len(10)"&gt;</t>
  </si>
  <si>
    <t xml:space="preserve">        &lt;title&gt;&lt;span style="color: black;"&gt;What have you heard or seen recently about companies making major investments in the United States? &lt;strong&gt;Please describe what you remember.&lt;/strong&gt;&lt;/span&gt;&lt;/title&gt;</t>
  </si>
  <si>
    <t xml:space="preserve">        &lt;comment&gt;Be as specific as you can&lt;/comment&gt;</t>
  </si>
  <si>
    <t xml:space="preserve">      &lt;/text&gt;</t>
  </si>
  <si>
    <t xml:space="preserve">     label="INVEST_AWARE_CO"</t>
  </si>
  <si>
    <t xml:space="preserve">     autosuggest:answerKey="answerKey"</t>
  </si>
  <si>
    <t xml:space="preserve">     autosuggest:excludeRowSelections="1"</t>
  </si>
  <si>
    <t xml:space="preserve">     autosuggest:filename="INVEST_AWARE_CO.dat"</t>
  </si>
  <si>
    <t xml:space="preserve">     autosuggest:uniqueKey="uniqueKey"</t>
  </si>
  <si>
    <t xml:space="preserve">     size="40"</t>
  </si>
  <si>
    <t xml:space="preserve">     uses="autosuggest.4"&gt;</t>
  </si>
  <si>
    <t xml:space="preserve">        &lt;title&gt;&lt;span style="color: black;"&gt;Do you remember any &lt;strong&gt;company names&lt;/strong&gt; connected to what you heard? If yes, list the names you remember:&lt;/span&gt;&lt;/title&gt;</t>
  </si>
  <si>
    <t xml:space="preserve">        &lt;comment&gt;Be specific&lt;/comment&gt;</t>
  </si>
  <si>
    <t xml:space="preserve">        &lt;col label="c1"&gt;ID&lt;/col&gt;</t>
  </si>
  <si>
    <t xml:space="preserve">        &lt;col label="c2"&gt;Text&lt;/col&gt;</t>
  </si>
  <si>
    <t xml:space="preserve">        &lt;row label="r1"&gt;&lt;span style="display: none;"&gt;Autofill 1&lt;/span&gt;&lt;/row&gt;</t>
  </si>
  <si>
    <t xml:space="preserve">        &lt;row label="r2"&gt;&lt;span style="display: none;"&gt;Autofill 2&lt;/span&gt;&lt;/row&gt;</t>
  </si>
  <si>
    <t xml:space="preserve">        &lt;row label="r3"&gt;&lt;span style="display: none;"&gt;Autofill 3&lt;/span&gt;&lt;/row&gt;</t>
  </si>
  <si>
    <t xml:space="preserve">     label="JOBALIGNA"</t>
  </si>
  <si>
    <t xml:space="preserve">     cond="Xrandom2.r1"</t>
  </si>
  <si>
    <t xml:space="preserve">     cardrating:lrg_maxwidth="85%"</t>
  </si>
  <si>
    <t xml:space="preserve">     fir="off"</t>
  </si>
  <si>
    <t xml:space="preserve">     grouping="rows"</t>
  </si>
  <si>
    <t xml:space="preserve">        &lt;title&gt;&lt;strong&gt;&lt;span style="font-size: 12pt;"&gt;&lt;span style="color: black;"&gt;T&lt;/span&gt;&lt;span style="color: black;"&gt;hinking about job creation in the United States, how much do you believe each of the following industries creates jobs for people like you?&lt;/span&gt;&lt;/span&gt;&lt;/strong&gt;&lt;span style="color: black;"&gt;&lt;/span&gt;&lt;/title&gt;</t>
  </si>
  <si>
    <t xml:space="preserve">        &lt;col label="c1"&gt;Not at all&lt;/col&gt;</t>
  </si>
  <si>
    <t xml:space="preserve">        &lt;col label="c2"&gt;Not very much&lt;/col&gt;</t>
  </si>
  <si>
    <t xml:space="preserve">        &lt;col label="c3"&gt;Some&lt;/col&gt;</t>
  </si>
  <si>
    <t xml:space="preserve">        &lt;col label="c4"&gt;A great deal&lt;/col&gt;</t>
  </si>
  <si>
    <t xml:space="preserve">        &lt;row label="r1"&gt;&lt;span style="font-size: 14pt;"&gt;&lt;strong&gt;Oil &amp;amp;amp; Gas&lt;/strong&gt;&lt;/span&gt;&lt;/row&gt;</t>
  </si>
  <si>
    <t xml:space="preserve">        &lt;row label="r2"&gt;&lt;span style="font-size: 14pt;"&gt;&lt;strong&gt;Automotive Manufacturing&lt;/strong&gt;&lt;/span&gt;&lt;/row&gt;</t>
  </si>
  <si>
    <t xml:space="preserve">        &lt;row label="r3"&gt;&lt;span style="font-size: 14pt;"&gt;&lt;strong&gt;Artificial Intelligence / Tech&lt;/strong&gt;&lt;/span&gt;&lt;/row&gt;</t>
  </si>
  <si>
    <t xml:space="preserve">        &lt;row label="r4"&gt;&lt;span style="font-size: 14pt;"&gt;&lt;strong&gt;Biopharmaceuticals&lt;/strong&gt;&lt;/span&gt;&lt;/row&gt;</t>
  </si>
  <si>
    <t xml:space="preserve">     label="JOBALIGNB"</t>
  </si>
  <si>
    <t xml:space="preserve">     cond="Xrandom2.r2"</t>
  </si>
  <si>
    <t xml:space="preserve">        &lt;title&gt;&lt;strong&gt;&lt;span style="font-size: 12pt;"&gt;&lt;span style="color: black;"&gt;T&lt;/span&gt;&lt;span style="color: black;"&gt;hinking about job creation in the United States, how much do you believe each of the following industries creates good jobs in the United States?&lt;/span&gt;&lt;/span&gt;&lt;/strong&gt;&lt;span style="color: black;"&gt;&lt;/span&gt;&lt;/title&gt;</t>
  </si>
  <si>
    <t xml:space="preserve">     label="FUTUREJOB"</t>
  </si>
  <si>
    <t xml:space="preserve">     shuffle="rows"&gt;</t>
  </si>
  <si>
    <t xml:space="preserve">        &lt;title&gt;&lt;strong&gt;&lt;span style="color: black;"&gt;If you had to choose one, which of the following industries would you most want your children or grandchildren to work in in the future?&lt;/span&gt;&lt;/strong&gt;&lt;/title&gt;</t>
  </si>
  <si>
    <t xml:space="preserve">        &lt;row label="r1"&gt;Oil &amp;amp;amp; Gas&lt;/row&gt;</t>
  </si>
  <si>
    <t xml:space="preserve">        &lt;row label="r2"&gt;Automotive Manufacturing&lt;/row&gt;</t>
  </si>
  <si>
    <t xml:space="preserve">        &lt;row label="r3"&gt;Artificial Intelligence / Tech&lt;/row&gt;</t>
  </si>
  <si>
    <t xml:space="preserve">        &lt;row label="r4"&gt;Biopharmaceuticals&lt;/row&gt;</t>
  </si>
  <si>
    <t xml:space="preserve">        &lt;row label="r5" randomize="0"&gt;None of these&lt;/row&gt;</t>
  </si>
  <si>
    <t xml:space="preserve">        &lt;row label="r6" randomize="0"&gt;N/A or Unsure&lt;/row&gt;</t>
  </si>
  <si>
    <t xml:space="preserve">     label="JOBMOST"</t>
  </si>
  <si>
    <t xml:space="preserve">     shuffle="rows,choices"&gt;</t>
  </si>
  <si>
    <t xml:space="preserve">        &lt;title&gt;&lt;strong&gt;Which types of jobs do you &lt;/strong&gt;&lt;u&gt;most&lt;/u&gt;&lt;strong&gt; associate with each of the following industries?&lt;/strong&gt;&lt;br /&gt;&lt;span style="color: black;"&gt;&amp;amp;nbsp;&lt;/span&gt;&lt;/title&gt;</t>
  </si>
  <si>
    <t xml:space="preserve">        &lt;comment&gt;&lt;em&gt;Select from the dropdown menu the type of job you most associate with the industry.&lt;/em&gt;&lt;/comment&gt;</t>
  </si>
  <si>
    <t xml:space="preserve">        &lt;row label="r1"&gt;&lt;strong&gt;&lt;span style="font-size: 14pt;"&gt;Oil &amp;amp;amp; Gas&lt;/span&gt;&lt;/strong&gt;&lt;/row&gt;</t>
  </si>
  <si>
    <t xml:space="preserve">        &lt;row label="r2"&gt;&lt;strong&gt;&lt;span style="font-size: 14pt;"&gt;Automotive Manufacturing&lt;/span&gt;&lt;/strong&gt;&lt;/row&gt;</t>
  </si>
  <si>
    <t xml:space="preserve">        &lt;row label="r3"&gt;&lt;strong&gt;&lt;span style="font-size: 14pt;"&gt;Artificial Intelligence / Tech&lt;/span&gt;&lt;/strong&gt;&lt;/row&gt;</t>
  </si>
  <si>
    <t xml:space="preserve">        &lt;row label="r4"&gt;&lt;strong&gt;&lt;span style="font-size: 14pt;"&gt;Biopharmaceuticals&lt;/span&gt;&lt;/strong&gt;&lt;/row&gt;</t>
  </si>
  <si>
    <t xml:space="preserve">        &lt;choice label="ch1"&gt;&lt;strong&gt;&lt;span style="font-size: 10pt;"&gt;Front-line manufacturing or production workers&lt;/span&gt;&lt;/strong&gt;&lt;/choice&gt;</t>
  </si>
  <si>
    <t xml:space="preserve">        &lt;choice label="ch2"&gt;&lt;strong&gt;&lt;span style="font-size: 10pt;"&gt;Skilled trade workers (e.g., electricians, pipefitters, mechanics)&lt;/span&gt;&lt;/strong&gt;&lt;/choice&gt;</t>
  </si>
  <si>
    <t xml:space="preserve">        &lt;choice label="ch3"&gt;&lt;strong&gt;&lt;span style="font-size: 10pt;"&gt;Scientists or researchers working in labs&lt;/span&gt;&lt;/strong&gt;&lt;/choice&gt;</t>
  </si>
  <si>
    <t xml:space="preserve">        &lt;choice label="ch4"&gt;&lt;strong&gt;&lt;span style="font-size: 10pt;"&gt;Highly educated professionals (e.g., PhDs, data scientists)&lt;/span&gt;&lt;/strong&gt;&lt;/choice&gt;</t>
  </si>
  <si>
    <t xml:space="preserve">        &lt;choice label="ch5"&gt;&lt;strong&gt;&lt;span style="font-size: 10pt;"&gt;Engineers or technical specialists&lt;/span&gt;&lt;/strong&gt;&lt;/choice&gt;</t>
  </si>
  <si>
    <t xml:space="preserve">        &lt;choice label="ch6"&gt;&lt;strong&gt;&lt;span style="font-size: 10pt;"&gt;Corporate or marketing executives&lt;/span&gt;&lt;/strong&gt;&lt;/choice&gt;</t>
  </si>
  <si>
    <t xml:space="preserve">        &lt;choice label="ch7"&gt;&lt;strong&gt;&lt;span style="font-size: 10pt;"&gt;Administrative or support staff&lt;/span&gt;&lt;/strong&gt;&lt;/choice&gt;</t>
  </si>
  <si>
    <t xml:space="preserve">        &lt;choice label="ch8" randomize="0"&gt;None of the above&lt;/choice&gt;</t>
  </si>
  <si>
    <t xml:space="preserve">     label="JOBLEAST"</t>
  </si>
  <si>
    <t xml:space="preserve">        &lt;title&gt;&lt;strong&gt;Which types of jobs do you &lt;/strong&gt;&lt;u&gt;least&lt;/u&gt;&lt;strong&gt; associate with each of the following industries?&lt;/strong&gt;&lt;br /&gt;&lt;span style="color: black;"&gt;&amp;amp;nbsp;&lt;/span&gt;&lt;/title&gt;</t>
  </si>
  <si>
    <t xml:space="preserve">        &lt;comment&gt;&lt;em&gt;Select from the dropdown menu the type of job you least associate with the industry.&lt;/em&gt;&lt;/comment&gt;</t>
  </si>
  <si>
    <t xml:space="preserve">        &lt;style name="question.after"&gt;&lt;![CDATA[</t>
  </si>
  <si>
    <t>setInterval(function () {</t>
  </si>
  <si>
    <t>var r = [];</t>
  </si>
  <si>
    <t>r[1] = ${JOBMOST.r1.val};</t>
  </si>
  <si>
    <t>r[2] = ${JOBMOST.r2.val};</t>
  </si>
  <si>
    <t>r[3] = ${JOBMOST.r3.val};</t>
  </si>
  <si>
    <t>r[4] = ${JOBMOST.r4.val};</t>
  </si>
  <si>
    <t>for (var i = 1; i &lt;= 4; i++)</t>
  </si>
  <si>
    <t xml:space="preserve">{     </t>
  </si>
  <si>
    <t>if (r[i]!=7)</t>
  </si>
  <si>
    <t>{</t>
  </si>
  <si>
    <t>$ (".row" + i + " .dropdown option[value='" + r[i] + "']").prop("disabled", true).prop("selected", false).css({"color": "#999","background-color": "#f2f2f2" });</t>
  </si>
  <si>
    <t>}, 100);</t>
  </si>
  <si>
    <t xml:space="preserve">        &lt;row label="r1" ss:rowClassNames="row1"&gt;&lt;strong&gt;&lt;span style="font-size: 14pt;"&gt;Oil &amp;amp;amp; Gas&lt;/span&gt;&lt;/strong&gt;&lt;/row&gt;</t>
  </si>
  <si>
    <t xml:space="preserve">        &lt;row label="r2" ss:rowClassNames="row2"&gt;&lt;strong&gt;&lt;span style="font-size: 14pt;"&gt;Automotive Manufacturing&lt;/span&gt;&lt;/strong&gt;&lt;/row&gt;</t>
  </si>
  <si>
    <t xml:space="preserve">        &lt;row label="r3" ss:rowClassNames="row3"&gt;&lt;strong&gt;&lt;span style="font-size: 14pt;"&gt;Artificial Intelligence / Tech&lt;/span&gt;&lt;/strong&gt;&lt;/row&gt;</t>
  </si>
  <si>
    <t xml:space="preserve">        &lt;row label="r4" ss:rowClassNames="row4"&gt;&lt;strong&gt;&lt;span style="font-size: 14pt;"&gt;Biopharmaceuticals&lt;/span&gt;&lt;/strong&gt;&lt;/row&gt;</t>
  </si>
  <si>
    <t xml:space="preserve">        &lt;choice label="ch8" cond="1" randomize="0"&gt;None of the above&lt;/choice&gt;</t>
  </si>
  <si>
    <t xml:space="preserve">     label="AL_PRE_RANK"</t>
  </si>
  <si>
    <t xml:space="preserve">     minRanks="5"</t>
  </si>
  <si>
    <t xml:space="preserve">     uses="ranksort.7"</t>
  </si>
  <si>
    <t xml:space="preserve">     values="reverse"&gt;</t>
  </si>
  <si>
    <t xml:space="preserve">        &lt;title&gt;&lt;strong&gt;&lt;span style="color: black;"&gt;Which industries do you think are most important for America to be viewed as a global leader?&lt;/span&gt;&lt;/strong&gt;&lt;span style="color: black;"&gt; Rank these industries in order of importance.&lt;/span&gt;&lt;/title&gt;</t>
  </si>
  <si>
    <t xml:space="preserve">        &lt;comment&gt;Click or drag each item into a rank position.&lt;/comment&gt;</t>
  </si>
  <si>
    <t xml:space="preserve">        &lt;choice label="ch1" value="5"&gt;Most&lt;br /&gt;Important&lt;/choice&gt;</t>
  </si>
  <si>
    <t xml:space="preserve">        &lt;choice label="ch2" value="4"&gt;2nd &lt;br /&gt;most important&lt;/choice&gt;</t>
  </si>
  <si>
    <t xml:space="preserve">        &lt;choice label="ch5" value="3"&gt;3rd&lt;br /&gt;most important&lt;/choice&gt;</t>
  </si>
  <si>
    <t xml:space="preserve">        &lt;choice label="ch4" value="2"&gt;4th&lt;br /&gt;most important&lt;/choice&gt;</t>
  </si>
  <si>
    <t xml:space="preserve">        &lt;choice label="ch6" value="1"&gt;Least&lt;br /&gt;important&lt;/choice&gt;</t>
  </si>
  <si>
    <t xml:space="preserve">        &lt;row label="r1"&gt;&lt;strong&gt;Oil &amp;amp;amp; Gas&lt;/strong&gt;&lt;/row&gt;</t>
  </si>
  <si>
    <t xml:space="preserve">        &lt;row label="r2"&gt;&lt;strong&gt;Automotive Manufacturing&lt;/strong&gt;&lt;/row&gt;</t>
  </si>
  <si>
    <t xml:space="preserve">        &lt;row label="r3"&gt;&lt;strong&gt;Artificial Intelligence / Tech&lt;/strong&gt;&lt;/row&gt;</t>
  </si>
  <si>
    <t xml:space="preserve">        &lt;row label="r4"&gt;&lt;strong&gt;Biopharmaceuticals&lt;/strong&gt;&lt;/row&gt;</t>
  </si>
  <si>
    <t xml:space="preserve">        &lt;row label="r5"&gt;&lt;strong&gt;Aerospace&lt;/strong&gt;&lt;/row&gt;</t>
  </si>
  <si>
    <t xml:space="preserve">     label="AL_PRE"</t>
  </si>
  <si>
    <t xml:space="preserve">        &lt;title&gt;&lt;span style="color: black;"&gt;How important is it for...&lt;/span&gt;&lt;/title&gt;</t>
  </si>
  <si>
    <t xml:space="preserve">        &lt;comment&gt;&lt;span style="font-size: 10pt;"&gt;Please select a button for each card.&lt;/span&gt;&lt;/comment&gt;</t>
  </si>
  <si>
    <t>.sq-cardrating-cards {</t>
  </si>
  <si>
    <t xml:space="preserve">} </t>
  </si>
  <si>
    <t xml:space="preserve">  &lt;/style&gt;</t>
  </si>
  <si>
    <t xml:space="preserve">        &lt;col label="c1"&gt;Not at all&lt;br /&gt;Important&lt;/col&gt;</t>
  </si>
  <si>
    <t xml:space="preserve">        &lt;col label="c2"&gt;Unimportant&lt;/col&gt;</t>
  </si>
  <si>
    <t xml:space="preserve">        &lt;col label="c3"&gt;Somewhat&lt;br /&gt;Unimportant&lt;/col&gt;</t>
  </si>
  <si>
    <t xml:space="preserve">        &lt;col label="c4"&gt;Neither/&lt;br /&gt;Neutral&lt;/col&gt;</t>
  </si>
  <si>
    <t xml:space="preserve">        &lt;col label="c5"&gt;Somewhat&lt;br /&gt;Important&lt;/col&gt;</t>
  </si>
  <si>
    <t xml:space="preserve">        &lt;col label="c6"&gt;Important&lt;/col&gt;</t>
  </si>
  <si>
    <t xml:space="preserve">        &lt;col label="c7"&gt;Very&lt;br /&gt;Important&lt;/col&gt;</t>
  </si>
  <si>
    <t xml:space="preserve">        &lt;row label="r1"&gt;&lt;span style="font-size: 12pt;"&gt;&lt;strong&gt;&lt;span style="color: black;"&gt;New medicines used by American patients are invented and manufactured in the United States&lt;/span&gt;&lt;/strong&gt;&lt;/span&gt;&lt;/row&gt;</t>
  </si>
  <si>
    <t xml:space="preserve">        &lt;row label="r2"&gt;&lt;span style="font-size: 12pt;"&gt;&lt;strong&gt;&lt;span style="color: black;"&gt;Congress to support policies that protect America’s leadership in biopharmaceutical innovation and manufacturing&lt;/span&gt;&lt;/strong&gt;&lt;/span&gt;&lt;/row&gt;</t>
  </si>
  <si>
    <t xml:space="preserve">    label="INVESTVAR"</t>
  </si>
  <si>
    <t xml:space="preserve">    where="execute,survey,report"&gt;</t>
  </si>
  <si>
    <t xml:space="preserve">      &lt;title&gt;HIDDEN: Investment Variable Random Selection&lt;/title&gt;</t>
  </si>
  <si>
    <t>if not(SECTORFAV.r1.c12):</t>
  </si>
  <si>
    <t>INVESTVAR.r1.val=1</t>
  </si>
  <si>
    <t>if not(CORPFAV.r15.c12):</t>
  </si>
  <si>
    <t>INVESTVAR.r2.val=1</t>
  </si>
  <si>
    <t>if not(CORPFAV.r16.c12):</t>
  </si>
  <si>
    <t>INVESTVAR.r3.val=1</t>
  </si>
  <si>
    <t>if not(CORPFAV.r17.c12):</t>
  </si>
  <si>
    <t>INVESTVAR.r4.val=1</t>
  </si>
  <si>
    <t>if not(CORPFAV.r18.c12):</t>
  </si>
  <si>
    <t>INVESTVAR.r5.val=1</t>
  </si>
  <si>
    <t>if not(CORPFAV.r19.c12):</t>
  </si>
  <si>
    <t>INVESTVAR.r6.val=1</t>
  </si>
  <si>
    <t>if not(CORPFAV.r20.c12):</t>
  </si>
  <si>
    <t>INVESTVAR.r7.val=1</t>
  </si>
  <si>
    <t xml:space="preserve">      &lt;row label="r1"&gt;Industry CONTROL&lt;/row&gt;</t>
  </si>
  <si>
    <t xml:space="preserve">      &lt;row label="r2"&gt;Pfizer&lt;/row&gt;</t>
  </si>
  <si>
    <t xml:space="preserve">      &lt;row label="r3"&gt;BMS&lt;/row&gt;</t>
  </si>
  <si>
    <t xml:space="preserve">      &lt;row label="r4"&gt;Amgen&lt;/row&gt;</t>
  </si>
  <si>
    <t xml:space="preserve">      &lt;row label="r5"&gt;Lilly&lt;/row&gt;</t>
  </si>
  <si>
    <t xml:space="preserve">      &lt;row label="r6"&gt;Novartis&lt;/row&gt;</t>
  </si>
  <si>
    <t xml:space="preserve">      &lt;row label="r7"&gt;Merck&lt;/row&gt;</t>
  </si>
  <si>
    <t xml:space="preserve">    &lt;quota label="QUOTA_INVESTVAR" cond="INVESTVAR.count gt 0" overquota="noqual" sheet="INVESTVAR"/&gt;</t>
  </si>
  <si>
    <t xml:space="preserve">    label="XINVESTVAR"</t>
  </si>
  <si>
    <t>for x in range(7):</t>
  </si>
  <si>
    <t xml:space="preserve">    if hasMarker("/INVESTVAR/inves_{}".format(x+1)):</t>
  </si>
  <si>
    <t xml:space="preserve">        XINVESTVAR.val = x</t>
  </si>
  <si>
    <t xml:space="preserve">    &lt;block label="BLOCK_INVESTVAR" builder:title="Investment Variable Split Sample" count="1" randomizeChildren="1"&gt;</t>
  </si>
  <si>
    <t xml:space="preserve">     label="INVESTVAR_INDUSTRY"</t>
  </si>
  <si>
    <t xml:space="preserve">     cond="XINVESTVAR.r1"&gt;</t>
  </si>
  <si>
    <t xml:space="preserve">        &lt;title&gt;&lt;strong&gt;&lt;span style="color: black;"&gt;The US biopharmaceutical industry has announced that it will be investing $500 billion in new US manufacturing over the next ten years.&amp;amp;nbsp; &lt;/span&gt;&lt;/strong&gt;&lt;/title&gt;</t>
  </si>
  <si>
    <t xml:space="preserve">        &lt;comment&gt;&lt;span style="color: black;"&gt;Had you seen or heard anything about this news before now?&lt;/span&gt;&lt;/comment&gt;</t>
  </si>
  <si>
    <t xml:space="preserve">        &lt;row label="r1"&gt;Yes, I &lt;strong&gt;heard quite a bit&lt;/strong&gt;&lt;/row&gt;</t>
  </si>
  <si>
    <t xml:space="preserve">        &lt;row label="r2"&gt;Yes, I’ve&lt;strong&gt; heard a little&lt;/strong&gt; about this&lt;/row&gt;</t>
  </si>
  <si>
    <t xml:space="preserve">        &lt;row label="r3"&gt;Yes, but I &lt;strong&gt;don’t recall any details&lt;/strong&gt;&lt;/row&gt;</t>
  </si>
  <si>
    <t xml:space="preserve">        &lt;row label="r4"&gt;No, I had &lt;strong&gt;not heard anything&lt;/strong&gt; about this until now&lt;/row&gt;</t>
  </si>
  <si>
    <t xml:space="preserve">     label="INVESTVAR_PFIZER"</t>
  </si>
  <si>
    <t xml:space="preserve">     cond="XINVESTVAR.r2"&gt;</t>
  </si>
  <si>
    <t xml:space="preserve">        &lt;title&gt;&lt;strong&gt;&lt;span style="color: #002060;"&gt;Pfizer &lt;/span&gt;&lt;span style="color: #002060;"&gt;announced it will be investing $83 billion in American biotech research and manufacturing.&lt;/span&gt;&lt;/strong&gt;&lt;/title&gt;</t>
  </si>
  <si>
    <t xml:space="preserve">     label="INVESTVAR_BMS"</t>
  </si>
  <si>
    <t xml:space="preserve">     cond="XINVESTVAR.r3"&gt;</t>
  </si>
  <si>
    <t xml:space="preserve">        &lt;title&gt;&lt;strong&gt;&lt;span style="color: #002060;"&gt;Bristol Myers Squibb (“BMS”) &lt;/span&gt;&lt;span style="color: #002060;"&gt;announced plans to invest $40 billion over the next five years across R&amp;amp;amp;D, technology, and manufacturing in the United States.&lt;/span&gt;&lt;/strong&gt;&lt;/title&gt;</t>
  </si>
  <si>
    <t xml:space="preserve">     label="INVESTVAR_AMGEN"</t>
  </si>
  <si>
    <t xml:space="preserve">     cond="XINVESTVAR.r4"&gt;</t>
  </si>
  <si>
    <t xml:space="preserve">        &lt;title&gt;&lt;strong&gt;&lt;span style="color: #002060;"&gt;Amgen &lt;/span&gt;&lt;span style="color: #002060;"&gt;has committed to investing $40 billion in R&amp;amp;amp;D and manufacturing, including a $900 million manufacturing expansion in Central Ohio.&lt;/span&gt;&lt;/strong&gt;&lt;/title&gt;</t>
  </si>
  <si>
    <t xml:space="preserve">     label="INVESTVAR_LILLY"</t>
  </si>
  <si>
    <t xml:space="preserve">     cond="XINVESTVAR.r5"&gt;</t>
  </si>
  <si>
    <t xml:space="preserve">        &lt;title&gt;&lt;strong&gt;&lt;span style="color: #002060;"&gt;Eli Lilly &lt;/span&gt;&lt;span style="color: #002060;"&gt;announced $50 billion capital investment to expand U.S. manufacturing commitment, with new sites planned in Texas and Virginia. &lt;/span&gt;&lt;/strong&gt;&lt;/title&gt;</t>
  </si>
  <si>
    <t xml:space="preserve">     label="INVESTVAR_NOVARTIS"</t>
  </si>
  <si>
    <t xml:space="preserve">     cond="XINVESTVAR.r6"&gt;</t>
  </si>
  <si>
    <t xml:space="preserve">        &lt;title&gt;&lt;strong&gt;&lt;span style="color: #002060;"&gt;Novartis &lt;/span&gt;&lt;span style="color: #002060;"&gt;announced a $23 billion investment in American manufacturing capacity to enable 100% of the company's key medicines to be produced end-to-end in the US.&lt;/span&gt;&lt;/strong&gt;&lt;/title&gt;</t>
  </si>
  <si>
    <t xml:space="preserve">     label="INVESTVAR_MERCK"</t>
  </si>
  <si>
    <t xml:space="preserve">     cond="XINVESTVAR.r7"&gt;</t>
  </si>
  <si>
    <t xml:space="preserve">        &lt;title&gt;&lt;strong&gt;&lt;span style="color: #002060;"&gt;Merck &lt;/span&gt;&lt;span style="color: #002060;"&gt;announced a $70 billion investment beginning in 2025 to expand U.S. manufacturing and research and development.&lt;/span&gt;&lt;/strong&gt;&lt;/title&gt;</t>
  </si>
  <si>
    <t xml:space="preserve">    &lt;block label="BIOPHBlock" builder:title="BIOPH Block"&gt;</t>
  </si>
  <si>
    <t>for i in range(11):</t>
  </si>
  <si>
    <t xml:space="preserve">Item = allQuestions["QBIOPH_Item%s" % (i+1)]    </t>
  </si>
  <si>
    <t>if Xrandom4.r1:</t>
  </si>
  <si>
    <t>Item.val=XSEG_ASSIGNED.val</t>
  </si>
  <si>
    <t>Item.val=16</t>
  </si>
  <si>
    <t xml:space="preserve">     label="QBIOPH_Item1"</t>
  </si>
  <si>
    <t xml:space="preserve">        &lt;title&gt;HIDDEN: American Leadership maxdiff item1&lt;/title&gt;</t>
  </si>
  <si>
    <t xml:space="preserve">        &lt;row label="r1"&gt;It's time for America to do big things again—leading the world in medicine manufacturing, an industry that matters to every family paying healthcare bills.&lt;/row&gt;</t>
  </si>
  <si>
    <t xml:space="preserve">        &lt;row label="r2"&gt;America doing big things again includes building medicine manufacturing here—where we can set our own standards and aren't dependent on foreign countries with different values.&lt;/row&gt;</t>
  </si>
  <si>
    <t xml:space="preserve">        &lt;row label="r3"&gt;America doing big things again means leading in medicine manufacturing—an industry that matters for our families, our security, and our national strength.&lt;/row&gt;</t>
  </si>
  <si>
    <t xml:space="preserve">        &lt;row label="r4"&gt;It's time for America to do big things again—leading the world in making medicines here, not surrendering a vital industry to foreign powers and global elites.&lt;/row&gt;</t>
  </si>
  <si>
    <t xml:space="preserve">        &lt;row label="r5"&gt;America used to do big things. Leading the world in medicine manufacturing is the kind of industry that matters—one that can deliver for working families, not just Wall Street.&lt;/row&gt;</t>
  </si>
  <si>
    <t xml:space="preserve">        &lt;row label="r6"&gt;America doing big things again means taking the lead in medicine manufacturing—an industry that matters for families who want real control over their health choices.&lt;/row&gt;</t>
  </si>
  <si>
    <t xml:space="preserve">        &lt;row label="r7"&gt;America must do big things again. Leading the world in medicine manufacturing is exactly the kind of high-stakes industry where American ambition should dominate.&lt;/row&gt;</t>
  </si>
  <si>
    <t xml:space="preserve">        &lt;row label="r8"&gt;If America is going to do big things again, leading in medicine manufacturing means building an industry here—where we can see what's happening, not trust foreign black boxes.&lt;/row&gt;</t>
  </si>
  <si>
    <t xml:space="preserve">        &lt;row label="r9"&gt;America doing big things again means building medicine manufacturing here—where patients have more choices and aren't dependent on foreign countries for their health options.&lt;/row&gt;</t>
  </si>
  <si>
    <t xml:space="preserve">        &lt;row label="r10"&gt;America should do big things again—leading the world in medicine manufacturing, where scientific breakthroughs can reach patients in every community.&lt;/row&gt;</t>
  </si>
  <si>
    <t xml:space="preserve">        &lt;row label="r11"&gt;America doing big things again must include tackling the biggest challenges in health care which can’t happen if we lose our leadership  in developing and making medicines here at home.&lt;/row&gt;</t>
  </si>
  <si>
    <t xml:space="preserve">        &lt;row label="r12"&gt;America doing big things again must include leading in medicine manufacturing—an industry that matters for health, jobs, and strong communities.&lt;/row&gt;</t>
  </si>
  <si>
    <t xml:space="preserve">        &lt;row label="r13"&gt;America doing big things again means leading in medicine manufacturing—an industry that matters to working families who built this country and deserve these jobs.&lt;/row&gt;</t>
  </si>
  <si>
    <t xml:space="preserve">        &lt;row label="r14"&gt;America can and must do big things again—leading the world in medicine manufacturing can help us remain a global leader.&lt;/row&gt;</t>
  </si>
  <si>
    <t xml:space="preserve">        &lt;row label="r15"&gt;America can do big things again by leading in medicine manufacturing—an industry that matters for stable jobs and the treatments Americans depend on.&lt;/row&gt;</t>
  </si>
  <si>
    <t xml:space="preserve">        &lt;row label="r16"&gt;Investing in U.S. medicine manufacturing is part of America doing big things again and working to solve our most urgent global challenges&lt;/row&gt;</t>
  </si>
  <si>
    <t xml:space="preserve">        &lt;row label="r17"&gt;Investing in U.S. medicine manufacturing is part of America doing big things again, leading the world in the industries that matter most.&lt;/row&gt;</t>
  </si>
  <si>
    <t xml:space="preserve">     label="QBIOPH_Item2"</t>
  </si>
  <si>
    <t xml:space="preserve">        &lt;title&gt;HIDDEN: American Leadership maxdiff item2&lt;/title&gt;</t>
  </si>
  <si>
    <t xml:space="preserve">        &lt;row label="r1"&gt;When we depend on foreign countries for critical medicines, American patients are vulnerable in every crisis. We need domestic supply chains we can count on.&lt;/row&gt;</t>
  </si>
  <si>
    <t xml:space="preserve">        &lt;row label="r2"&gt;Depending on foreign countries for critical medicines leaves American families vulnerable when crises hit. We need domestic production we can count on.&lt;/row&gt;</t>
  </si>
  <si>
    <t xml:space="preserve">        &lt;row label="r3"&gt;Depending on foreign nations for critical medicines is a security risk. American families shouldn't be vulnerable to foreign supply disruptions during crises or conflicts.&lt;/row&gt;</t>
  </si>
  <si>
    <t xml:space="preserve">        &lt;row label="r4"&gt;Foreign medicine dependence is a national security disaster. In crises or conflicts, America can't be at the mercy of countries that don't share our interests.&lt;/row&gt;</t>
  </si>
  <si>
    <t xml:space="preserve">        &lt;row label="r5"&gt;When crises hit, foreign medicine dependence means shortages and price spikes that crush working families. We can't be this vulnerable to overseas suppliers.&lt;/row&gt;</t>
  </si>
  <si>
    <t xml:space="preserve">        &lt;row label="r6"&gt;Relying on foreign countries for critical medicines leaves American families vulnerable. In a crisis, you can't depend on overseas supply chains to protect your health.&lt;/row&gt;</t>
  </si>
  <si>
    <t xml:space="preserve">        &lt;row label="r7"&gt;America must invent and make critical medicines at home.  Depending on foreign countries for critical medicines exposes America to supply disruptions in conflicts or trade wars.&lt;/row&gt;</t>
  </si>
  <si>
    <t xml:space="preserve">        &lt;row label="r8"&gt;Depending on foreign countries for medicines means trusting supply chains we can't see or verify. In a crisis, that vulnerability puts every American family at risk.&lt;/row&gt;</t>
  </si>
  <si>
    <t xml:space="preserve">        &lt;row label="r9"&gt;Depending on foreign countries for critical medicines puts patients at risk. When supply chains fail, individuals lose the ability to make their own treatment decisions.&lt;/row&gt;</t>
  </si>
  <si>
    <t xml:space="preserve">        &lt;row label="r10"&gt;Foreign dependence for critical medicines leaves us exposed during crises. Domestic manufacturing ensures reliable supply when communities need treatments most.&lt;/row&gt;</t>
  </si>
  <si>
    <t xml:space="preserve">        &lt;row label="r11"&gt;Foreign dependence on critical medicines creates vulnerability that hits hardest when crises come. Domestic manufacturing protects all American patients—especially those with the least margin for error.&lt;/row&gt;</t>
  </si>
  <si>
    <t xml:space="preserve">        &lt;row label="r12"&gt;Foreign dependence on medicines hits hardest in crises—and vulnerable communities suffer most from shortages. Domestic manufacturing protects all American families.&lt;/row&gt;</t>
  </si>
  <si>
    <t xml:space="preserve">        &lt;row label="r13"&gt;Working families can't afford medicine shortages when crises hit. Foreign dependence is a vulnerability that puts the people who built this country at risk.&lt;/row&gt;</t>
  </si>
  <si>
    <t xml:space="preserve">        &lt;row label="r14"&gt;America must invent and make critical medicines at home; depending too much on foreign countries leaves us vulnerable in crises, conflicts, or trade disputes.&lt;/row&gt;</t>
  </si>
  <si>
    <t xml:space="preserve">        &lt;row label="r15"&gt;Foreign medicine dependence puts the treatments Americans rely on at risk. In a crisis, supply disruptions could threaten coverage we've counted on for decades.&lt;/row&gt;</t>
  </si>
  <si>
    <t xml:space="preserve">        &lt;row label="r16"&gt;Foreign dependence on medicines creates cascading vulnerabilities for global health systems and patients here at home.&lt;/row&gt;</t>
  </si>
  <si>
    <t xml:space="preserve">        &lt;row label="r17"&gt;America must invent and make critical medicines at home; depending too much on foreign countries leaves us vulnerable in crises, conflicts, or trade disputes.&lt;/row&gt;</t>
  </si>
  <si>
    <t xml:space="preserve">     label="QBIOPH_Item3"</t>
  </si>
  <si>
    <t xml:space="preserve">        &lt;title&gt;HIDDEN: American Leadership maxdiff item3&lt;/title&gt;</t>
  </si>
  <si>
    <t xml:space="preserve">        &lt;row label="r1"&gt;China is racing to dominate medicine manufacturing while America falls behind. We can't let a strategic competitor control an industry that affects every patient.&lt;/row&gt;</t>
  </si>
  <si>
    <t xml:space="preserve">        &lt;row label="r2"&gt;China is rapidly expanding medicine manufacturing while America falls behind. We shouldn't cede this vital industry to a country that doesn't share our standards or values.&lt;/row&gt;</t>
  </si>
  <si>
    <t xml:space="preserve">        &lt;row label="r3"&gt;China is rapidly expanding its medicine industry while America risks falling behind. We cannot cede this vital sector to a communist regime that threatens our values.&lt;/row&gt;</t>
  </si>
  <si>
    <t xml:space="preserve">        &lt;row label="r4"&gt;China is taking over medicine manufacturing while America falls behind. Globalist policies handed a strategic competitor control over vital industries—and our health.&lt;/row&gt;</t>
  </si>
  <si>
    <t xml:space="preserve">        &lt;row label="r5"&gt;China is building medicine factories while American plants close. Corporate offshoring helped China gain ground—now working families pay the price.&lt;/row&gt;</t>
  </si>
  <si>
    <t xml:space="preserve">        &lt;row label="r6"&gt;China is rapidly expanding medicine manufacturing while America falls behind. Do we really want communist leaders controlling what families put in their bodies?&lt;/row&gt;</t>
  </si>
  <si>
    <t xml:space="preserve">        &lt;row label="r7"&gt;China is aggressively expanding medicine manufacturing and America risks falling behind. This is a strategic competition we cannot afford to lose—the future of biotech is at stake.&lt;/row&gt;</t>
  </si>
  <si>
    <t xml:space="preserve">        &lt;row label="r8"&gt;China is expanding medicine production while America falls behind. A regime that hides everything is gaining control over global medicine supply.&lt;/row&gt;</t>
  </si>
  <si>
    <t xml:space="preserve">        &lt;row label="r9"&gt;China is rapidly expanding medicine manufacturing while America falls behind. Dependence on an authoritarian regime is the opposite of medical freedom for American patients.&lt;/row&gt;</t>
  </si>
  <si>
    <t xml:space="preserve">        &lt;row label="r10"&gt;China is investing heavily in medicine manufacturing and the U.S. is at risk of falling behind. We need to match their commitment to stay competitive in this vital science.&lt;/row&gt;</t>
  </si>
  <si>
    <t xml:space="preserve">        &lt;row label="r11"&gt;China is rapidly expanding medicine manufacturing while the U.S. falls behind. We should compete—but as a nation investing in the things that matter most like health care.&lt;/row&gt;</t>
  </si>
  <si>
    <t xml:space="preserve">        &lt;row label="r12"&gt;China is expanding medicine manufacturing while America falls behind. This strategic competition matters—for American jobs, global health equity, and our ability to lead with integrity.&lt;/row&gt;</t>
  </si>
  <si>
    <t xml:space="preserve">        &lt;row label="r13"&gt;China expands medicine manufacturing while American workers lose ground. A strategic competitor is winning because corporate decisions shipped our jobs overseas.&lt;/row&gt;</t>
  </si>
  <si>
    <t xml:space="preserve">        &lt;row label="r14"&gt;China is building medicine manufacturing capacity while America falls behind. We can't build the future of healthcare here if a strategic competitor controls critical supply chains.&lt;/row&gt;</t>
  </si>
  <si>
    <t xml:space="preserve">        &lt;row label="r15"&gt;China is rapidly expanding its ability to develop and manufacture new medicines, and the U.S. risks falling behind a strategic competitor in a vital industry.&lt;/row&gt;</t>
  </si>
  <si>
    <t xml:space="preserve">        &lt;row label="r16"&gt;China's rapid expansion in medicine manufacturing is a threat. If the U.S. falls behind, American patients and global health systems will suffer.&lt;/row&gt;</t>
  </si>
  <si>
    <t xml:space="preserve">        &lt;row label="r17"&gt;China is rapidly expanding its ability to develop and manufacture new medicines, and the U.S. risks falling behind a strategic competitor in a vital industry.&lt;/row&gt;</t>
  </si>
  <si>
    <t xml:space="preserve">     label="QBIOPH_Item4"</t>
  </si>
  <si>
    <t xml:space="preserve">        &lt;title&gt;HIDDEN: American Leadership maxdiff item4&lt;/title&gt;</t>
  </si>
  <si>
    <t xml:space="preserve">        &lt;row label="r1"&gt;America leads in medicine today, but Europe once led too—and lost it. Staying ahead requires treating this industry as a national priority, not assuming leadership is permanent.&lt;/row&gt;</t>
  </si>
  <si>
    <t xml:space="preserve">        &lt;row label="r2"&gt;America leads in medicine, but Europe once led and lost ground. Treating this as a national priority keeps production here—closer to the communities it's meant to serve.&lt;/row&gt;</t>
  </si>
  <si>
    <t xml:space="preserve">        &lt;row label="r3"&gt;America leads in medicine manufacturing, but leadership isn't guaranteed. Europe once dominated this industry and lost ground. We must make staying ahead a national priority.&lt;/row&gt;</t>
  </si>
  <si>
    <t xml:space="preserve">        &lt;row label="r4"&gt;America leads in medicine today, but Europe lost its industry to globalization. Without making this a national priority, the same forces will hand our leadership to China.&lt;/row&gt;</t>
  </si>
  <si>
    <t xml:space="preserve">        &lt;row label="r5"&gt;America leads in medicine now, but Europe lost its lead—jobs went elsewhere. If we don't make this a national priority, working families will watch another industry disappear.&lt;/row&gt;</t>
  </si>
  <si>
    <t xml:space="preserve">        &lt;row label="r6"&gt;American medicine leadership can slip away—Europe lost ground, China is racing ahead. Families who value self-reliance need leaders who treat this as a national priority.&lt;/row&gt;</t>
  </si>
  <si>
    <t xml:space="preserve">        &lt;row label="r7"&gt;Leadership in medicine shifts fast—Europe lost it, China wants it. America must treat biotech dominance as a national priority or watch rivals capture the future.&lt;/row&gt;</t>
  </si>
  <si>
    <t xml:space="preserve">        &lt;row label="r8"&gt;America leads in medicine, but Europe once led and lost. If this industry matters enough to be a national priority, it should be made here where Americans have control.&lt;/row&gt;</t>
  </si>
  <si>
    <t xml:space="preserve">        &lt;row label="r9"&gt;America leads in medicine, but Europe once led and lost ground. Maintaining leadership here means more options for patients—not fewer choices dictated by foreign suppliers.&lt;/row&gt;</t>
  </si>
  <si>
    <t xml:space="preserve">        &lt;row label="r10"&gt;America leads in medicine, but Europe once led and lost ground. China is racing to catch up. Sustained investment in science and manufacturing is a national priority.&lt;/row&gt;</t>
  </si>
  <si>
    <t xml:space="preserve">        &lt;row label="r11"&gt;America leads in medicine, but Europe once led and lost ground. Treating this as a national priority means sustained public commitment, not hoping markets alone keep us ahead.&lt;/row&gt;</t>
  </si>
  <si>
    <t xml:space="preserve">        &lt;row label="r12"&gt;America leads in medicine, but Europe once led and lost ground. Making this a national priority means good jobs and ensuring leadership benefits all communities, not just shareholders.&lt;/row&gt;</t>
  </si>
  <si>
    <t xml:space="preserve">        &lt;row label="r13"&gt;America leads in medicine, but Europe lost that lead when corporations chased cheaper labor. Making this a national priority protects the jobs working families depend on.&lt;/row&gt;</t>
  </si>
  <si>
    <t xml:space="preserve">        &lt;row label="r14"&gt;America leads in medicine, but leadership shifts—Europe lost ground, China is racing. National priority means sustained capacity building, not complacency.&lt;/row&gt;</t>
  </si>
  <si>
    <t xml:space="preserve">        &lt;row label="r15"&gt;America leads in medicine manufacturing, but Europe once led too and lost it. Treating this as a national priority ensures stable supply for the health care we've built over decades.&lt;/row&gt;</t>
  </si>
  <si>
    <t xml:space="preserve">        &lt;row label="r16"&gt;America's medicine leadership strengthens global health systems, but it's not permanent—Europe lost ground. Treating this as a national priority protects worldwide health infrastructure.&lt;/row&gt;</t>
  </si>
  <si>
    <t xml:space="preserve">        &lt;row label="r17"&gt;America leads the world in developing and manufacturing new medicines, but leadership can shift quickly. Europe once led this industry and lost ground, and China is now racing to take the lead. The U.S. must treat this as a national priority to stay ahead.&lt;/row&gt;</t>
  </si>
  <si>
    <t xml:space="preserve">     label="QBIOPH_Item5"</t>
  </si>
  <si>
    <t xml:space="preserve">        &lt;title&gt;HIDDEN: American Leadership maxdiff item5&lt;/title&gt;</t>
  </si>
  <si>
    <t xml:space="preserve">        &lt;row label="r1"&gt;Inventing and making new medicines here adds hundreds of billions to the U.S. economy—not just through corporate jobs, but through construction, housing, and the businesses that support it.&lt;/row&gt;</t>
  </si>
  <si>
    <t xml:space="preserve">        &lt;row label="r2"&gt;Medicine manufacturing adds hundreds of billions to the economy—construction, housing, local businesses. Real economic benefits rooted in communities.&lt;/row&gt;</t>
  </si>
  <si>
    <t xml:space="preserve">        &lt;row label="r3"&gt;Inventing and making new medicines here adds hundreds of billions to the U.S. economy—not just through corporate jobs, but through construction, housing, and the businesses that support it.&lt;/row&gt;</t>
  </si>
  <si>
    <t xml:space="preserve">        &lt;row label="r4"&gt;Domestic medicine manufacturing adds hundreds of billions to our economy—construction, housing, local businesses. Wealth for American communities, not globalist extraction.&lt;/row&gt;</t>
  </si>
  <si>
    <t xml:space="preserve">        &lt;row label="r5"&gt;Medicine manufacturing adds hundreds of billions to the economy—construction jobs, housing, local businesses. That's real money for working families, not just corporate balance sheets.&lt;/row&gt;</t>
  </si>
  <si>
    <t xml:space="preserve">        &lt;row label="r6"&gt;Making medicines here adds hundreds of billions to our economy—jobs in construction, housing, local businesses. Economic strength for American families.&lt;/row&gt;</t>
  </si>
  <si>
    <t xml:space="preserve">        &lt;row label="r7"&gt;Medicine manufacturing adds hundreds of billions to GDP—construction, housing, supporting businesses. This is the economic engine of a biotech-driven future.&lt;/row&gt;</t>
  </si>
  <si>
    <t xml:space="preserve">        &lt;row label="r8"&gt;Making medicines here adds hundreds of billions to the economy—construction, housing, local businesses--keeping those benefits in American communities, not sending it overseas.&lt;/row&gt;</t>
  </si>
  <si>
    <t xml:space="preserve">        &lt;row label="r9"&gt;Medicine manufacturing adds hundreds of billions to the economy—construction, housing, local businesses. Domestic industry means prosperity and more treatment options closer to home.&lt;/row&gt;</t>
  </si>
  <si>
    <t xml:space="preserve">        &lt;row label="r10"&gt;Domestic medicine manufacturing adds hundreds of billions to the economy through construction, housing, and supporting businesses—growth that reaches every type of community.&lt;/row&gt;</t>
  </si>
  <si>
    <t xml:space="preserve">        &lt;row label="r11"&gt;Medicine manufacturing adds hundreds of billions to the economy—construction, housing, local businesses. That's collective prosperity worth investing in as a society.&lt;/row&gt;</t>
  </si>
  <si>
    <t xml:space="preserve">        &lt;row label="r12"&gt;Inventing and making new medicines here adds hundreds of billions to the U.S. economy—not just through corporate jobs, but through construction, housing, and the businesses that support it.&lt;/row&gt;</t>
  </si>
  <si>
    <t xml:space="preserve">        &lt;row label="r13"&gt;Medicine manufacturing adds hundreds of billions to the economy—construction, housing, local businesses. Real economic gains for working communities, not corporate shell games.&lt;/row&gt;</t>
  </si>
  <si>
    <t xml:space="preserve">        &lt;row label="r14"&gt;Making medicines here adds hundreds of billions in economic activity—construction, housing, supporting businesses. The capacity-building that drives growth and prosperity.&lt;/row&gt;</t>
  </si>
  <si>
    <t xml:space="preserve">        &lt;row label="r15"&gt;Making medicines here adds hundreds of billions in steady economic activity—construction, housing, businesses. Stable growth that supports the health care we depend on.&lt;/row&gt;</t>
  </si>
  <si>
    <t xml:space="preserve">        &lt;row label="r16"&gt;Domestic medicine manufacturing generates hundreds of billions in economic activity—the industrial foundation that supports American leadership.&lt;/row&gt;</t>
  </si>
  <si>
    <t xml:space="preserve">        &lt;row label="r17"&gt;Inventing and making new medicines here adds hundreds of billions to the U.S. economy—not just through corporate jobs, but through construction, housing, and the businesses that support it.&lt;/row&gt;</t>
  </si>
  <si>
    <t xml:space="preserve">     label="QBIOPH_Item6"</t>
  </si>
  <si>
    <t xml:space="preserve">        &lt;title&gt;HIDDEN: American Leadership maxdiff item6&lt;/title&gt;</t>
  </si>
  <si>
    <t xml:space="preserve">        &lt;row label="r1"&gt;Medicine manufacturing creates good-paying jobs, supports small businesses, and transforms local communities—opportunity that gives families real economic choices.&lt;/row&gt;</t>
  </si>
  <si>
    <t xml:space="preserve">        &lt;row label="r2"&gt;Making medicines in America creates good-paying jobs, supports small businesses, and transforms local communities—the kind of rooted prosperity that strengthens families.&lt;/row&gt;</t>
  </si>
  <si>
    <t xml:space="preserve">        &lt;row label="r3"&gt;Making medicines in America creates good-paying jobs, supports small businesses, and builds vibrant communities—local opportunity rooted in hard work and responsibility.&lt;/row&gt;</t>
  </si>
  <si>
    <t xml:space="preserve">        &lt;row label="r4"&gt;Domestic medicine manufacturing means good-paying jobs, small businesses, and transformed communities—real opportunity for American families, not foreign elites.&lt;/row&gt;</t>
  </si>
  <si>
    <t xml:space="preserve">        &lt;row label="r5"&gt;Medicine manufacturing means good-paying jobs, thriving small businesses, and transformed communities—local opportunity for working families.&lt;/row&gt;</t>
  </si>
  <si>
    <t xml:space="preserve">        &lt;row label="r6"&gt;Making medicines here creates good-paying jobs, supports small businesses, and transforms communities—opportunity for families taking responsibility for their own futures.&lt;/row&gt;</t>
  </si>
  <si>
    <t xml:space="preserve">        &lt;row label="r7"&gt;Medicine manufacturing creates good-paying jobs, supports small businesses, and transforms communities into innovation hubs—the next generation of American opportunity.&lt;/row&gt;</t>
  </si>
  <si>
    <t xml:space="preserve">        &lt;row label="r8"&gt;Making medicines here creates good-paying jobs, supports small businesses, and transforms communities—local opportunity where families can see what's being built.&lt;/row&gt;</t>
  </si>
  <si>
    <t xml:space="preserve">        &lt;row label="r9"&gt;Making medicines in America creates good-paying jobs, supports small businesses, and helps transform local communities into vibrant places to live and work—the next generation of American opportunity.&lt;/row&gt;</t>
  </si>
  <si>
    <t xml:space="preserve">        &lt;row label="r10"&gt;Medicine manufacturing creates good-paying jobs and supports small businesses, transforming communities—especially rural areas that need paths to the innovation economy.&lt;/row&gt;</t>
  </si>
  <si>
    <t xml:space="preserve">        &lt;row label="r11"&gt;Making medicines in America creates good-paying jobs, supports small businesses, and transforms communities—the kind of shared prosperity that lifts entire regions.&lt;/row&gt;</t>
  </si>
  <si>
    <t xml:space="preserve">        &lt;row label="r12"&gt;Medicine manufacturing creates good-paying jobs, supports small businesses, and transforms communities—opportunity that can reach neighborhoods historically left behind.&lt;/row&gt;</t>
  </si>
  <si>
    <t xml:space="preserve">        &lt;row label="r13"&gt;Medicine manufacturing means good-paying jobs, small businesses, and transformed communities—the kind of local opportunity working families fought for and deserve.&lt;/row&gt;</t>
  </si>
  <si>
    <t xml:space="preserve">        &lt;row label="r14"&gt;Making medicines here creates good-paying jobs, supports small businesses, and transforms communities—the local opportunity that builds healthcare capacity everywhere.&lt;/row&gt;</t>
  </si>
  <si>
    <t xml:space="preserve">        &lt;row label="r15"&gt;Making medicines in America creates good-paying jobs, supports small businesses, and builds stable communities—opportunity that supports the benefits we've earned.&lt;/row&gt;</t>
  </si>
  <si>
    <t xml:space="preserve">        &lt;row label="r16"&gt;Medicine manufacturing creates good-paying jobs and transforms local communities—sustainable opportunity that strengthens the industrial base we need.&lt;/row&gt;</t>
  </si>
  <si>
    <t xml:space="preserve">        &lt;row label="r17"&gt;Making medicines in America creates good-paying jobs, supports small businesses, and helps transform local communities into vibrant places to live and work—the next generation of American opportunity.&lt;/row&gt;</t>
  </si>
  <si>
    <t xml:space="preserve">     label="QBIOPH_Item7"</t>
  </si>
  <si>
    <t xml:space="preserve">        &lt;title&gt;HIDDEN: American Leadership maxdiff item7&lt;/title&gt;</t>
  </si>
  <si>
    <t xml:space="preserve">        &lt;row label="r1"&gt;The U.S. biopharmaceutical industry is as important to American manufacturing as autos and aerospace—a high-tech sector that produces just as many high-paying, high-skill jobs across the country.&lt;/row&gt;</t>
  </si>
  <si>
    <t xml:space="preserve">        &lt;row label="r2"&gt;Biopharmaceutical manufacturing is as important as autos and aerospace—a major industry with high-skill jobs that deserves the same attention we give other vital sectors.&lt;/row&gt;</t>
  </si>
  <si>
    <t xml:space="preserve">        &lt;row label="r3"&gt;Medicine manufacturing is as important as autos and aerospace—a pillar of American industry with high-paying, high-skill jobs built on traditional values of reliability and responsibility.&lt;/row&gt;</t>
  </si>
  <si>
    <t xml:space="preserve">        &lt;row label="r4"&gt;Medicine manufacturing is as vital as autos and aerospace—high-paying American jobs in an industry we should control, not surrender to foreign interests.&lt;/row&gt;</t>
  </si>
  <si>
    <t xml:space="preserve">        &lt;row label="r5"&gt;Medicine manufacturing is as important as autos and aerospace—creating just as many high-paying, high-skill jobs that can help rebuild the American middle class.&lt;/row&gt;</t>
  </si>
  <si>
    <t xml:space="preserve">        &lt;row label="r6"&gt;Biopharmaceutical manufacturing is as vital as autos and aerospace—high-skill jobs for Americans who value building something real with their own hands.&lt;/row&gt;</t>
  </si>
  <si>
    <t xml:space="preserve">        &lt;row label="r7"&gt;Biopharmaceutical manufacturing is as strategic as autos and aerospace—high-tech jobs in the sector that will define economic competition for the next century.&lt;/row&gt;</t>
  </si>
  <si>
    <t xml:space="preserve">        &lt;row label="r8"&gt;The U.S. biopharmaceutical industry is as important to American manufacturing as autos and aerospace—a high-tech sector that produces just as many high-paying, high-skill jobs across the country.&lt;/row&gt;</t>
  </si>
  <si>
    <t xml:space="preserve">        &lt;row label="r9"&gt;Biopharmaceutical manufacturing is as important as autos and aerospace—a high-tech sector with good jobs, producing the treatments Americans should be free to choose.&lt;/row&gt;</t>
  </si>
  <si>
    <t xml:space="preserve">        &lt;row label="r10"&gt;Biopharmaceutical manufacturing rivals autos and aerospace—high-paying, high-skill jobs that bring scientific innovation to communities across the country.&lt;/row&gt;</t>
  </si>
  <si>
    <t xml:space="preserve">        &lt;row label="r11"&gt;Biopharmaceutical manufacturing is just as important as autos and aerospace—a high-tech sector producing just as many jobs while tackling the challenges that really matter.&lt;/row&gt;</t>
  </si>
  <si>
    <t xml:space="preserve">        &lt;row label="r12"&gt;Biopharmaceutical manufacturing creates as many jobs as autos and aerospace--high-skill jobs that can reach all communities with fair wages and real opportunity.&lt;/row&gt;</t>
  </si>
  <si>
    <t xml:space="preserve">        &lt;row label="r13"&gt;Medicine manufacturing is as important as autos and aerospace—high-paying, high-skill jobs that working people built and deserve to keep in America.&lt;/row&gt;</t>
  </si>
  <si>
    <t xml:space="preserve">        &lt;row label="r14"&gt;Medicine manufacturing rivals autos and aerospace—high-paying, high-skill jobs that build the industrial capacity America needs for the future.&lt;/row&gt;</t>
  </si>
  <si>
    <t xml:space="preserve">        &lt;row label="r15"&gt;The U.S. biopharmaceutical industry is as important to American manufacturing as autos and aerospace—a high-tech sector that produces just as many high-paying, high-skill jobs across the country.&lt;/row&gt;</t>
  </si>
  <si>
    <t xml:space="preserve">        &lt;row label="r16"&gt;Biopharmaceutical manufacturing is as strategic as autos and aerospace—the high-skill industrial base that powers American leadership.&lt;/row&gt;</t>
  </si>
  <si>
    <t xml:space="preserve">        &lt;row label="r17"&gt;The U.S. biopharmaceutical industry is as important to American manufacturing as autos and aerospace—a high-tech sector that produces just as many high-paying, high-skill jobs across the country.&lt;/row&gt;</t>
  </si>
  <si>
    <t xml:space="preserve">     label="QBIOPH_Item8"</t>
  </si>
  <si>
    <t xml:space="preserve">        &lt;title&gt;HIDDEN: American Leadership maxdiff item8&lt;/title&gt;</t>
  </si>
  <si>
    <t xml:space="preserve">        &lt;row label="r1"&gt;Research in American universities—in every state—drives new discoveries, creates thousands of biotech start-ups, and trains the next generation of scientists.&lt;/row&gt;</t>
  </si>
  <si>
    <t xml:space="preserve">        &lt;row label="r2"&gt;Research at American universities in every state drives new discoveries, creates biotech startups, and trains scientists—homegrown innovation serving American communities.&lt;/row&gt;</t>
  </si>
  <si>
    <t xml:space="preserve">        &lt;row label="r3"&gt;American universities in every state drive discoveries, create biotech startups, and train scientists—research excellence rooted in the academic traditions that built our nation.&lt;/row&gt;</t>
  </si>
  <si>
    <t xml:space="preserve">        &lt;row label="r4"&gt;American universities drive discoveries and train scientists—research that should be controlled by Americans.&lt;/row&gt;</t>
  </si>
  <si>
    <t xml:space="preserve">        &lt;row label="r5"&gt;Research in American universities—in every state—drives new discoveries, creates thousands of biotech start-ups, and trains the next generation of scientists.&lt;/row&gt;</t>
  </si>
  <si>
    <t xml:space="preserve">        &lt;row label="r6"&gt;Research in American universities—in every state—drives new discoveries, creates thousands of biotech start-ups, and trains the next generation of scientists.&lt;/row&gt;</t>
  </si>
  <si>
    <t xml:space="preserve">        &lt;row label="r7"&gt;Universities in every state drive discoveries, launch thousands of startups, and train scientists—the innovation engine powering America's biotech dominance.&lt;/row&gt;</t>
  </si>
  <si>
    <t xml:space="preserve">        &lt;row label="r8"&gt;University research creates discoveries and trains scientists--work that is best done closer to home.&lt;/row&gt;</t>
  </si>
  <si>
    <t xml:space="preserve">        &lt;row label="r9"&gt;Research in American universities—in every state—drives new discoveries, creates thousands of biotech start-ups, and trains the next generation of scientists.&lt;/row&gt;</t>
  </si>
  <si>
    <t xml:space="preserve">        &lt;row label="r10"&gt;Research at universities in every state drives discoveries, creates thousands of startups, and trains scientists—the pipeline that brings innovation to communities nationwide.&lt;/row&gt;</t>
  </si>
  <si>
    <t xml:space="preserve">        &lt;row label="r11"&gt;Research at American universities in every state drives discoveries, creates startups, and trains scientists—public institutions generating innovation that benefits the whole country.&lt;/row&gt;</t>
  </si>
  <si>
    <t xml:space="preserve">        &lt;row label="r12"&gt;Research in American universities—in every state—drives new discoveries, creates thousands of biotech start-ups, and trains the next generation of scientists.&lt;/row&gt;</t>
  </si>
  <si>
    <t xml:space="preserve">        &lt;row label="r13"&gt;Research in American universities—in every state—drives new discoveries, creates thousands of biotech start-ups, and trains the next generation of scientists.&lt;/row&gt;</t>
  </si>
  <si>
    <t xml:space="preserve">        &lt;row label="r14"&gt;Research in American universities—in every state—drives new discoveries, creates thousands of biotech start-ups, and trains the next generation of scientists.&lt;/row&gt;</t>
  </si>
  <si>
    <t xml:space="preserve">        &lt;row label="r15"&gt;American universities drive steady medical discoveries, create startups, and train scientists—research that improves treatments Americans have relied on for generations.&lt;/row&gt;</t>
  </si>
  <si>
    <t xml:space="preserve">        &lt;row label="r16"&gt;American university research drives discoveries and trains scientists who lead across the globe.&lt;/row&gt;</t>
  </si>
  <si>
    <t xml:space="preserve">        &lt;row label="r17"&gt;Research in American universities—in every state—drives new discoveries, creates thousands of biotech start-ups, and trains the next generation of scientists.&lt;/row&gt;</t>
  </si>
  <si>
    <t xml:space="preserve">     label="QBIOPH_Item9"</t>
  </si>
  <si>
    <t xml:space="preserve">        &lt;title&gt;HIDDEN: American Leadership maxdiff item9&lt;/title&gt;</t>
  </si>
  <si>
    <t xml:space="preserve">        &lt;row label="r1"&gt;Medicines are advanced, high-tech manufacturing America must prioritize—a competitive industry that works best when innovation and consumer choice drive the market.&lt;/row&gt;</t>
  </si>
  <si>
    <t xml:space="preserve">        &lt;row label="r2"&gt;Medicines are advanced, high-tech manufacturing America must prioritize to remain competitive—an industry too important to let drift offshore.&lt;/row&gt;</t>
  </si>
  <si>
    <t xml:space="preserve">        &lt;row label="r3"&gt;Medicines are high-tech manufacturing America must prioritize to remain competitive—advanced industry built on the skill and work ethic that define American excellence.&lt;/row&gt;</t>
  </si>
  <si>
    <t xml:space="preserve">        &lt;row label="r4"&gt;Medicines are a form of advanced, high-tech manufacturing that America must prioritize if it wants to remain a competitive, innovation-driven economy.&lt;/row&gt;</t>
  </si>
  <si>
    <t xml:space="preserve">        &lt;row label="r5"&gt;Medicines are high-tech manufacturing America must prioritize—because an innovation economy should lift working families, not just reward shareholders and foreign countries.&lt;/row&gt;</t>
  </si>
  <si>
    <t xml:space="preserve">        &lt;row label="r6"&gt;Medicines are made using advanced manufacturing and the high-skill jobs America must prioritize to stay competitive.&lt;/row&gt;</t>
  </si>
  <si>
    <t xml:space="preserve">        &lt;row label="r7"&gt;Medicines are advanced, high-tech manufacturing America must absolutely prioritize—the innovation frontier that will define economic competition for the rest of the century.&lt;/row&gt;</t>
  </si>
  <si>
    <t xml:space="preserve">        &lt;row label="r8"&gt;Medicines are high-tech manufacturing—and if America must prioritize this industry to stay competitive, then make it here close to home.&lt;/row&gt;</t>
  </si>
  <si>
    <t xml:space="preserve">        &lt;row label="r9"&gt;Medicines are advanced, high-tech manufacturing America must prioritize. A strong domestic industry gives patients more options—not dependence on distant suppliers.&lt;/row&gt;</t>
  </si>
  <si>
    <t xml:space="preserve">        &lt;row label="r10"&gt;Medicines are advanced, high-tech manufacturing America must prioritize—the kind of innovation-driven industry that keeps us competitive and brings science to patients.&lt;/row&gt;</t>
  </si>
  <si>
    <t xml:space="preserve">        &lt;row label="r11"&gt;Medicines are advanced, high-tech manufacturing America must prioritize. A competitive innovation economy requires public investment in the industries that matter most.&lt;/row&gt;</t>
  </si>
  <si>
    <t xml:space="preserve">        &lt;row label="r12"&gt;Medicines are advanced manufacturing America must prioritize so that a competitive innovation economy creates opportunity for all communities, not just tech hubs.&lt;/row&gt;</t>
  </si>
  <si>
    <t xml:space="preserve">        &lt;row label="r13"&gt;Medicines are high-tech manufacturing America must prioritize—advanced jobs that working people deserve, kept here rather than offshored to competitors.&lt;/row&gt;</t>
  </si>
  <si>
    <t xml:space="preserve">        &lt;row label="r14"&gt;Medicines are high-tech manufacturing America must prioritize—advanced capacity that keeps us competitive and builds the innovation economy we need.&lt;/row&gt;</t>
  </si>
  <si>
    <t xml:space="preserve">        &lt;row label="r15"&gt;Medicines are a form of advanced, high-tech manufacturing that America must prioritize if it wants to remain a competitive, innovation-driven economy.&lt;/row&gt;</t>
  </si>
  <si>
    <t xml:space="preserve">        &lt;row label="r16"&gt;Medicines are advanced manufacturing America must prioritize—the high-tech industrial base that powers both economic competitiveness and global health leadership.&lt;/row&gt;</t>
  </si>
  <si>
    <t xml:space="preserve">        &lt;row label="r17"&gt;Medicines are a form of advanced, high-tech manufacturing that America must prioritize if it wants to remain a competitive, innovation-driven economy.&lt;/row&gt;</t>
  </si>
  <si>
    <t xml:space="preserve">     label="QBIOPH_Item10"</t>
  </si>
  <si>
    <t xml:space="preserve">        &lt;title&gt;HIDDEN: American Leadership maxdiff item10&lt;/title&gt;</t>
  </si>
  <si>
    <t xml:space="preserve">        &lt;row label="r1"&gt;When medicines are made in America, U.S. patients get early, reliable access to the newest treatments—putting consumers first, not foreign supply chains.&lt;/row&gt;</t>
  </si>
  <si>
    <t xml:space="preserve">        &lt;row label="r2"&gt;When medicines are made in America, U.S. patients get earlier, more reliable access to new treatments—produced closer to the people who need them.&lt;/row&gt;</t>
  </si>
  <si>
    <t xml:space="preserve">        &lt;row label="r3"&gt;American-made medicines mean U.S. patients—American families—get early and reliable access to the newest treatments and cures before anyone else.&lt;/row&gt;</t>
  </si>
  <si>
    <t xml:space="preserve">        &lt;row label="r4"&gt;When medicines are made in America, U.S. patients get early access—keeping American patients first.&lt;/row&gt;</t>
  </si>
  <si>
    <t xml:space="preserve">        &lt;row label="r5"&gt;When medicines are made here, American patients  get early, reliable access—working families first, not wealthy foreigners or corporate-connected elites.&lt;/row&gt;</t>
  </si>
  <si>
    <t xml:space="preserve">        &lt;row label="r6"&gt;American-made medicines mean U.S. patients get early, reliable access to treatments—putting American patients and families first.&lt;/row&gt;</t>
  </si>
  <si>
    <t xml:space="preserve">        &lt;row label="r7"&gt;Domestic manufacturing means American patients access breakthrough treatments first—the innovation advantage that comes from controlling the biotech supply chain.&lt;/row&gt;</t>
  </si>
  <si>
    <t xml:space="preserve">        &lt;row label="r8"&gt;When medicines are made here, American patients have early access and visibility into the newest treatments.&lt;/row&gt;</t>
  </si>
  <si>
    <t xml:space="preserve">        &lt;row label="r9"&gt;When medicines are made in America, patients get earlier, more reliable access to new treatments—real choices available when you need them, not controlled by foreign supply chains.&lt;/row&gt;</t>
  </si>
  <si>
    <t xml:space="preserve">        &lt;row label="r10"&gt;Domestic medicine manufacturing means U.S. patients get early, reliable access to the newest treatments—scientific breakthroughs reaching patients when they need them.&lt;/row&gt;</t>
  </si>
  <si>
    <t xml:space="preserve">        &lt;row label="r11"&gt;When medicines are made in America, U.S. patients are more likely to get early, reliable access to the newest treatments—a direct benefit of domestic production.&lt;/row&gt;</t>
  </si>
  <si>
    <t xml:space="preserve">        &lt;row label="r12"&gt;American-made medicines should mean early, reliable access for all U.S. patients—especially underserved communities that have waited too long for equal access.&lt;/row&gt;</t>
  </si>
  <si>
    <t xml:space="preserve">        &lt;row label="r13"&gt;When medicines are made here, American patients—working families who built this country—get early, reliable access to the newest treatments.&lt;/row&gt;</t>
  </si>
  <si>
    <t xml:space="preserve">        &lt;row label="r14"&gt;When medicines are made in America, U.S. patients are more likely to get early and reliable access to the newest treatments and cures.&lt;/row&gt;</t>
  </si>
  <si>
    <t xml:space="preserve">        &lt;row label="r15"&gt;Domestic medicine manufacturing means the treatments Americans depend on are available early and reliably—protecting access we've counted on for decades.&lt;/row&gt;</t>
  </si>
  <si>
    <t xml:space="preserve">        &lt;row label="r16"&gt;American-made medicines ensure U.S. patients get reliable access while strengthening global supply chains—domestic production serving both national and international health.&lt;/row&gt;</t>
  </si>
  <si>
    <t xml:space="preserve">        &lt;row label="r17"&gt;When medicines are made in America, U.S. patients are more likely to get early and reliable access to the newest treatments and cures.&lt;/row&gt;</t>
  </si>
  <si>
    <t xml:space="preserve">     label="QBIOPH_Item11"</t>
  </si>
  <si>
    <t xml:space="preserve">        &lt;title&gt;HIDDEN: American Leadership maxdiff item11&lt;/title&gt;</t>
  </si>
  <si>
    <t xml:space="preserve">        &lt;row label="r1"&gt;Medicines are a global industry—policymakers must ensure jobs, investment, and benefits stay in America, where competitive markets can serve consumers.&lt;/row&gt;</t>
  </si>
  <si>
    <t xml:space="preserve">        &lt;row label="r2"&gt;Medicines are a major global industry. Policymakers should ensure jobs, investment, and economic benefits stay here—strengthening American communities, not foreign economies.&lt;/row&gt;</t>
  </si>
  <si>
    <t xml:space="preserve">        &lt;row label="r3"&gt;Medicine is a major global industry. American policymakers must ensure jobs, investment, and economic benefits stay here—protecting American families and national interests.&lt;/row&gt;</t>
  </si>
  <si>
    <t xml:space="preserve">        &lt;row label="r4"&gt;Medicine is a global industry—but policymakers must keep jobs, investment, and benefits in America. Globalists shouldn't profit while our communities are hollowed out.&lt;/row&gt;</t>
  </si>
  <si>
    <t xml:space="preserve">        &lt;row label="r5"&gt;Medicine is a huge global industry—policymakers must fight to keep jobs, investment, and benefits here for working families, not let them flow to foreign shareholders.&lt;/row&gt;</t>
  </si>
  <si>
    <t xml:space="preserve">        &lt;row label="r6"&gt;Medicines are a global industry. Policymakers must ensure jobs and benefits stay in America—economic strength for families who value self-reliance over foreign dependence.&lt;/row&gt;</t>
  </si>
  <si>
    <t xml:space="preserve">        &lt;row label="r7"&gt;Medicines are a global industry, and policymakers must ensure America captures the jobs, investment, and economic benefits—or watch rivals dominate the biotech century.&lt;/row&gt;</t>
  </si>
  <si>
    <t xml:space="preserve">        &lt;row label="r8"&gt;Medicine is a global industry—at minimum, policymakers should keep jobs and money here in America, where citizens can benefit.&lt;/row&gt;</t>
  </si>
  <si>
    <t xml:space="preserve">        &lt;row label="r9"&gt;Medicines are a major global industry. Keeping jobs and investment in America means a domestic industry that gives patients options—not dependence on countries that don't respect individual freedom.&lt;/row&gt;</t>
  </si>
  <si>
    <t xml:space="preserve">        &lt;row label="r10"&gt;Medicines are a global industry, and policymakers must keep jobs, investment, and benefits in America—supporting communities and the science infrastructure we've built.&lt;/row&gt;</t>
  </si>
  <si>
    <t xml:space="preserve">        &lt;row label="r11"&gt;Medicines are a major global industry. Policymakers should ensure jobs, investment, and economic benefits stay in the United States—building national capacity that serves everyone.&lt;/row&gt;</t>
  </si>
  <si>
    <t xml:space="preserve">        &lt;row label="r12"&gt;Medicines are a global industry—but policymakers must ensure those jobs and benefits stay in America and reach all communities.&lt;/row&gt;</t>
  </si>
  <si>
    <t xml:space="preserve">        &lt;row label="r13"&gt;Medicine is a global industry. Policymakers must ensure jobs, investment, and benefits stay here—protecting what American workers built.&lt;/row&gt;</t>
  </si>
  <si>
    <t xml:space="preserve">        &lt;row label="r14"&gt;Medicine is a major global industry. Policymakers must keep jobs, investment, and benefits in America—building the capacity for healthcare abundance.&lt;/row&gt;</t>
  </si>
  <si>
    <t xml:space="preserve">        &lt;row label="r15"&gt;Medicines are a major global industry. Policymakers must keep jobs and benefits in America—economic stability that supports the care we depend on.&lt;/row&gt;</t>
  </si>
  <si>
    <t xml:space="preserve">        &lt;row label="r16"&gt;Medicines are a global industry—American policymakers must keep jobs and investment here while strengthening the institutions that serve worldwide health.&lt;/row&gt;</t>
  </si>
  <si>
    <t xml:space="preserve">        &lt;row label="r17"&gt;Medicines will always be a major global industry, and policymakers should ensure that the jobs, investment, and economic benefits stay in the United States.&lt;/row&gt;</t>
  </si>
  <si>
    <t xml:space="preserve">      &lt;note&gt;Biopharma MaxDiff Indices Template --Start1--&lt;/note&gt;</t>
  </si>
  <si>
    <t xml:space="preserve">      &lt;exec when="init"&gt;</t>
  </si>
  <si>
    <t>QBIOPH_md = setupMaxDiffFile("pharma_maxdiff.dat")</t>
  </si>
  <si>
    <t xml:space="preserve">      &lt;quota label="maxdiffBiopharma" overquota="noqual" sheet="Biopharma Quota"/&gt;</t>
  </si>
  <si>
    <t xml:space="preserve">     label="QBIOPH_Version"</t>
  </si>
  <si>
    <t xml:space="preserve">     verify="range(1,100)"</t>
  </si>
  <si>
    <t xml:space="preserve">        &lt;title&gt;QBIOPH - MaxDiff Version&lt;br /&gt;&lt;br /&gt;&lt;em&gt;Pick your version for testing... will be automated when live...&lt;/em&gt;&lt;/title&gt;</t>
  </si>
  <si>
    <t xml:space="preserve">    if "/Biopharma Quota/BIOPH_" in x:</t>
  </si>
  <si>
    <t xml:space="preserve">        QBIOPH_Version.val = int(x.split("_")[-1])</t>
  </si>
  <si>
    <t xml:space="preserve">      &lt;html label="QBIOPHMaxdiff_Intro" where="survey"&gt;You’ll see a series of short statements expressing different points of view. Each statement reflects a point of view about investments being made by the biopharmaceutical industry. For each set, please choose the one statement you find &lt;strong&gt;MOST&lt;/strong&gt; compelling and the one statement you find &lt;strong&gt;LEAST&lt;/strong&gt; compelling.</t>
  </si>
  <si>
    <t xml:space="preserve">        &lt;br /&gt;&lt;br /&gt;&lt;em&gt;Some statements may appear again later. That’s intentional—it helps us understand how people think about ideas in various contexts. There are no right or wrong answers. Simply go with your first reaction each time.&lt;/em&gt;&lt;/html&gt;</t>
  </si>
  <si>
    <t xml:space="preserve">      &lt;loop label="QBIOPH_md_loop" vars="task"&gt;</t>
  </si>
  <si>
    <t xml:space="preserve">        &lt;title&gt;QBIOPH - MaxDiff Loop&lt;/title&gt;</t>
  </si>
  <si>
    <t xml:space="preserve">        &lt;block label="QBIOPH_md_block" randomize="1"&gt;</t>
  </si>
  <si>
    <t xml:space="preserve">       label="QBIOPH_[loopvar: task]"</t>
  </si>
  <si>
    <t xml:space="preserve">       ss:listDisplay="0"</t>
  </si>
  <si>
    <t xml:space="preserve">       ss:questionClassNames="QBIOPH_maxdiff"</t>
  </si>
  <si>
    <t xml:space="preserve">            &lt;title&gt;Select the one statement that is &lt;strong&gt;MOST&lt;/strong&gt; compelling to your own point of view  (on the left), and the statement that &lt;strong&gt;LEAST&lt;/strong&gt; compelling you (on the right)&lt;/title&gt;</t>
  </si>
  <si>
    <t>setupMaxDiffItemsI( QBIOPH_md, "v%d_t%d" % (QBIOPH_Version.val, [loopvar: task]), QBIOPH_[loopvar: task])</t>
  </si>
  <si>
    <t>p.MDcount = str(QBIOPH_md_loop_expanded.order.index([loopvar: task]-1)+1)</t>
  </si>
  <si>
    <t xml:space="preserve">            &lt;col label="best"&gt;&lt;strong&gt;MOST&lt;/strong&gt; compelling&lt;/col&gt;</t>
  </si>
  <si>
    <t xml:space="preserve">            &lt;col label="worst"&gt;&lt;strong&gt;LEAST&lt;/strong&gt; compelling&lt;/col&gt;</t>
  </si>
  <si>
    <t xml:space="preserve">            &lt;row label="item1"&gt;[pipe: QBIOPH_Item1]&lt;/row&gt;</t>
  </si>
  <si>
    <t xml:space="preserve">            &lt;row label="item2"&gt;[pipe: QBIOPH_Item2]&lt;/row&gt;</t>
  </si>
  <si>
    <t xml:space="preserve">            &lt;row label="item3"&gt;[pipe: QBIOPH_Item3]&lt;/row&gt;</t>
  </si>
  <si>
    <t xml:space="preserve">            &lt;row label="item4"&gt;[pipe: QBIOPH_Item4]&lt;/row&gt;</t>
  </si>
  <si>
    <t xml:space="preserve">            &lt;row label="item5"&gt;[pipe: QBIOPH_Item5]&lt;/row&gt;</t>
  </si>
  <si>
    <t xml:space="preserve">            &lt;row label="item6"&gt;[pipe: QBIOPH_Item6]&lt;/row&gt;</t>
  </si>
  <si>
    <t xml:space="preserve">            &lt;row label="item7"&gt;[pipe: QBIOPH_Item7]&lt;/row&gt;</t>
  </si>
  <si>
    <t xml:space="preserve">            &lt;row label="item8"&gt;[pipe: QBIOPH_Item8]&lt;/row&gt;</t>
  </si>
  <si>
    <t xml:space="preserve">            &lt;row label="item9"&gt;[pipe: QBIOPH_Item9]&lt;/row&gt;</t>
  </si>
  <si>
    <t xml:space="preserve">            &lt;row label="item10"&gt;[pipe: QBIOPH_Item10]&lt;/row&gt;</t>
  </si>
  <si>
    <t xml:space="preserve">            &lt;row label="item11"&gt;[pipe: QBIOPH_Item11]&lt;/row&gt;</t>
  </si>
  <si>
    <t xml:space="preserve">    .QBIOPH_maxdiff tr.maxdiff-header-legend {</t>
  </si>
  <si>
    <t xml:space="preserve">    .QBIOPH_maxdiff tr.maxdiff-header-legend th.legend {</t>
  </si>
  <si>
    <t xml:space="preserve">    .QBIOPH_maxdiff tr.maxdiff-row td.element {</t>
  </si>
  <si>
    <t xml:space="preserve">    .QBIOPH_maxdiff tr.maxdiff-row th.row-legend {</t>
  </si>
  <si>
    <t xml:space="preserve">          &lt;suspend/&gt;</t>
  </si>
  <si>
    <t xml:space="preserve">     label="QBIOPH_Timer"</t>
  </si>
  <si>
    <t xml:space="preserve">        &lt;title&gt;QBIOPH - MaxDiff Timer (Minutes)&lt;/title&gt;</t>
  </si>
  <si>
    <t>QBIOPH_Timer.val = (timeSpent() - p.startTime) / 60.0</t>
  </si>
  <si>
    <t xml:space="preserve">      &lt;note&gt;Biopharma MaxDiff Indices Template --End1--&lt;/note&gt;</t>
  </si>
  <si>
    <t xml:space="preserve">    &lt;block label="BLOCK_AL_POSTTESTS" builder:title="American Leadership (AL) Post-Test"&gt;</t>
  </si>
  <si>
    <t xml:space="preserve">     label="AL_POST"</t>
  </si>
  <si>
    <t xml:space="preserve">        &lt;title&gt;&lt;span style="color: black;"&gt;Now that you have read more on the topic, how important is it for...&lt;/span&gt;&lt;/title&gt;</t>
  </si>
  <si>
    <t xml:space="preserve">        &lt;row label="r1"&gt;&lt;span style="font-size: 12pt;"&gt;&lt;strong&gt;&lt;span style="color: black;"&gt;&amp;amp;nbsp;New medicines used by American patients are invented and manufactured in the United States&lt;/span&gt;&lt;/strong&gt;&lt;/span&gt;&lt;/row&gt;</t>
  </si>
  <si>
    <t xml:space="preserve">     label="AL_POST_RANK"</t>
  </si>
  <si>
    <t xml:space="preserve">     label="CORPFAV_POST"</t>
  </si>
  <si>
    <t xml:space="preserve">        &lt;title&gt;Rate your overall impressions of each of the following entities.&lt;/title&gt;</t>
  </si>
  <si>
    <t xml:space="preserve">        &lt;comment&gt;&lt;span style="font-size: 10pt;"&gt;&lt;em&gt;Rate your impressions on a scale from zero (0) to ten (10) where zero means you have &lt;/em&gt;&lt;strong&gt;very &lt;u&gt;un&lt;/u&gt;favorable&lt;/strong&gt;&lt;em&gt; impressions and ten means you have &lt;/em&gt;&lt;strong&gt;very favorable&lt;/strong&gt;&lt;em&gt; impressions.&lt;br /&gt;&lt;br /&gt;&lt;/em&gt;&lt;span style="font-size: 12pt;"&gt;Unless you are &lt;strong&gt;completely unfamiliar&lt;/strong&gt; with the entity, we'd appreciate if you would share your general impressions.&lt;/span&gt;&lt;/span&gt;&lt;/comment&gt;</t>
  </si>
  <si>
    <t xml:space="preserve">        &lt;row label="r1"&gt;&lt;span style="color: black;"&gt;Biopharmaceutical companies&lt;/span&gt;&lt;/row&gt;</t>
  </si>
  <si>
    <t xml:space="preserve">        &lt;row label="r7"&gt;Automobile manufacturers&lt;/row&gt;</t>
  </si>
  <si>
    <t xml:space="preserve">        &lt;row label="r8"&gt;Oil and gas companies&lt;/row&gt;</t>
  </si>
  <si>
    <t xml:space="preserve">        &lt;row label="r11"&gt;Artificial Intelligence / Technology companies&lt;/row&gt;</t>
  </si>
  <si>
    <t xml:space="preserve">        &lt;row label="r15"&gt;&lt;span style="color: black;"&gt;Pfizer&lt;/span&gt;&lt;/row&gt;</t>
  </si>
  <si>
    <t xml:space="preserve">        &lt;row label="r16"&gt;&lt;span style="color: black;"&gt;Bristol Myers Squibb (BMS)&lt;/span&gt;&lt;/row&gt;</t>
  </si>
  <si>
    <t xml:space="preserve">        &lt;row label="r17"&gt;&lt;span style="color: black;"&gt;Amgen&lt;/span&gt;&lt;/row&gt;</t>
  </si>
  <si>
    <t xml:space="preserve">        &lt;row label="r18"&gt;&lt;span style="color: black;"&gt;Eli Lilly&lt;/span&gt;&lt;/row&gt;</t>
  </si>
  <si>
    <t xml:space="preserve">        &lt;row label="r19"&gt;&lt;span style="color: black;"&gt;Novartis&lt;/span&gt;&lt;/row&gt;</t>
  </si>
  <si>
    <t xml:space="preserve">        &lt;row label="r20"&gt;Merck&lt;/row&gt;</t>
  </si>
  <si>
    <t xml:space="preserve">        &lt;row label="r21"&gt;Johnson &amp;amp;amp; Johnson&lt;/row&gt;</t>
  </si>
  <si>
    <t xml:space="preserve">     label="AL_MOB"</t>
  </si>
  <si>
    <t xml:space="preserve">     cardrating:lrg_maxwidth="80%"</t>
  </si>
  <si>
    <t xml:space="preserve">        &lt;title&gt;&lt;span style="color: black; font-size: 10pt;"&gt;The following statements explore how you feel about taking action on this issue. For each one, please indicate how much you agree or disagree.&lt;/span&gt;&lt;/title&gt;</t>
  </si>
  <si>
    <t xml:space="preserve">        &lt;col label="c1" value="1"&gt;&lt;span style="font-size: 10pt;"&gt;Strongly&lt;br /&gt;&lt;strong&gt;DISAGREE&lt;/strong&gt;&lt;/span&gt;&lt;/col&gt;</t>
  </si>
  <si>
    <t xml:space="preserve">        &lt;col label="c2" value="2"&gt;&lt;span style="font-size: 10pt;"&gt;Disagree&lt;/span&gt;&lt;/col&gt;</t>
  </si>
  <si>
    <t xml:space="preserve">        &lt;col label="c3" value="3"&gt;&lt;span style="font-size: 10pt;"&gt;Somewhat&lt;br /&gt;disagree&lt;/span&gt;&lt;/col&gt;</t>
  </si>
  <si>
    <t xml:space="preserve">        &lt;col label="c4" value="4"&gt;&lt;span style="font-size: 10pt;"&gt;Neither agree&lt;br /&gt;nor disagree&lt;/span&gt;&lt;/col&gt;</t>
  </si>
  <si>
    <t xml:space="preserve">        &lt;col label="c5" value="5"&gt;&lt;span style="font-size: 10pt;"&gt;Somewhat&lt;br /&gt;Agree&lt;/span&gt;&lt;/col&gt;</t>
  </si>
  <si>
    <t xml:space="preserve">        &lt;col label="c6" value="6"&gt;&lt;span style="font-size: 10pt;"&gt;Agree&lt;/span&gt;&lt;/col&gt;</t>
  </si>
  <si>
    <t xml:space="preserve">        &lt;col label="c7" value="7"&gt;&lt;span style="font-size: 10pt;"&gt;Strongly&lt;strong&gt;&lt;br /&gt;AGREE&lt;/strong&gt;&lt;/span&gt;&lt;/col&gt;</t>
  </si>
  <si>
    <t xml:space="preserve">        &lt;row label="r1"&gt;&lt;strong&gt;&lt;span style="font-size: 12pt;"&gt;Working with others, people like me can have an impact influencing policymakers to support U.S. leadership in biopharmaceutical innovation and manufacturing.&lt;/span&gt;&lt;/strong&gt;&lt;/row&gt;</t>
  </si>
  <si>
    <t xml:space="preserve">        &lt;row label="r2"&gt;&lt;strong&gt;&lt;span style="font-size: 12pt;"&gt;I know what steps to take to make my voice heard on issues like U.S. medicine manufacturing and innovation.&lt;/span&gt;&lt;/strong&gt;&lt;/row&gt;</t>
  </si>
  <si>
    <t xml:space="preserve">        &lt;row label="r3"&gt;&lt;strong&gt;&lt;span style="font-size: 12pt;"&gt;This issue raises important questions of right and wrong for me personally.&lt;/span&gt;&lt;/strong&gt;&lt;/row&gt;</t>
  </si>
  <si>
    <t xml:space="preserve">        &lt;row label="r4"&gt;&lt;strong&gt;&lt;span style="font-size: 12pt;"&gt;It worries me to think about how decisions made today could affect the future of health care and America’s standing in the world.&lt;/span&gt;&lt;/strong&gt;&lt;/row&gt;</t>
  </si>
  <si>
    <t xml:space="preserve">        &lt;row label="r5"&gt;&lt;strong&gt;&lt;span style="font-size: 12pt;"&gt;If I asked, many of my friends or colleagues would be willing to join me in supporting stronger protections for U.S. medicine manufacturing and innovation.&lt;/span&gt;&lt;/strong&gt;&lt;/row&gt;</t>
  </si>
  <si>
    <t xml:space="preserve">     label="AL_ADV_P1"</t>
  </si>
  <si>
    <t xml:space="preserve">        &lt;title&gt;&lt;strong&gt;&lt;span style="color: black;"&gt;Thinking about the next 30 days, how likely are you to take any action related to calling on policymakers to strengthen U.S. leadership in biopharmaceutical innovation and manufacturing &lt;/span&gt;&lt;/strong&gt;&lt;span style="color: black;"&gt;(for example, sharing social media content, signing something, contacting someone, or attending a meeting)?&lt;/span&gt;&lt;/title&gt;</t>
  </si>
  <si>
    <t xml:space="preserve">        &lt;col label="c1"&gt;&lt;strong&gt;Definitely would not&lt;/strong&gt;&lt;/col&gt;</t>
  </si>
  <si>
    <t xml:space="preserve">        &lt;col label="c2"&gt;&lt;strong&gt;Probably would not&lt;/strong&gt;&lt;/col&gt;</t>
  </si>
  <si>
    <t xml:space="preserve">        &lt;col label="c3"&gt;&lt;strong&gt;Probably would&lt;/strong&gt;&lt;/col&gt;</t>
  </si>
  <si>
    <t xml:space="preserve">        &lt;col label="c4"&gt;&lt;strong&gt;Definitely would&lt;/strong&gt;&lt;/col&gt;</t>
  </si>
  <si>
    <t xml:space="preserve">        &lt;col label="c5"&gt;&lt;strong&gt;Not sure&lt;/strong&gt;&lt;/col&gt;</t>
  </si>
  <si>
    <t xml:space="preserve">     label="AL_ADV_P2"</t>
  </si>
  <si>
    <t xml:space="preserve">        &lt;title&gt;&lt;span style="color: black;"&gt;Compared to other issues you care about, &lt;strong&gt;how motivating is this issue for you right now?&lt;/strong&gt;&lt;/span&gt;&lt;/title&gt;</t>
  </si>
  <si>
    <t xml:space="preserve">        &lt;col label="c1"&gt;&lt;strong&gt;Much less motivating&lt;/strong&gt;&lt;/col&gt;</t>
  </si>
  <si>
    <t xml:space="preserve">        &lt;col label="c2"&gt;&lt;strong&gt;Somewhat less motivating&lt;/strong&gt;&lt;/col&gt;</t>
  </si>
  <si>
    <t xml:space="preserve">        &lt;col label="c3"&gt;&lt;strong&gt;About the same&lt;/strong&gt;&lt;/col&gt;</t>
  </si>
  <si>
    <t xml:space="preserve">        &lt;col label="c4"&gt;&lt;strong&gt;Somewhat more motivating&lt;/strong&gt;&lt;/col&gt;</t>
  </si>
  <si>
    <t xml:space="preserve">        &lt;col label="c5"&gt;&lt;strong&gt;Much more motivating&lt;/strong&gt;&lt;/col&gt;</t>
  </si>
  <si>
    <t xml:space="preserve">     label="AL_ADV_P2n"</t>
  </si>
  <si>
    <t xml:space="preserve">        &lt;title&gt;&lt;span style="color: black;"&gt;If your time or attention were limited this month, &lt;strong&gt;would this issue be one you actually focus on?&lt;/strong&gt;&lt;/span&gt;&lt;/title&gt;</t>
  </si>
  <si>
    <t xml:space="preserve">        &lt;col label="c1"&gt;&lt;strong&gt;&lt;span&gt;Definitely would not&lt;/span&gt;&lt;/strong&gt;&lt;/col&gt;</t>
  </si>
  <si>
    <t xml:space="preserve">        &lt;col label="c2"&gt;&lt;strong&gt;&lt;span&gt;Probably would not&lt;/span&gt;&lt;/strong&gt;&lt;/col&gt;</t>
  </si>
  <si>
    <t xml:space="preserve">        &lt;col label="c3"&gt;&lt;strong&gt;&lt;span&gt;Probably would&lt;/span&gt;&lt;/strong&gt;&lt;/col&gt;</t>
  </si>
  <si>
    <t xml:space="preserve">        &lt;col label="c4"&gt;&lt;strong&gt;&lt;span&gt;Definitely would&lt;/span&gt;&lt;/strong&gt;&lt;/col&gt;</t>
  </si>
  <si>
    <t xml:space="preserve">        &lt;col label="c5"&gt;&lt;strong&gt;&lt;span&gt;Not sure&lt;/span&gt;&lt;/strong&gt;&lt;/col&gt;</t>
  </si>
  <si>
    <t xml:space="preserve">    &lt;block label="BLOCK_PhRMA" builder:title="PhRMA Module"&gt;</t>
  </si>
  <si>
    <t xml:space="preserve">     label="PHRMA01"</t>
  </si>
  <si>
    <t xml:space="preserve">        &lt;title&gt;&lt;span style="color: black;"&gt;In your view,&lt;strong&gt;&amp;amp;nbsp;&lt;/strong&gt;which priority should be more important for policymakers?&lt;/span&gt;&lt;/title&gt;</t>
  </si>
  <si>
    <t xml:space="preserve">        &lt;row label="r1"&gt;&lt;strong&gt;&lt;span style="font-size: 12pt;"&gt;Lowering drug prices through price controls and other related policies.&lt;/span&gt;&lt;/strong&gt;&lt;/row&gt;</t>
  </si>
  <si>
    <t xml:space="preserve">        &lt;row label="r2"&gt;&lt;strong&gt;&lt;span style="font-size: 12pt;"&gt;Creating an environment where pharmaceutical companies can continue innovating to come up with new cures.&lt;/span&gt;&lt;/strong&gt;&lt;/row&gt;</t>
  </si>
  <si>
    <t xml:space="preserve">     label="PHRMA02"</t>
  </si>
  <si>
    <t xml:space="preserve">        &lt;title&gt;&lt;span style="color: black;"&gt;Who do you think is doing more to make the U.S. the world leader in pharmaceutical innovation?&lt;/span&gt;&lt;/title&gt;</t>
  </si>
  <si>
    <t xml:space="preserve">        &lt;row label="r1"&gt;&lt;strong&gt;&lt;span style="font-size: 12pt;"&gt;The U.S. Government&lt;/span&gt;&lt;/strong&gt;&lt;/row&gt;</t>
  </si>
  <si>
    <t xml:space="preserve">        &lt;row label="r2"&gt;&lt;strong&gt;&lt;span style="font-size: 12pt;"&gt;The pharmaceutical industry&lt;/span&gt;&lt;/strong&gt;&lt;/row&gt;</t>
  </si>
  <si>
    <t xml:space="preserve">     label="PHRMA03"</t>
  </si>
  <si>
    <t xml:space="preserve">        &lt;title&gt;&lt;span style="color: black;"&gt;Which statement comes closer to your view?&lt;/span&gt;&lt;/title&gt;</t>
  </si>
  <si>
    <t xml:space="preserve">        &lt;row label="r1"&gt;&lt;strong&gt;&lt;span style="font-size: 12pt;"&gt;Government policy is &lt;u&gt;helping&lt;/u&gt; American pharmaceutical leadership.&lt;/span&gt;&lt;/strong&gt;&lt;/row&gt;</t>
  </si>
  <si>
    <t xml:space="preserve">        &lt;row label="r2"&gt;&lt;strong&gt;&lt;span style="font-size: 12pt;"&gt;Government policy is &lt;u&gt;hurting&lt;/u&gt; American pharmaceutical leadership.&lt;/span&gt;&lt;/strong&gt;&lt;/row&gt;</t>
  </si>
  <si>
    <t xml:space="preserve">     label="PHRMA04"</t>
  </si>
  <si>
    <t xml:space="preserve">        &lt;title&gt;&lt;span style="color: black;"&gt;Which of the following two statements comes closer to your view?&lt;/span&gt;&lt;/title&gt;</t>
  </si>
  <si>
    <t xml:space="preserve">        &lt;row label="r1"&gt;&lt;span style="font-size: 12pt;"&gt;&lt;strong&gt;It’s vital for the U.S. that we are the global leader in pharmaceutical innovation because it means we get more access to medicines and aren’t reliant on other countries.&lt;/strong&gt;&lt;/span&gt;&lt;/row&gt;</t>
  </si>
  <si>
    <t xml:space="preserve">        &lt;row label="r2"&gt;&lt;span style="font-size: 12pt;"&gt;&lt;strong&gt;It doesn’t matter that much if the U.S. is the global leader in pharmaceutical innovation because we can still access medicines developed in other countries.&lt;/strong&gt;&lt;/span&gt;&lt;/row&gt;</t>
  </si>
  <si>
    <t xml:space="preserve">  &lt;block label="BLOCKB" cond="XRANDOMPICK.r6 or XRANDOMPICK.r7" builder:title="Block B"&gt;</t>
  </si>
  <si>
    <t xml:space="preserve">    &lt;block label="BLOCK_VAX_SEG" builder:title="Vaccine Attitudinal Segmentation"&gt;</t>
  </si>
  <si>
    <t xml:space="preserve">     label="VAXGATE4"</t>
  </si>
  <si>
    <t xml:space="preserve">        &lt;title&gt;&lt;span style="font-size: 14pt;"&gt;&lt;strong&gt;The next questions are about vaccines and public health during the COVID period. People of good will disagree on these issues, and we’re interested in your honest views...&lt;/strong&gt;&lt;br /&gt;&lt;br /&gt;First, which come closest to your view?&lt;/span&gt;&lt;span style="font-size: 14pt;"&gt;&lt;/span&gt;&lt;/title&gt;</t>
  </si>
  <si>
    <t xml:space="preserve">        &lt;row label="r1"&gt;&lt;span style="color: black; font-size: 12pt;"&gt;Many vaccines are unsafe, and serious risks are often hidden or downplayed&lt;/span&gt;&lt;/row&gt;</t>
  </si>
  <si>
    <t xml:space="preserve">        &lt;row label="r2"&gt;&lt;span style="font-size: 12pt;"&gt;Some vaccines may have risks, but most are generally safe&lt;/span&gt;&lt;/row&gt;</t>
  </si>
  <si>
    <t xml:space="preserve">        &lt;row label="r3"&gt;&lt;span style="font-size: 12pt;"&gt;Vaccines approved for use are generally safe for most people&lt;/span&gt;&lt;/row&gt;</t>
  </si>
  <si>
    <t xml:space="preserve">        &lt;noanswer label="r4"&gt;Not sure&lt;/noanswer&gt;</t>
  </si>
  <si>
    <t xml:space="preserve">     label="VAXGATE3"</t>
  </si>
  <si>
    <t xml:space="preserve">        &lt;title&gt;&lt;span style="font-size: 14pt;"&gt;&lt;strong&gt;Even when a vaccine is generally safe, how often do you think the benefits are overstated for people like you?&lt;/strong&gt;&lt;/span&gt;&lt;/title&gt;</t>
  </si>
  <si>
    <t xml:space="preserve">        &lt;row label="r1"&gt;&lt;span style="color: black; font-size: 12pt;"&gt;Very often — the personal benefit is usually not worth the risk&lt;/span&gt;&lt;/row&gt;</t>
  </si>
  <si>
    <t xml:space="preserve">        &lt;row label="r2"&gt;&lt;span style="font-size: 12pt;"&gt;Sometimes — it depends heavily on age, health, and disease severity&lt;/span&gt;&lt;/row&gt;</t>
  </si>
  <si>
    <t xml:space="preserve">        &lt;row label="r3"&gt;&lt;span style="font-size: 12pt;"&gt;Rarely — vaccines usually provide clear personal benefit and protection&lt;/span&gt;&lt;/row&gt;</t>
  </si>
  <si>
    <t xml:space="preserve">        &lt;noanswer label="r4"&gt;&lt;span style="font-size: 12pt;"&gt;Not sure&lt;/span&gt;&lt;/noanswer&gt;</t>
  </si>
  <si>
    <t xml:space="preserve">     label="VAXGATE2"</t>
  </si>
  <si>
    <t xml:space="preserve">     uses="onerowatatime.3"&gt;</t>
  </si>
  <si>
    <t xml:space="preserve">        &lt;title&gt;&lt;span style="font-size: 14pt;"&gt;&lt;strong&gt;How much do you trust each of the following to be honest and transparent about vaccine risks and benefits?&lt;/strong&gt;&lt;/span&gt;&lt;/title&gt;</t>
  </si>
  <si>
    <t xml:space="preserve">        &lt;comment&gt;Select one for each option&lt;/comment&gt;</t>
  </si>
  <si>
    <t xml:space="preserve">        &lt;row label="r1"&gt;&lt;strong&gt;&lt;span style="color: black; font-size: 12pt;"&gt;Pharmaceutical companies&lt;/span&gt;&lt;/strong&gt;&lt;/row&gt;</t>
  </si>
  <si>
    <t xml:space="preserve">        &lt;row label="r2"&gt;&lt;strong&gt;&lt;span style="color: black; font-size: 12pt;"&gt;Federal public health authorities (e.g. FDA, CDC)&lt;/span&gt;&lt;/strong&gt;&lt;strong&gt;&lt;span style="color: black; font-size: 12pt;"&gt;&lt;/span&gt;&lt;/strong&gt;&lt;/row&gt;</t>
  </si>
  <si>
    <t xml:space="preserve">        &lt;col label="c1" value="1"&gt;Not at all&lt;/col&gt;</t>
  </si>
  <si>
    <t xml:space="preserve">        &lt;col label="c2" value="2"&gt;&lt;span style="font-size: 10pt;"&gt;Very little&lt;/span&gt;&lt;/col&gt;</t>
  </si>
  <si>
    <t xml:space="preserve">        &lt;col label="c3" value="3"&gt;&lt;span style="font-size: 10pt;"&gt;Some&lt;/span&gt;&lt;/col&gt;</t>
  </si>
  <si>
    <t xml:space="preserve">        &lt;col label="c4" value="4"&gt;&lt;span style="font-size: 10pt;"&gt;A great deal&lt;/span&gt;&lt;/col&gt;</t>
  </si>
  <si>
    <t xml:space="preserve">        &lt;col label="c5" value="5"&gt;&lt;span style="font-size: 10pt;"&gt;Not sure&lt;/span&gt;&lt;/col&gt;</t>
  </si>
  <si>
    <t xml:space="preserve">     label="VAXGATE1"</t>
  </si>
  <si>
    <t xml:space="preserve">        &lt;title&gt;&lt;span style="font-size: 14pt;"&gt;Which come closest to your view?&lt;/span&gt;&lt;/title&gt;</t>
  </si>
  <si>
    <t xml:space="preserve">        &lt;row label="r1"&gt;&lt;strong&gt;&lt;span style="color: black; font-size: 12pt;"&gt;Vaccination decisions should always be voluntary, even during public health emergencies&lt;/span&gt;&lt;/strong&gt;&lt;/row&gt;</t>
  </si>
  <si>
    <t xml:space="preserve">        &lt;row label="r2"&gt;&lt;strong&gt;&lt;span style="font-size: 12pt;"&gt;Vaccine mandates may be justified in some situations to protect public health&lt;/span&gt;&lt;/strong&gt;&lt;/row&gt;</t>
  </si>
  <si>
    <t xml:space="preserve">        &lt;noanswer label="r3"&gt;Not sure&lt;/noanswer&gt;</t>
  </si>
  <si>
    <t xml:space="preserve">     label="VAXGATE_CHILD"</t>
  </si>
  <si>
    <t xml:space="preserve">        &lt;title&gt;&lt;span style="font-size: 14pt;"&gt;&lt;strong&gt;Thinking specifically about childhood vaccines required for school attendance, which comes closest to your view?&lt;/strong&gt;&lt;/span&gt;&lt;/title&gt;</t>
  </si>
  <si>
    <t xml:space="preserve">        &lt;row label="r1"&gt;&lt;span style="font-size: 12pt;"&gt;Should be required for school, with only limited medical exemptions&lt;/span&gt;&lt;/row&gt;</t>
  </si>
  <si>
    <t xml:space="preserve">        &lt;row label="r2"&gt;&lt;span style="font-size: 12pt;"&gt;Should generally be required, but parents should have broad opt-out rights&lt;/span&gt;&lt;/row&gt;</t>
  </si>
  <si>
    <t xml:space="preserve">        &lt;row label="r3"&gt;&lt;span style="font-size: 12pt;"&gt;Should be entirely voluntary and left to parental choice&lt;/span&gt;&lt;/row&gt;</t>
  </si>
  <si>
    <t xml:space="preserve">     label="COVIDGATE4"</t>
  </si>
  <si>
    <t xml:space="preserve">        &lt;title&gt;&lt;span style="font-size: 14pt;"&gt;&lt;strong&gt;Which comes closest to your view &lt;u&gt;about COVID vaccines&lt;/u&gt;?&lt;/strong&gt;&lt;/span&gt;&lt;/title&gt;</t>
  </si>
  <si>
    <t xml:space="preserve">        &lt;row label="r1"&gt;&lt;span style="font-size: 12pt;"&gt;COVID vaccines are unsafe, and serious risks were hidden or downplayed&lt;/span&gt;&lt;/row&gt;</t>
  </si>
  <si>
    <t xml:space="preserve">        &lt;row label="r2"&gt;&lt;span style="font-size: 12pt;"&gt;COVID vaccines may have risks, but were generally safe for most people&lt;/span&gt;&lt;/row&gt;</t>
  </si>
  <si>
    <t xml:space="preserve">        &lt;row label="r3"&gt;&lt;span style="font-size: 12pt;"&gt;COVID vaccines were generally safe and effective&lt;/span&gt;&lt;/row&gt;</t>
  </si>
  <si>
    <t xml:space="preserve">     label="COVIDGATE3"</t>
  </si>
  <si>
    <t xml:space="preserve">        &lt;title&gt;&lt;span style="font-size: 14pt;"&gt;&lt;strong&gt;For people like you, how often do you think the benefits of &lt;u&gt;COVID vaccination&lt;/u&gt; were overstated?&lt;/strong&gt;&lt;/span&gt;&lt;/title&gt;</t>
  </si>
  <si>
    <t xml:space="preserve">        &lt;row label="r1"&gt;&lt;span style="font-size: 12pt;"&gt;Very often&lt;/span&gt;&lt;/row&gt;</t>
  </si>
  <si>
    <t xml:space="preserve">        &lt;row label="r2"&gt;&lt;span style="font-size: 12pt;"&gt;Sometimes — it depended heavily on age, health, and timing&lt;/span&gt;&lt;/row&gt;</t>
  </si>
  <si>
    <t xml:space="preserve">        &lt;row label="r3"&gt;&lt;span style="font-size: 12pt;"&gt;Rarely&lt;/span&gt;&lt;/row&gt;</t>
  </si>
  <si>
    <t xml:space="preserve">     label="COVIDGATE1"</t>
  </si>
  <si>
    <t xml:space="preserve">        &lt;title&gt;&lt;span style="font-size: 14pt;"&gt;Which statement comes closest to your view?&lt;/span&gt;&lt;/title&gt;</t>
  </si>
  <si>
    <t xml:space="preserve">        &lt;row label="r1"&gt;&lt;strong&gt;&lt;span style="font-size: 12pt;"&gt;COVID vaccination should always have been voluntary&lt;/span&gt;&lt;/strong&gt;&lt;/row&gt;</t>
  </si>
  <si>
    <t xml:space="preserve">        &lt;row label="r2"&gt;&lt;strong&gt;&lt;span style="font-size: 12pt;"&gt;COVID vaccine mandates were justified in some situations&lt;/span&gt;&lt;/strong&gt;&lt;/row&gt;</t>
  </si>
  <si>
    <t xml:space="preserve">    &lt;block label="b14" cond="XRANDOMPICK.r6" builder:title="VAX Block"&gt;</t>
  </si>
  <si>
    <t xml:space="preserve">      &lt;block label="BLOCK_VAX_PRETESTS" builder:title="VAX Pre-Test and Baseline"&gt;</t>
  </si>
  <si>
    <t xml:space="preserve">        &lt;radio </t>
  </si>
  <si>
    <t xml:space="preserve">      label="CHILDVAX_IMP"</t>
  </si>
  <si>
    <t xml:space="preserve">      averages="nosummary"</t>
  </si>
  <si>
    <t xml:space="preserve">      randomize="0"</t>
  </si>
  <si>
    <t xml:space="preserve">      type="rating"</t>
  </si>
  <si>
    <t xml:space="preserve">      values="order"&gt;</t>
  </si>
  <si>
    <t xml:space="preserve">          &lt;title&gt;&lt;span style="font-size: 14pt;"&gt;&lt;span style="color: black;"&gt;Thinking of all the different ways we try to keep children safe and healthy,&lt;/span&gt;&lt;strong&gt;&lt;span style="color: black;"&gt; how important do you think childhood vaccines are—if, at all?&lt;/span&gt;&lt;/strong&gt;&lt;/span&gt;&lt;/title&gt;</t>
  </si>
  <si>
    <t xml:space="preserve">          &lt;comment&gt;Select one&lt;/comment&gt;</t>
  </si>
  <si>
    <t xml:space="preserve">          &lt;row label="r1" value="1"&gt;Extremely important&lt;/row&gt;</t>
  </si>
  <si>
    <t xml:space="preserve">          &lt;row label="r2" value="2"&gt;Very important&lt;/row&gt;</t>
  </si>
  <si>
    <t xml:space="preserve">          &lt;row label="r3" value="3"&gt;Somewhat important&lt;/row&gt;</t>
  </si>
  <si>
    <t xml:space="preserve">          &lt;row label="r4" value="4"&gt;Not very important&lt;/row&gt;</t>
  </si>
  <si>
    <t xml:space="preserve">          &lt;row label="r5" value="5"&gt;Not at all important&lt;/row&gt;</t>
  </si>
  <si>
    <t xml:space="preserve">          &lt;noanswer label="r6"&gt;Not sure&lt;/noanswer&gt;</t>
  </si>
  <si>
    <t xml:space="preserve">        &lt;/radio&gt;</t>
  </si>
  <si>
    <t xml:space="preserve">      label="CHILDVAX_RATE"</t>
  </si>
  <si>
    <t xml:space="preserve">      cond="0"</t>
  </si>
  <si>
    <t xml:space="preserve">          &lt;title&gt;&lt;span style="font-size: 14pt;"&gt;&lt;strong&gt;&lt;span style="color: black;"&gt;How would you rate the job the United States does overall when it comes to childhood vaccination?&lt;/span&gt;&lt;/strong&gt;&lt;/span&gt;&lt;/title&gt;</t>
  </si>
  <si>
    <t xml:space="preserve">          &lt;row label="r1" value="1"&gt;Excellent&lt;/row&gt;</t>
  </si>
  <si>
    <t xml:space="preserve">          &lt;row label="r2" value="2"&gt;Good&lt;/row&gt;</t>
  </si>
  <si>
    <t xml:space="preserve">          &lt;row label="r3" value="3"&gt;Only fair&lt;/row&gt;</t>
  </si>
  <si>
    <t xml:space="preserve">          &lt;row label="r4" value="4"&gt;Poor&lt;/row&gt;</t>
  </si>
  <si>
    <t xml:space="preserve">          &lt;row label="r5" value="5"&gt;Very Poor&lt;/row&gt;</t>
  </si>
  <si>
    <t xml:space="preserve">      label="AWARE_DENMARK"</t>
  </si>
  <si>
    <t xml:space="preserve">          &lt;title&gt;&lt;span style="font-size: 14pt;"&gt;&lt;strong&gt;&lt;span style="color: black;"&gt;Have you seen or heard anything about how other countries approach childhood vaccination differently from the United States?&lt;/span&gt;&lt;/strong&gt;&lt;/span&gt;&lt;/title&gt;</t>
  </si>
  <si>
    <t xml:space="preserve">          &lt;row label="r1" value="1"&gt;Yes, a great deal&lt;/row&gt;</t>
  </si>
  <si>
    <t xml:space="preserve">          &lt;row label="r2" value="2"&gt;Yes, some&lt;/row&gt;</t>
  </si>
  <si>
    <t xml:space="preserve">          &lt;row label="r3" value="3"&gt;Yes, a little&lt;/row&gt;</t>
  </si>
  <si>
    <t xml:space="preserve">          &lt;row label="r4" value="4"&gt;No, not at all&lt;/row&gt;</t>
  </si>
  <si>
    <t xml:space="preserve">        &lt;checkbox </t>
  </si>
  <si>
    <t xml:space="preserve">      label="AIDED_AWARE"</t>
  </si>
  <si>
    <t xml:space="preserve">      cond="(AWARE_DENMARK.r1 or AWARE_DENMARK.r2 or AWARE_DENMARK.r3)"</t>
  </si>
  <si>
    <t xml:space="preserve">      atleast="1"</t>
  </si>
  <si>
    <t xml:space="preserve">          &lt;title&gt;&lt;span style="font-size: 12pt;"&gt;&lt;span style="color: black;"&gt;Which of the following, if any, have you heard about?&amp;amp;nbsp;&amp;amp;nbsp;&lt;/span&gt;&lt;/span&gt;&lt;/title&gt;</t>
  </si>
  <si>
    <t xml:space="preserve">          &lt;comment&gt;&lt;em&gt;&lt;span style="font-size: 10pt;"&gt;Select all that apply&lt;/span&gt;&lt;/em&gt;&lt;/comment&gt;</t>
  </si>
  <si>
    <t xml:space="preserve">          &lt;row label="r1" value="1"&gt;&lt;strong&gt;&lt;span style="font-size: 12pt;"&gt;Some countries use fewer vaccines or a shorter schedule&lt;/span&gt;&lt;/strong&gt;&lt;/row&gt;</t>
  </si>
  <si>
    <t xml:space="preserve">          &lt;row label="r2" value="2"&gt;&lt;strong&gt;&lt;span style="font-size: 12pt;"&gt;Some countries space vaccines out differently&lt;/span&gt;&lt;/strong&gt;&lt;/row&gt;</t>
  </si>
  <si>
    <t xml:space="preserve">          &lt;row label="r3" value="3"&gt;&lt;strong&gt;&lt;span style="font-size: 12pt;"&gt;Some countries rely more on individual risk assessments&lt;/span&gt;&lt;/strong&gt;&lt;/row&gt;</t>
  </si>
  <si>
    <t xml:space="preserve">          &lt;row label="r4" value="4"&gt;&lt;strong&gt;&lt;span style="font-size: 12pt;"&gt;Some countries have lower reported rates of certain side effects&lt;/span&gt;&lt;/strong&gt;&lt;/row&gt;</t>
  </si>
  <si>
    <t xml:space="preserve">          &lt;row label="r5" value="5"&gt;&lt;strong&gt;&lt;span style="font-size: 12pt;"&gt;Comparisons between the U.S. and countries like Denmark or other European nations&lt;/span&gt;&lt;/strong&gt;&lt;/row&gt;</t>
  </si>
  <si>
    <t xml:space="preserve">          &lt;row label="r6" exclusive="1" randomize="0" value="6"&gt;&lt;strong&gt;&lt;span style="font-size: 12pt;"&gt;I’ve heard comparisons but don’t recall details&lt;/span&gt;&lt;/strong&gt;&lt;/row&gt;</t>
  </si>
  <si>
    <t xml:space="preserve">          &lt;noanswer label="r7"&gt;&lt;strong&gt;&lt;span style="font-size: 12pt;"&gt;No, not at all&lt;/span&gt;&lt;/strong&gt;&lt;/noanswer&gt;</t>
  </si>
  <si>
    <t xml:space="preserve">        &lt;/checkbox&gt;</t>
  </si>
  <si>
    <t xml:space="preserve">      label="VAX_PRE"</t>
  </si>
  <si>
    <t xml:space="preserve">      cardrating:btnlayout="tiled"</t>
  </si>
  <si>
    <t xml:space="preserve">      cardrating:lrg_maxwidth="80%"</t>
  </si>
  <si>
    <t xml:space="preserve">      shuffle="rows"</t>
  </si>
  <si>
    <t xml:space="preserve">      uses="cardrating.1"</t>
  </si>
  <si>
    <t xml:space="preserve">          &lt;title&gt;&lt;span style="color: black;"&gt;Indicate how much you either agree or disagree with the following statements…&lt;/span&gt;&lt;/title&gt;</t>
  </si>
  <si>
    <t xml:space="preserve">          &lt;style name="question.after"&gt;&lt;![CDATA[</t>
  </si>
  <si>
    <t xml:space="preserve">          &lt;col label="c1" value="1"&gt;&lt;span style="font-size: 10pt;"&gt;Strongly&lt;br /&gt;&lt;strong&gt;DISAGREE&lt;/strong&gt;&lt;/span&gt;&lt;/col&gt;</t>
  </si>
  <si>
    <t xml:space="preserve">          &lt;col label="c2" value="2"&gt;&lt;span style="font-size: 10pt;"&gt;Disagree&lt;/span&gt;&lt;/col&gt;</t>
  </si>
  <si>
    <t xml:space="preserve">          &lt;col label="c3" value="3"&gt;&lt;span style="font-size: 10pt;"&gt;Somewhat&lt;br /&gt;disagree&lt;/span&gt;&lt;/col&gt;</t>
  </si>
  <si>
    <t xml:space="preserve">          &lt;col label="c4" value="4"&gt;&lt;span style="font-size: 10pt;"&gt;Neither agree&lt;br /&gt;nor disagree&lt;/span&gt;&lt;/col&gt;</t>
  </si>
  <si>
    <t xml:space="preserve">          &lt;col label="c5" value="5"&gt;&lt;span style="font-size: 10pt;"&gt;Somewhat&lt;br /&gt;Agree&lt;/span&gt;&lt;/col&gt;</t>
  </si>
  <si>
    <t xml:space="preserve">          &lt;col label="c6" value="6"&gt;&lt;span style="font-size: 10pt;"&gt;Agree&lt;/span&gt;&lt;/col&gt;</t>
  </si>
  <si>
    <t xml:space="preserve">          &lt;col label="c7" value="7"&gt;&lt;span style="font-size: 10pt;"&gt;Strongly&lt;strong&gt;&lt;br /&gt;AGREE&lt;/strong&gt;&lt;/span&gt;&lt;/col&gt;</t>
  </si>
  <si>
    <t xml:space="preserve">          &lt;row label="r1"&gt;&lt;strong&gt;&lt;span style="font-size: 14pt;"&gt;Vaccines are one of the best and most proven ways to prevent disease &lt;/span&gt;&lt;/strong&gt;&lt;/row&gt;</t>
  </si>
  <si>
    <t xml:space="preserve">          &lt;row label="r2"&gt;&lt;strong&gt;&lt;span style="font-size: 14pt;"&gt;While vaccines, like all medicines, carry some risks, their benefits dramatically outweigh those risks &lt;/span&gt;&lt;/strong&gt;&lt;/row&gt;</t>
  </si>
  <si>
    <t xml:space="preserve">          &lt;row label="r3"&gt;&lt;strong&gt;&lt;span style="font-size: 14pt;"&gt;The government should not restrict access to vaccines for anyone who wants them.&lt;/span&gt;&lt;/strong&gt;&lt;/row&gt;</t>
  </si>
  <si>
    <t xml:space="preserve">          &lt;row label="r4"&gt;&lt;strong&gt;&lt;span style="font-size: 14pt;"&gt;The childhood vaccine schedule should not be changed to make it more like other countries that use fewer vaccines than the United States.&lt;/span&gt;&lt;/strong&gt;&lt;/row&gt;</t>
  </si>
  <si>
    <t xml:space="preserve">      &lt;block label="VAXlock" builder:title="VAX Block"&gt;</t>
  </si>
  <si>
    <t xml:space="preserve">        &lt;quota label="quotaSplitA" overquota="noqual" sheet="Split A"/&gt;</t>
  </si>
  <si>
    <t xml:space="preserve">        &lt;quota label="quotaSplitB" overquota="noqual" sheet="Split B"/&gt;</t>
  </si>
  <si>
    <t xml:space="preserve">      label="XSPLITA"</t>
  </si>
  <si>
    <t xml:space="preserve">          &lt;title&gt;Hidden: Item 12&lt;/title&gt;</t>
  </si>
  <si>
    <t xml:space="preserve">    if hasMarker("/Split A/Item12_{}".format(x+1)):</t>
  </si>
  <si>
    <t xml:space="preserve">        XSPLITA.val = x</t>
  </si>
  <si>
    <t xml:space="preserve">          &lt;row label="r1"&gt;Countries with fully government-funded health care may recommend fewer childhood vaccines because the government decides which medicines deliver sufficient value for the health system as a whole.&lt;/row&gt;</t>
  </si>
  <si>
    <t xml:space="preserve">          &lt;row label="r2"&gt;Countries with universal health care can recommend fewer childhood vaccines overall because they can better screen children to determine those at greater risk.&lt;/row&gt;</t>
  </si>
  <si>
    <t xml:space="preserve">      label="XSPLITB"</t>
  </si>
  <si>
    <t xml:space="preserve">          &lt;title&gt;Hidden: Item 13&lt;/title&gt;</t>
  </si>
  <si>
    <t xml:space="preserve">    if hasMarker("/Split B/Item13_{}".format(x+1)):</t>
  </si>
  <si>
    <t xml:space="preserve">        XSPLITB.val = x</t>
  </si>
  <si>
    <t xml:space="preserve">          &lt;row label="r1"&gt;Countries like Denmark are often cited for having fewer routine childhood vaccines, but many other countries have childhood vaccine schedules that are similar to, or just as comprehensive as, the U.S. vaccine schedule.&lt;/row&gt;</t>
  </si>
  <si>
    <t xml:space="preserve">          &lt;row label="r2"&gt;The goal in the United States should not be to use fewer vaccines simply to match other countries, but rather  should be based on what puts American children and patients first.&lt;/row&gt;</t>
  </si>
  <si>
    <t xml:space="preserve">        &lt;note&gt;VAX MaxDiff Indices Template --Start1--&lt;/note&gt;</t>
  </si>
  <si>
    <t>QVAX_md = setupMaxDiffFile("vax_maxdiff_design.dat")</t>
  </si>
  <si>
    <t xml:space="preserve">        &lt;quota label="maxdiffVAX" overquota="noqual" sheet="VAX Quota"/&gt;</t>
  </si>
  <si>
    <t xml:space="preserve">      label="QVAX_Version"</t>
  </si>
  <si>
    <t xml:space="preserve">          &lt;title&gt;QVAX - MaxDiff Version&lt;br /&gt;&lt;br /&gt;&lt;em&gt;Pick your version for testing... will be automated when live...&lt;/em&gt;&lt;/title&gt;</t>
  </si>
  <si>
    <t xml:space="preserve">    if "/VAX Quota/VAX_" in x:</t>
  </si>
  <si>
    <t xml:space="preserve">        QVAX_Version.val = int(x.split("_")[-1])</t>
  </si>
  <si>
    <t xml:space="preserve">        &lt;html label="QVAXMaxdiff_Intro" where="survey"&gt;You’ll see a series of short statements expressing different points of view. Each statement reflects a point of view about childhood vaccines. For each set, please choose the one statement you find &lt;strong&gt;MOST&lt;/strong&gt; compelling and the one statement you find &lt;strong&gt;LEAST&lt;/strong&gt; compelling.&lt;br /&gt;&lt;br /&gt;&lt;em&gt;Some statements may appear again later. That’s intentional—it helps us understand how people think about ideas in various contexts. &lt;/em&gt;There are no right or wrong answers. Simply go with your first reaction each time.&lt;/html&gt;</t>
  </si>
  <si>
    <t xml:space="preserve">        &lt;loop label="QVAX_md_loop" vars="task"&gt;</t>
  </si>
  <si>
    <t xml:space="preserve">          &lt;title&gt;QVAX - MaxDiff Loop&lt;/title&gt;</t>
  </si>
  <si>
    <t xml:space="preserve">          &lt;block label="QVAX_md_block" randomize="1"&gt;</t>
  </si>
  <si>
    <t xml:space="preserve">        label="QVAX_[loopvar: task]"</t>
  </si>
  <si>
    <t xml:space="preserve">        ss:questionClassNames="QVAX_maxdiff"</t>
  </si>
  <si>
    <t>setupMaxDiffItemsI( QVAX_md, "v%d_t%d" % (QVAX_Version.val, [loopvar: task]), QVAX_[loopvar: task])</t>
  </si>
  <si>
    <t>p.MDcount = str(QVAX_md_loop_expanded.order.index([loopvar: task]-1)+1)</t>
  </si>
  <si>
    <t xml:space="preserve">              &lt;row label="item1"&gt;Vaccines save more for society than they cost us by preventing illness before it starts or making it less severe.&lt;/row&gt;</t>
  </si>
  <si>
    <t xml:space="preserve">              &lt;row label="item2"&gt;The vaccines on the childhood immunization schedule have been studied for longer, in more people, and in more real-world settings than almost any other medical intervention. Conducting additional placebo-controlled trials of these vaccines  is a waste of valuable resources when we have decades of consistent, population-level safety and effectiveness data.&lt;/row&gt;</t>
  </si>
  <si>
    <t xml:space="preserve">              &lt;row label="item3"&gt;School vaccine rules are needed to stop outbreaks that are becoming more frequent, including the Measles outbreak that is spreading across the country.  Measles outbreaks can cause needless suffering for young children, including hearing loss, brain damage and death.&lt;/row&gt;</t>
  </si>
  <si>
    <t xml:space="preserve">              &lt;row label="item4"&gt;No federal law mandates childhood vaccinations. School-entry requirements are set at the state level, and allow for medical, religious and/or personal belief exemptions, giving parents wide latitude in decision-making.&lt;/row&gt;</t>
  </si>
  <si>
    <t xml:space="preserve">              &lt;row label="item5"&gt;Vaccines are important not only for saving lives, but for helping to eradicate diseases like polio, measles and smallpox that caused immense suffering and lifelong disability that kids and parents should no longer have to fear.&lt;/row&gt;</t>
  </si>
  <si>
    <t xml:space="preserve">              &lt;row label="item6"&gt;Childhood vaccines prevented over a million deaths in the past thirty years, Before vaccines, infectious diseases that are now prevented by vaccines were the primary cause of death, and the most dangerous time in life was being a child under five years old.&lt;/row&gt;</t>
  </si>
  <si>
    <t xml:space="preserve">              &lt;row label="item7"&gt;The same guidelines and laws governing childhood vaccines have been in place for decades. Making dramatic changes to these guidelines won’t change the risk of vaccine side effects, but will certainly increase the risk of kids getting sick from diseases&lt;/row&gt;</t>
  </si>
  <si>
    <t xml:space="preserve">              &lt;row label="item8"&gt;The public health response to COVID wasn't perfect, but if we undo childhood vaccination as a reaction we are putting our kids at serious risk without good evidence to back it up.&lt;/row&gt;</t>
  </si>
  <si>
    <t xml:space="preserve">              &lt;row label="item9"&gt;Changing vaccine recommendations only makes things more confusing for parents and makes it harder to ensure that every child who needs a vaccine can get one. If the CDC’s guidance is just to talk to your doctor then the CDC doesn’t serve a useful purpose.&lt;/row&gt;</t>
  </si>
  <si>
    <t xml:space="preserve">              &lt;row label="item10"&gt;Sowing doubt and making it harder for parents and doctors to vaccinate kids won’t make American kids healthier. Raising nutrition and fitness standards will do much more to ‘make America healthy again.’&lt;/row&gt;</t>
  </si>
  <si>
    <t xml:space="preserve">              &lt;row label="item11"&gt;Politicians in Washington promised they wouldn’t prevent people from getting a vaccine they want.  The government should keep its promise and stop making policy that leads pharmacies to stop offering certain vaccines and making it easier for insurers to not cover the cost&lt;/row&gt;</t>
  </si>
  <si>
    <t xml:space="preserve">              &lt;row label="item12"&gt;[pipe: XSPLITA]&lt;/row&gt;</t>
  </si>
  <si>
    <t xml:space="preserve">              &lt;row label="item13"&gt;[pipe: XSPLITB]&lt;/row&gt;</t>
  </si>
  <si>
    <t xml:space="preserve">    .QVAX_maxdiff tr.maxdiff-header-legend {</t>
  </si>
  <si>
    <t xml:space="preserve">    .QVAX_maxdiff tr.maxdiff-header-legend th.legend {</t>
  </si>
  <si>
    <t xml:space="preserve">    .QVAX_maxdiff tr.maxdiff-row td.element {</t>
  </si>
  <si>
    <t xml:space="preserve">    .QVAX_maxdiff tr.maxdiff-row th.row-legend {</t>
  </si>
  <si>
    <t xml:space="preserve">      label="QVAX_Timer"</t>
  </si>
  <si>
    <t xml:space="preserve">          &lt;title&gt;QVAX - MaxDiff Timer (Minutes)&lt;/title&gt;</t>
  </si>
  <si>
    <t>QVAX_Timer.val = (timeSpent() - p.startTime) / 60.0</t>
  </si>
  <si>
    <t xml:space="preserve">        &lt;note&gt;VAX MaxDiff Indices Template --End1--&lt;/note&gt;</t>
  </si>
  <si>
    <t xml:space="preserve">     label="VAX_POST"</t>
  </si>
  <si>
    <t xml:space="preserve">        &lt;title&gt;Now that you have read more about the topic, once again please indicate how much you either agree or disagree with the following statements…&lt;/title&gt;</t>
  </si>
  <si>
    <t xml:space="preserve">        &lt;row label="r1"&gt;&lt;strong&gt;&lt;span style="font-size: 14pt;"&gt;Vaccines are one of the best and most proven ways to prevent disease &lt;/span&gt;&lt;/strong&gt;&lt;/row&gt;</t>
  </si>
  <si>
    <t xml:space="preserve">        &lt;row label="r2"&gt;&lt;strong&gt;&lt;span style="font-size: 14pt;"&gt;While vaccines, like all medicines, carry some risks, their benefits dramatically outweigh those risks &lt;/span&gt;&lt;/strong&gt;&lt;/row&gt;</t>
  </si>
  <si>
    <t xml:space="preserve">        &lt;row label="r3"&gt;&lt;strong&gt;&lt;span style="font-size: 14pt;"&gt;The government should not restrict access to vaccines for anyone who wants them.&lt;/span&gt;&lt;/strong&gt;&lt;/row&gt;</t>
  </si>
  <si>
    <t xml:space="preserve">        &lt;row label="r4"&gt;&lt;strong&gt;&lt;span style="font-size: 14pt;"&gt;The childhood vaccine schedule should not be changed to make it more like other countries that use fewer vaccines than the United States.&lt;/span&gt;&lt;/strong&gt;&lt;/row&gt;</t>
  </si>
  <si>
    <t xml:space="preserve">      &lt;block label="BLOCK_VAXMOB_A" builder:title="VAX Mobilization &amp;amp; Advocacy [SPLIT SAMPLE A]"&gt;</t>
  </si>
  <si>
    <t xml:space="preserve">      label="VAX_MOB"</t>
  </si>
  <si>
    <t xml:space="preserve">          &lt;title&gt;&lt;span style="color: black;"&gt;The following statements explore how you feel about taking action on childhood vaccines. For each one, please indicate how much you agree or disagree.&lt;br /&gt;&lt;br /&gt;&lt;/span&gt;&lt;/title&gt;</t>
  </si>
  <si>
    <t xml:space="preserve">          &lt;row label="r1"&gt;&lt;strong&gt;&lt;span style="font-size: 12pt;"&gt;Working with others, people like me can make a difference in influencing policymakers to protect the childhood vaccination schedule.&lt;/span&gt;&lt;/strong&gt;&lt;/row&gt;</t>
  </si>
  <si>
    <t xml:space="preserve">          &lt;row label="r2"&gt;&lt;strong&gt;&lt;span style="font-size: 12pt;"&gt;I know what steps to take to make my voice heard on issues like U.S. vaccine manufacturing and innovation.&lt;/span&gt;&lt;/strong&gt;&lt;/row&gt;</t>
  </si>
  <si>
    <t xml:space="preserve">          &lt;row label="r3"&gt;&lt;strong&gt;&lt;span style="font-size: 12pt;"&gt;This issue raises important questions of right and wrong for me personally.&lt;/span&gt;&lt;/strong&gt;&lt;/row&gt;</t>
  </si>
  <si>
    <t xml:space="preserve">          &lt;row label="r4"&gt;&lt;strong&gt;&lt;span style="font-size: 12pt;"&gt;It makes me angry that political disagreements could put the health of innocent children at risk. &lt;/span&gt;&lt;/strong&gt;&lt;/row&gt;</t>
  </si>
  <si>
    <t xml:space="preserve">          &lt;row label="r5"&gt;&lt;strong&gt;&lt;span style="font-size: 12pt;"&gt;If I asked, many of my friends or colleagues would be willing to join me in supporting the childhood vaccine schedule.&lt;/span&gt;&lt;/strong&gt;&lt;/row&gt;</t>
  </si>
  <si>
    <t xml:space="preserve">      label="VAX_ADV_P1"</t>
  </si>
  <si>
    <t xml:space="preserve">      randomize="0"&gt;</t>
  </si>
  <si>
    <t xml:space="preserve">          &lt;title&gt;&lt;strong&gt;&lt;span style="color: black;"&gt;Thinking about the next 30 days, how likely are you to take any action related to calling on policymakers to protect the childhood vaccination schedule. &lt;/span&gt;&lt;/strong&gt;&lt;span style="color: black;"&gt;(for example, sharing social media content, signing something, contacting someone, or attending a meeting)?&lt;/span&gt;&lt;/title&gt;</t>
  </si>
  <si>
    <t xml:space="preserve">          &lt;col label="c1"&gt;&lt;strong&gt;&lt;span&gt;Definitely would not&lt;/span&gt;&lt;/strong&gt;&lt;/col&gt;</t>
  </si>
  <si>
    <t xml:space="preserve">          &lt;col label="c2"&gt;&lt;strong&gt;&lt;span&gt;Probably would not&lt;/span&gt;&lt;/strong&gt;&lt;/col&gt;</t>
  </si>
  <si>
    <t xml:space="preserve">          &lt;col label="c3"&gt;&lt;strong&gt;&lt;span&gt;Probably would&lt;/span&gt;&lt;/strong&gt;&lt;/col&gt;</t>
  </si>
  <si>
    <t xml:space="preserve">          &lt;col label="c4"&gt;&lt;strong&gt;&lt;span&gt;Definitely would&lt;/span&gt;&lt;/strong&gt;&lt;/col&gt;</t>
  </si>
  <si>
    <t xml:space="preserve">          &lt;col label="c5"&gt;&lt;strong&gt;&lt;span&gt;Not sure&lt;/span&gt;&lt;/strong&gt;&lt;/col&gt;</t>
  </si>
  <si>
    <t xml:space="preserve">      label="VAX_ADV_P2"</t>
  </si>
  <si>
    <t xml:space="preserve">          &lt;title&gt;&lt;span style="color: black;"&gt;Compared to other issues you care about, &lt;strong&gt;how motivating is this issue for you right now?&lt;/strong&gt;&lt;/span&gt;&lt;/title&gt;</t>
  </si>
  <si>
    <t xml:space="preserve">          &lt;col label="c1"&gt;&lt;strong&gt;&lt;span&gt;Much less motivating&lt;/span&gt;&lt;/strong&gt;&lt;/col&gt;</t>
  </si>
  <si>
    <t xml:space="preserve">          &lt;col label="c2"&gt;&lt;strong&gt;&lt;span&gt;Somewhat less motivating&lt;/span&gt;&lt;/strong&gt;&lt;/col&gt;</t>
  </si>
  <si>
    <t xml:space="preserve">          &lt;col label="c3"&gt;&lt;strong&gt;&lt;span&gt;About the same&lt;/span&gt;&lt;/strong&gt;&lt;/col&gt;</t>
  </si>
  <si>
    <t xml:space="preserve">          &lt;col label="c4"&gt;&lt;strong&gt;&lt;span&gt;Somewhat more motivating&lt;/span&gt;&lt;/strong&gt;&lt;/col&gt;</t>
  </si>
  <si>
    <t xml:space="preserve">          &lt;col label="c5"&gt;&lt;strong&gt;&lt;span&gt;Much more motivating&amp;amp;nbsp; &lt;/span&gt;&lt;/strong&gt;&lt;/col&gt;</t>
  </si>
  <si>
    <t xml:space="preserve">      label="VAX_ADV_P2n"</t>
  </si>
  <si>
    <t xml:space="preserve">          &lt;title&gt;&lt;span style="color: black;"&gt;If your time or attention were limited this month, &lt;strong&gt;would this issue be one you actually focus on?&lt;/strong&gt;&lt;/span&gt;&lt;/title&gt;</t>
  </si>
  <si>
    <t xml:space="preserve">    &lt;block label="b15" cond="XRANDOMPICK.r7" builder:title="VICP Block"&gt;</t>
  </si>
  <si>
    <t xml:space="preserve">      &lt;block label="BLOCK_VICP_PRETESTS" builder:title="VICP Pre-Tests"&gt;</t>
  </si>
  <si>
    <t xml:space="preserve">      label="VICP_AWARE"</t>
  </si>
  <si>
    <t xml:space="preserve">          &lt;title&gt;&lt;span style="font-size: 14pt;"&gt;&lt;strong&gt;&lt;span style="color: black;"&gt;While serious vaccine side effects are rare, they do happen, so there is a government program called the Vaccine Injury Compensation Program (“VICP”) that is funded by a tax on every vaccine. The VICP allows people to get payment for known side effects without the time and expense of a court trial. Some people want to make it easier to file lawsuits directly against vaccine manufacturers without going through the program first.&lt;/span&gt;&lt;/strong&gt;&lt;br /&gt;&lt;br /&gt;&lt;span style="color: black;"&gt;How much have you heard about this program – if at all?&lt;/span&gt;&lt;br /&gt;&lt;/span&gt;&lt;span style="font-size: 14pt;"&gt;&lt;/span&gt;&lt;/title&gt;</t>
  </si>
  <si>
    <t xml:space="preserve">          &lt;row label="r1"&gt;&lt;span style="color: black;"&gt;A great deal&lt;/span&gt;&lt;/row&gt;</t>
  </si>
  <si>
    <t xml:space="preserve">          &lt;row label="r2"&gt;&lt;span style="color: black;"&gt;Some&lt;/span&gt;&lt;/row&gt;</t>
  </si>
  <si>
    <t xml:space="preserve">          &lt;row label="r3"&gt;&lt;span style="color: black;"&gt;Only a little&lt;/span&gt;&lt;/row&gt;</t>
  </si>
  <si>
    <t xml:space="preserve">          &lt;row label="r4"&gt;&lt;span style="color: black;"&gt;Never heard before&lt;/span&gt;&lt;/row&gt;</t>
  </si>
  <si>
    <t xml:space="preserve">      label="VICP_PRE"</t>
  </si>
  <si>
    <t xml:space="preserve">    height: 160px !important;</t>
  </si>
  <si>
    <t xml:space="preserve">          &lt;row label="r1"&gt;&lt;strong&gt;&lt;span style="font-size: 14pt;"&gt;&lt;span style="color: black;"&gt;Overall, the U.S. vaccine safety system operates in a fair and responsible way&lt;/span&gt;&lt;/span&gt;&lt;/strong&gt;&lt;/row&gt;</t>
  </si>
  <si>
    <t xml:space="preserve">          &lt;row label="r2"&gt;&lt;strong&gt;&lt;span style="font-size: 14pt;"&gt;&lt;span style="color: black;"&gt;Decisions about vaccine safety and compensation are made using fair and transparent processes.&amp;amp;nbsp;&lt;/span&gt;&lt;/span&gt;&lt;/strong&gt;&lt;/row&gt;</t>
  </si>
  <si>
    <t xml:space="preserve">          &lt;row label="r3"&gt;&lt;strong&gt;&lt;span style="font-size: 14pt;"&gt;&lt;span style="color: black;"&gt;We should protect the VICP because it is better to have a no-fault compensation program rather than encouraging more lawsuits against vaccine manufacturers.&amp;amp;nbsp;&lt;/span&gt;&lt;/span&gt;&lt;/strong&gt;&lt;/row&gt;</t>
  </si>
  <si>
    <t xml:space="preserve">      label="VICP_PRE4"</t>
  </si>
  <si>
    <t xml:space="preserve">      ss:listDisplay="0"</t>
  </si>
  <si>
    <t xml:space="preserve">          &lt;title&gt;&lt;strong&gt;Which approach do you favor more?&lt;/strong&gt;&lt;/title&gt;</t>
  </si>
  <si>
    <t xml:space="preserve">          &lt;comment&gt;Indicate where your own opinion sits between these views&lt;/comment&gt;</t>
  </si>
  <si>
    <t xml:space="preserve">          &lt;row label="r1"/&gt;</t>
  </si>
  <si>
    <t xml:space="preserve">          &lt;col label="c1" value="1"&gt;&lt;p style="text-align: left;"&gt;&lt;span style="color: #ffffff; font-size: 12pt;"&gt;Make it easier to sue vaccine manufacturers directly in civil court&lt;/span&gt;&lt;/p&gt;&lt;/col&gt;</t>
  </si>
  <si>
    <t xml:space="preserve">          &lt;col label="c2" value="2"/&gt;</t>
  </si>
  <si>
    <t xml:space="preserve">          &lt;col label="c3" value="3"/&gt;</t>
  </si>
  <si>
    <t xml:space="preserve">          &lt;col label="c4" value="4"/&gt;</t>
  </si>
  <si>
    <t xml:space="preserve">          &lt;col label="c5" value="5"/&gt;</t>
  </si>
  <si>
    <t xml:space="preserve">          &lt;col label="c6" value="6"/&gt;</t>
  </si>
  <si>
    <t xml:space="preserve">          &lt;col label="c7" value="7"&gt;&lt;p style="text-align: right;"&gt;&lt;span style="font-size: 12pt; color: #ffffff;"&gt;Keep a no-fault vaccine injury compensation program as the primary route&lt;/span&gt;&lt;/p&gt;&lt;/col&gt;</t>
  </si>
  <si>
    <t xml:space="preserve">      &lt;block label="BLOCK_VICP_Maxdiff" builder:title="VICP Block"&gt;</t>
  </si>
  <si>
    <t xml:space="preserve">        &lt;note&gt;VICP MaxDiff Indices Template --Start1--&lt;/note&gt;</t>
  </si>
  <si>
    <t>QVICP_md = setupMaxDiffFile("vicp_maxdiff_design.dat")</t>
  </si>
  <si>
    <t xml:space="preserve">        &lt;quota label="maxdiffVICP" overquota="noqual" sheet="VICP Quota"/&gt;</t>
  </si>
  <si>
    <t xml:space="preserve">      label="QVICP_Version"</t>
  </si>
  <si>
    <t xml:space="preserve">          &lt;title&gt;QVICP - MaxDiff Version&lt;br /&gt;&lt;br /&gt;&lt;em&gt;Pick your version for testing... will be automated when live...&lt;/em&gt;&lt;/title&gt;</t>
  </si>
  <si>
    <t xml:space="preserve">    if "/VICP Quota/VICP_" in x:</t>
  </si>
  <si>
    <t xml:space="preserve">        QVICP_Version.val = int(x.split("_")[-1])</t>
  </si>
  <si>
    <t xml:space="preserve">        &lt;html label="QVICPMaxdiff_Intro" where="survey"&gt;You’ll see a series of short statements expressing different points of view. Each statement reflects a point of view about Vaccine Injury Compensation Program (“VICP”). For each set, please choose the one statement you find &lt;strong&gt;MOST&lt;/strong&gt; compelling and the one statement you find &lt;strong&gt;LEAST&lt;/strong&gt; compelling.</t>
  </si>
  <si>
    <t xml:space="preserve">        &lt;loop label="QVICP_md_loop" vars="task"&gt;</t>
  </si>
  <si>
    <t xml:space="preserve">          &lt;title&gt;QVICP - MaxDiff Loop&lt;/title&gt;</t>
  </si>
  <si>
    <t xml:space="preserve">          &lt;block label="QVICP_md_block" randomize="1"&gt;</t>
  </si>
  <si>
    <t xml:space="preserve">        label="QVICP_[loopvar: task]"</t>
  </si>
  <si>
    <t xml:space="preserve">        ss:questionClassNames="QVICP_maxdiff"</t>
  </si>
  <si>
    <t>setupMaxDiffItemsI( QVICP_md, "v%d_t%d" % (QVICP_Version.val, [loopvar: task]), QVICP_[loopvar: task])</t>
  </si>
  <si>
    <t>p.MDcount = str(QVICP_md_loop_expanded.order.index([loopvar: task]-1)+1)</t>
  </si>
  <si>
    <t xml:space="preserve">              &lt;row label="item1"&gt;For families dealing with serious injury, the Vaccine Injury Compensation Program is designed to deliver decisions and compensation more quickly than unpredictable jury trials.&lt;/row&gt;</t>
  </si>
  <si>
    <t xml:space="preserve">              &lt;row label="item2"&gt;Unlike civil lawsuits, the program does not require an injured person to prove negligence or wrongdoing—only that a known injury occurred. The program includes a list of possible vaccine injuries.  If a person has one of those injuries they will be compensated.&lt;/row&gt;</t>
  </si>
  <si>
    <t xml:space="preserve">              &lt;row label="item3"&gt;The program does not take away anyone’s right to go to court—it offers a faster, lower-stress option first, with lawsuits still available if needed.&lt;/row&gt;</t>
  </si>
  <si>
    <t xml:space="preserve">              &lt;row label="item4"&gt;What’s at stake is balancing care for injured individuals with keeping vaccines affordable and available.The Vaccine Injury Compensation Program was designed to do both—compensate people fairly while avoiding legal uncertainty that raises costs and can take many years to resolve.&lt;/row&gt;</t>
  </si>
  <si>
    <t xml:space="preserve">              &lt;row label="item5"&gt;Most childhood vaccines are low-cost products so the risk of unpredictable lawsuits led manufacturers to stop developing vaccines in the U.S. The compensation program was designed to keep vaccines available for children here in America.&lt;/row&gt;</t>
  </si>
  <si>
    <t xml:space="preserve">              &lt;row label="item6"&gt;Weakening the Vaccine Injury Compensation Program would enrich a small number of personal injury lawyers instead of helping families in need. The no-fault system exists because it compensates injuries more reliably than lawsuits designed to chase large verdicts.&lt;/row&gt;</t>
  </si>
  <si>
    <t xml:space="preserve">              &lt;row label="item7"&gt;A no-fault compensation system like the Vaccine Injury Compensation Program protects vaccine decisions from becoming political battles played out in courtrooms instead of guided by evidence and standards.&lt;/row&gt;</t>
  </si>
  <si>
    <t xml:space="preserve">              &lt;row label="item8"&gt;Without the program, only families who can afford long legal battles would have a realistic chance of compensation.&lt;/row&gt;</t>
  </si>
  <si>
    <t xml:space="preserve">              &lt;row label="item9"&gt;The Vaccine Injury Compensation Program program exists because everyone acknowledges that rare but serious vaccine injuries can happen. Having a system in place to deal with those cases makes the vaccine system more fair, reliable and accountable.&lt;/row&gt;</t>
  </si>
  <si>
    <t xml:space="preserve">              &lt;row label="item10"&gt;Informed consent works best when people know there is a clear, fair system like the Vaccine Injury Compensation Program  to help if a vaccine causes a rare injury.&lt;/row&gt;</t>
  </si>
  <si>
    <t xml:space="preserve">    .QVICP_maxdiff tr.maxdiff-header-legend {</t>
  </si>
  <si>
    <t xml:space="preserve">    .QVICP_maxdiff tr.maxdiff-header-legend th.legend {</t>
  </si>
  <si>
    <t xml:space="preserve">    .QVICP_maxdiff tr.maxdiff-row td.element {</t>
  </si>
  <si>
    <t xml:space="preserve">    .QVICP_maxdiff tr.maxdiff-row th.row-legend {</t>
  </si>
  <si>
    <t xml:space="preserve">      label="QVICP_Timer"</t>
  </si>
  <si>
    <t xml:space="preserve">          &lt;title&gt;QVICP - MaxDiff Timer (Minutes)&lt;/title&gt;</t>
  </si>
  <si>
    <t>QVICP_Timer.val = (timeSpent() - p.startTime) / 60.0</t>
  </si>
  <si>
    <t xml:space="preserve">        &lt;note&gt;VICP MaxDiff Indices Template --End1--&lt;/note&gt;</t>
  </si>
  <si>
    <t xml:space="preserve">      &lt;block label="BLOCK_VICP_POSTTEST" builder:title="VICP Post-Tests"&gt;</t>
  </si>
  <si>
    <t xml:space="preserve">      label="VICP_POST"</t>
  </si>
  <si>
    <t xml:space="preserve">          &lt;row label="r1"&gt;&lt;strong&gt;&lt;span style="font-size: 14pt;"&gt;Overall, the U.S. vaccine safety system operates in a fair and responsible way&lt;/span&gt;&lt;/strong&gt;&lt;/row&gt;</t>
  </si>
  <si>
    <t xml:space="preserve">          &lt;row label="r2"&gt;&lt;strong&gt;&lt;span style="font-size: 14pt;"&gt;Decisions about vaccine safety and compensation are made using fair and transparent processes.&amp;amp;nbsp;&lt;/span&gt;&lt;/strong&gt;&lt;/row&gt;</t>
  </si>
  <si>
    <t xml:space="preserve">          &lt;row label="r3"&gt;&lt;strong&gt;&lt;span style="font-size: 14pt;"&gt;We should protect the VICP because it is better to have a no-fault compensation program rather than encouraging more lawsuits against vaccine manufacturers.&amp;amp;nbsp;&lt;/span&gt;&lt;/strong&gt;&lt;/row&gt;</t>
  </si>
  <si>
    <t xml:space="preserve">      label="VICP_POST4"</t>
  </si>
  <si>
    <t xml:space="preserve">      &lt;block label="BLOCK_VICP_MOB_B" builder:title="VICP Mobilization &amp;amp; Advocacy [SPLIT SAMPLE B]"&gt;</t>
  </si>
  <si>
    <t xml:space="preserve">      label="VICP_MOB"</t>
  </si>
  <si>
    <t xml:space="preserve">          &lt;title&gt;&lt;span style="color: black;"&gt;The following statements explore how you feel about taking action on the issue of the Vaccine Injury Compensation Program (“VICP”) . For each one, please indicate how much you agree or disagree.&lt;br /&gt;&lt;br /&gt;&lt;/span&gt;&lt;/title&gt;</t>
  </si>
  <si>
    <t xml:space="preserve">          &lt;row label="r1"&gt;&lt;strong&gt;&lt;span style="font-size: 12pt;"&gt;&lt;span style="color: black;"&gt;Working with others, people like me can make a difference in influencing policymakers to strengthen the VICP.&lt;/span&gt;&lt;/span&gt;&lt;/strong&gt;&lt;/row&gt;</t>
  </si>
  <si>
    <t xml:space="preserve">          &lt;row label="r4"&gt;&lt;strong&gt;&lt;span style="font-size: 12pt;"&gt;It makes me angry that some people want to weaken this program so that more trial lawyers can get rich.&lt;/span&gt;&lt;/strong&gt;&lt;/row&gt;</t>
  </si>
  <si>
    <t xml:space="preserve">          &lt;row label="r5"&gt;&lt;strong&gt;&lt;span style="font-size: 12pt;"&gt;If I asked, many of my friends or colleagues would be willing to join me in supporting the VICP.&lt;/span&gt;&lt;/strong&gt;&lt;/row&gt;</t>
  </si>
  <si>
    <t xml:space="preserve">      label="VICP_ADV_P1"</t>
  </si>
  <si>
    <t xml:space="preserve">          &lt;title&gt;&lt;strong&gt;&lt;span style="color: black;"&gt;Thinking about the next 30 days, how likely are you to take any action related to calling on policymakers to strengthen the VICP. &lt;/span&gt;&lt;/strong&gt;&lt;span style="color: black;"&gt;(for example, sharing social media content, signing something, contacting someone, or attending a meeting)?&lt;/span&gt;&lt;/title&gt;</t>
  </si>
  <si>
    <t xml:space="preserve">      label="VICP_ADV_P2"</t>
  </si>
  <si>
    <t xml:space="preserve">      label="VICP_ADV_P2n"</t>
  </si>
  <si>
    <t xml:space="preserve">    &lt;block label="BLOCK_VAX_ATTITUDES" builder:title="Vaccine Attitude Drivers"&gt;</t>
  </si>
  <si>
    <t xml:space="preserve">      &lt;checkbox </t>
  </si>
  <si>
    <t xml:space="preserve">     label="JOB_MANDATE"</t>
  </si>
  <si>
    <t xml:space="preserve">     atleast="1"</t>
  </si>
  <si>
    <t xml:space="preserve">        &lt;title&gt;&lt;strong&gt;Were you ever required to get a COVID vaccine to...&lt;/strong&gt;&lt;/title&gt;</t>
  </si>
  <si>
    <t xml:space="preserve">        &lt;comment&gt;Select all that apply&lt;/comment&gt;</t>
  </si>
  <si>
    <t xml:space="preserve">        &lt;row label="r1"&gt;&lt;strong&gt;&lt;span style="font-size: 12pt;"&gt;Keep your job&lt;/span&gt;&lt;/strong&gt;&lt;/row&gt;</t>
  </si>
  <si>
    <t xml:space="preserve">        &lt;row label="r2"&gt;&lt;strong&gt;&lt;span style="font-size: 12pt;"&gt;Attend school&lt;/span&gt;&lt;/strong&gt;&lt;/row&gt;</t>
  </si>
  <si>
    <t xml:space="preserve">        &lt;row label="r3"&gt;&lt;strong&gt;&lt;span style="font-size: 12pt;"&gt;Travel&lt;/span&gt;&lt;/strong&gt;&lt;/row&gt;</t>
  </si>
  <si>
    <t xml:space="preserve">        &lt;row label="r4"&gt;&lt;strong&gt;&lt;span style="font-size: 12pt;"&gt;Enter public venues (restaurants, gyms, events)&lt;/span&gt;&lt;/strong&gt;&lt;/row&gt;</t>
  </si>
  <si>
    <t xml:space="preserve">        &lt;noanswer label="r5"&gt;None of the Above&lt;/noanswer&gt;</t>
  </si>
  <si>
    <t xml:space="preserve">      &lt;/checkbox&gt;</t>
  </si>
  <si>
    <t xml:space="preserve">     label="COMPLIANCE_MOTIVE"</t>
  </si>
  <si>
    <t xml:space="preserve">        &lt;title&gt;&lt;strong&gt;&lt;span style="color: black;"&gt;Did you ever feel you got vaccinated mainly to avoid consequences rather than for health reasons?&lt;/span&gt;&lt;/strong&gt;&lt;/title&gt;</t>
  </si>
  <si>
    <t xml:space="preserve">        &lt;row label="r1" value="1"&gt;Yes&lt;/row&gt;</t>
  </si>
  <si>
    <t xml:space="preserve">        &lt;row label="r2" value="2"&gt;No&lt;/row&gt;</t>
  </si>
  <si>
    <t xml:space="preserve">        &lt;row label="r3" value="3"&gt;N/A – I did not get a COVID vaccine&lt;/row&gt;</t>
  </si>
  <si>
    <t xml:space="preserve">     label="COVID_TRUST"</t>
  </si>
  <si>
    <t xml:space="preserve">        &lt;title&gt;&lt;span style="color: black; font-size: 10pt;"&gt;Indicate how much you either agree or disagree with the following statements about COVID-era public policy:&lt;/span&gt;&lt;/title&gt;</t>
  </si>
  <si>
    <t xml:space="preserve">        &lt;comment&gt;&lt;em&gt;Select one for each option&lt;/em&gt;&lt;/comment&gt;</t>
  </si>
  <si>
    <t xml:space="preserve">        &lt;row label="r1"&gt;&lt;span style="font-size: 12pt;"&gt;&lt;strong&gt;&lt;span style="color: black;"&gt;COVID vaccine requirements were put in place before we had enough long-term information&lt;/span&gt;&lt;/strong&gt;&lt;/span&gt;&lt;/row&gt;</t>
  </si>
  <si>
    <t xml:space="preserve">        &lt;row label="r2"&gt;&lt;span style="font-size: 12pt;"&gt;&lt;strong&gt;&lt;span style="color: black;"&gt;Public health officials acted as if the science was settled when it wasn’t &lt;/span&gt;&lt;/strong&gt;&lt;/span&gt;&lt;/row&gt;</t>
  </si>
  <si>
    <t xml:space="preserve">        &lt;row label="r3"&gt;&lt;span style="font-size: 12pt;"&gt;&lt;strong&gt;&lt;span style="color: black;"&gt;Public health rules during the pandemic should have differed more by age and medical risk &lt;/span&gt;&lt;/strong&gt;&lt;/span&gt;&lt;/row&gt;</t>
  </si>
  <si>
    <t xml:space="preserve">        &lt;row label="r4"&gt;&lt;span style="font-size: 12pt;"&gt;&lt;strong&gt;One-size-fits-all vaccine policies damaged trust for me&lt;/strong&gt;&lt;/span&gt;&lt;/row&gt;</t>
  </si>
  <si>
    <t xml:space="preserve">        &lt;row label="r5" randomize="0"&gt;&lt;span style="font-size: 12pt;"&gt;&lt;strong&gt;&lt;span style="color: #4472c4;"&gt; &lt;/span&gt;&lt;/strong&gt;&lt;strong&gt;&lt;span style="color: black;"&gt;If COVID vaccines had remained voluntary (no job/school/travel requirements), I would have been more open to public health guidance overall.&lt;/span&gt;&lt;/strong&gt;&lt;/span&gt;&lt;/row&gt;</t>
  </si>
  <si>
    <t xml:space="preserve">        &lt;col label="c1"&gt;&lt;span style="font-size: 8pt;"&gt;Strongly&lt;/span&gt;&lt;br /&gt;&lt;span style="font-size: 8pt;"&gt;DISAGREE&lt;/span&gt;&lt;/col&gt;</t>
  </si>
  <si>
    <t xml:space="preserve">        &lt;col label="c2"&gt;&lt;span style="font-size: 8pt;"&gt;Disagree&lt;/span&gt;&lt;/col&gt;</t>
  </si>
  <si>
    <t xml:space="preserve">        &lt;col label="c3"&gt;&lt;span style="font-size: 8pt;"&gt;Somewhat&lt;/span&gt;&lt;br /&gt;&lt;span style="font-size: 8pt;"&gt;Disagree&lt;/span&gt;&lt;/col&gt;</t>
  </si>
  <si>
    <t xml:space="preserve">        &lt;col label="c4"&gt;&lt;span style="font-size: 8pt;"&gt;Neither or&lt;/span&gt;&lt;br /&gt;&lt;span style="font-size: 8pt;"&gt;Neutral&lt;/span&gt;&lt;/col&gt;</t>
  </si>
  <si>
    <t xml:space="preserve">        &lt;col label="c5"&gt;&lt;span style="font-size: 8pt;"&gt;Somewhat&lt;/span&gt;&lt;br /&gt;&lt;span style="font-size: 8pt;"&gt;Agree&lt;/span&gt;&lt;/col&gt;</t>
  </si>
  <si>
    <t xml:space="preserve">        &lt;col label="c6"&gt;&lt;span style="font-size: 8pt;"&gt;Agree&lt;/span&gt;&lt;/col&gt;</t>
  </si>
  <si>
    <t xml:space="preserve">        &lt;col label="c7"&gt;&lt;span style="font-size: 8pt;"&gt;Strongly&lt;/span&gt;&lt;br /&gt;&lt;span style="font-size: 8pt;"&gt;Agree&lt;/span&gt;&lt;/col&gt;</t>
  </si>
  <si>
    <t xml:space="preserve">     label="MRNA"</t>
  </si>
  <si>
    <t xml:space="preserve">        &lt;title&gt;&lt;span style="color: black; font-size: 10pt;"&gt;Indicate how much you either agree or disagree with the following statements:&lt;/span&gt;&lt;/title&gt;</t>
  </si>
  <si>
    <t xml:space="preserve">        &lt;row label="r1"&gt;&lt;strong&gt;&lt;span style="font-size: 14pt;"&gt;mRNA vaccines felt too new to be confident about&lt;/span&gt;&lt;/strong&gt;&lt;/row&gt;</t>
  </si>
  <si>
    <t xml:space="preserve">        &lt;row label="r2"&gt;&lt;strong&gt;&lt;span style="font-size: 14pt;"&gt;I’m more comfortable with vaccines that use older, familiar methods&lt;/span&gt;&lt;/strong&gt;&lt;/row&gt;</t>
  </si>
  <si>
    <t xml:space="preserve">        &lt;row label="r3"&gt;&lt;strong&gt;&lt;span style="font-size: 14pt;"&gt;Injecting something into the body feels fundamentally different from taking a pill&lt;/span&gt;&lt;/strong&gt;&lt;/row&gt;</t>
  </si>
  <si>
    <t xml:space="preserve">        &lt;row label="r4"&gt;&lt;strong&gt;&lt;span style="font-size: 14pt;"&gt;Religious teachings should guide decisions about the body, including sexual behavior, nutrition, and physical activity&lt;/span&gt;&lt;/strong&gt;&lt;/row&gt;</t>
  </si>
  <si>
    <t xml:space="preserve">        &lt;row label="r5"&gt;&lt;strong&gt;&lt;span style="font-size: 14pt;"&gt;I avoid foods if I’m not sure how cleanly they were prepared&lt;/span&gt;&lt;/strong&gt;&lt;/row&gt;</t>
  </si>
  <si>
    <t xml:space="preserve">        &lt;row label="r6"&gt;&lt;strong&gt;&lt;span style="font-size: 14pt;"&gt;People should avoid things that degrade the purity of the body&lt;/span&gt;&lt;/strong&gt;&lt;/row&gt;</t>
  </si>
  <si>
    <t xml:space="preserve">        &lt;row label="r7"&gt;&lt;strong&gt;&lt;span style="font-size: 14pt;"&gt;Putting a vaccine into my body can feel like introducing something unnatural&lt;/span&gt;&lt;/strong&gt;&lt;/row&gt;</t>
  </si>
  <si>
    <t xml:space="preserve">        &lt;row label="r8" randomize="0"&gt;&lt;strong&gt;&lt;span style="font-size: 14pt;"&gt;I would be willing to take a vaccine using traditional methods, even if I would not take an mRNA vaccine.&lt;/span&gt;&lt;/strong&gt;&lt;/row&gt;</t>
  </si>
  <si>
    <t>&lt;block label="PREG_Block" cond="XRANDOMPICK.r4"&gt;</t>
  </si>
  <si>
    <t xml:space="preserve">   label="QPREG_DECISION_STYLE"&gt;</t>
  </si>
  <si>
    <t xml:space="preserve">    &lt;title&gt;&lt;span class="ques_no"&gt;${this.label}. &lt;/span&gt;When it comes to making health decisions for your baby or child, which of the following comes closest to your approach?&lt;/title&gt;</t>
  </si>
  <si>
    <t xml:space="preserve">    &lt;row label="r1" value="1"&gt;I generally&lt;strong&gt; follow standard medical recommendation&lt;/strong&gt;s unless there is a clear reason not to&lt;/row&gt;</t>
  </si>
  <si>
    <t xml:space="preserve">    &lt;row label="r2" value="2"&gt;I like to understand the recommendations, but I usually &lt;strong&gt;defer to my child’s healthcare provider&lt;/strong&gt;&lt;/row&gt;</t>
  </si>
  <si>
    <t xml:space="preserve">    &lt;row label="r3" value="3"&gt;I want to review options carefully and may &lt;strong&gt;adjust recommendations to fit what feels right&lt;/strong&gt; for my child&lt;/row&gt;</t>
  </si>
  <si>
    <t xml:space="preserve">    &lt;row label="r4" value="4"&gt;I prefer to &lt;strong&gt;make my own decisions and customize care&lt;/strong&gt; based on my research and judgment&lt;/row&gt;</t>
  </si>
  <si>
    <t xml:space="preserve">    &lt;row label="r9" value="9"&gt;Not sure/None of the above&lt;/row&gt;</t>
  </si>
  <si>
    <t xml:space="preserve">   label="QPREG_CHILDVAX_COMFORT"&gt;</t>
  </si>
  <si>
    <t xml:space="preserve">    &lt;title&gt;&lt;span class="ques_no"&gt;${this.label}. &lt;/span&gt;How comfortable are you with following the &lt;a class="tt_link1" onclick="return false;"&gt;&lt;strong&gt;&lt;span style="text-decoration: underline;"&gt;standard recommended vaccine schedule&lt;/span&gt;&lt;/strong&gt;&lt;/a&gt;&amp;amp;nbsp;for children?</t>
  </si>
  <si>
    <t>&lt;div class="tt_text1"&gt;</t>
  </si>
  <si>
    <t>&lt;p&gt;&lt;span style="font-size: small; color: #333333;"&gt;&lt;em&gt;This refers to the long-standing U.S. childhood immunization schedule used by pediatricians nationwide until very recently and familiar to most parents.&lt;/em&gt;&lt;/span&gt;&lt;/p&gt;</t>
  </si>
  <si>
    <t>&lt;/div&gt;&lt;/title&gt;</t>
  </si>
  <si>
    <t xml:space="preserve">    &lt;row label="r1"&gt;Very comfortable&lt;/row&gt;</t>
  </si>
  <si>
    <t xml:space="preserve">    &lt;row label="r2"&gt;Somewhat comfortable&lt;/row&gt;</t>
  </si>
  <si>
    <t xml:space="preserve">    &lt;row label="r3"&gt;Neither/Neutral&lt;/row&gt;</t>
  </si>
  <si>
    <t xml:space="preserve">    &lt;row label="r4"&gt;Somewhat UNcomfortable&lt;/row&gt;</t>
  </si>
  <si>
    <t xml:space="preserve">    &lt;row label="r5"&gt;Very UNcomfortable&lt;/row&gt;</t>
  </si>
  <si>
    <t xml:space="preserve">   label="QPREG_SHARED_CLINICAL"&gt;</t>
  </si>
  <si>
    <t xml:space="preserve">    &lt;title&gt;&lt;span class="ques_no"&gt;${this.label}. &lt;/span&gt;When it comes to childhood vaccinations, which comes closer to your general approach?&lt;/title&gt;</t>
  </si>
  <si>
    <t xml:space="preserve">    &lt;row label="r1" value="1"&gt;I prefer to &lt;strong&gt;follow standard medical guidance&lt;/strong&gt; and my child’s doctor’s recommendations as closely as possible&lt;/row&gt;</t>
  </si>
  <si>
    <t xml:space="preserve">    &lt;row label="r2" value="2"&gt;I generally follow medical guidance, but &lt;strong&gt;want flexibility in some decisions&lt;/strong&gt;&lt;/row&gt;</t>
  </si>
  <si>
    <t xml:space="preserve">    &lt;row label="r3" value="3"&gt;I &lt;strong&gt;prefer to make individualized decisions&lt;/strong&gt; for my child, even if they differ from standard recommendations&lt;/row&gt;</t>
  </si>
  <si>
    <t xml:space="preserve">    &lt;row label="r99" value="99"&gt;Not sure&lt;/row&gt;</t>
  </si>
  <si>
    <t xml:space="preserve">   label="QPREG_BESPOKE_CONT"</t>
  </si>
  <si>
    <t xml:space="preserve">   cond="QPREG_SHARED_CLINICAL.r2 or QPREG_SHARED_CLINICAL.r3"</t>
  </si>
  <si>
    <t xml:space="preserve">   minRanks="4"</t>
  </si>
  <si>
    <t xml:space="preserve">    &lt;title&gt;&lt;span class="ques_no"&gt;${this.label}. &lt;/span&gt;You indicated that you value some degree of flexibility or individualized decision-making when it comes to childhood vaccinations. Please rank the following from most important to least important &lt;em&gt;for you to have personal discretion over.&lt;/em&gt;&lt;/title&gt;</t>
  </si>
  <si>
    <t xml:space="preserve">    &lt;comment&gt;Click or drag each item into a rank position.&lt;/comment&gt;</t>
  </si>
  <si>
    <t xml:space="preserve">    &lt;choice label="ch1" value="1"&gt;Most&lt;br /&gt;Important&lt;/choice&gt;</t>
  </si>
  <si>
    <t xml:space="preserve">    &lt;choice label="ch2" value="2"&gt;2&lt;sup&gt;nd&lt;/sup&gt; &lt;br /&gt;most important&lt;/choice&gt;</t>
  </si>
  <si>
    <t xml:space="preserve">    &lt;choice label="ch3" value="3"&gt;3&lt;sup&gt;rd&lt;/sup&gt;&lt;br /&gt;most important&lt;/choice&gt;</t>
  </si>
  <si>
    <t xml:space="preserve">    &lt;choice label="ch4" value="4"&gt;Least&lt;br /&gt;important&lt;/choice&gt;</t>
  </si>
  <si>
    <t xml:space="preserve">    &lt;row label="r1"&gt;The &lt;strong&gt;age&lt;/strong&gt; at which vaccines are given&lt;/row&gt;</t>
  </si>
  <si>
    <t xml:space="preserve">    &lt;row label="r2"&gt;&lt;strong&gt;How many&lt;/strong&gt; vaccines are given at one visit&lt;/row&gt;</t>
  </si>
  <si>
    <t xml:space="preserve">    &lt;row label="r3"&gt;How vaccines are &lt;strong&gt;spaced over time&lt;/strong&gt;&lt;/row&gt;</t>
  </si>
  <si>
    <t xml:space="preserve">    &lt;row label="r4"&gt;&lt;strong&gt;Which diseases&lt;/strong&gt; my child is vaccinated against&lt;/row&gt;</t>
  </si>
  <si>
    <t xml:space="preserve">   label="XQVAX_TIMING"</t>
  </si>
  <si>
    <t xml:space="preserve">    &lt;title&gt;Hidden - VAX_TIMING&lt;/title&gt;</t>
  </si>
  <si>
    <t>XQVAX_TIMING.val=QPR1.val</t>
  </si>
  <si>
    <t xml:space="preserve">    &lt;row label="r1"&gt;When would be the best time for you to first receive information about childhood vaccines?&lt;/row&gt;</t>
  </si>
  <si>
    <t xml:space="preserve">    &lt;row label="r2"&gt;When during pregnancy or early parenthood would vaccine information be most helpful to you?&lt;/row&gt;</t>
  </si>
  <si>
    <t xml:space="preserve">    &lt;row label="r3"&gt;When do you think is the best time for new parents to get vaccine information?&lt;/row&gt;</t>
  </si>
  <si>
    <t xml:space="preserve">   label="QPREG_VAX_TIMING"&gt;</t>
  </si>
  <si>
    <t xml:space="preserve">    &lt;title&gt;&lt;span class="ques_no"&gt;${this.label}. &lt;/span&gt;[pipe: XQVAX_TIMING]&lt;/title&gt;</t>
  </si>
  <si>
    <t xml:space="preserve">    &lt;row label="r1" value="1"&gt;Right now&lt;/row&gt;</t>
  </si>
  <si>
    <t xml:space="preserve">    &lt;row label="r2" cond="QPR1.r2" value="2"&gt;Before trying to conceive&lt;/row&gt;</t>
  </si>
  <si>
    <t xml:space="preserve">    &lt;row label="r3" value="3"&gt;Early in pregnancy (1st trimester)&lt;/row&gt;</t>
  </si>
  <si>
    <t xml:space="preserve">    &lt;row label="r4" value="4"&gt;Mid-pregnancy (2nd trimester)&lt;/row&gt;</t>
  </si>
  <si>
    <t xml:space="preserve">    &lt;row label="r5" value="5"&gt;Late pregnancy (3rd trimester)&lt;/row&gt;</t>
  </si>
  <si>
    <t xml:space="preserve">    &lt;row label="r6" value="6"&gt;When the baby is born (e.g. at the hospital before discharge)&lt;/row&gt;</t>
  </si>
  <si>
    <t xml:space="preserve">    &lt;row label="r7" value="7"&gt;Before the first pediatric visit&lt;/row&gt;</t>
  </si>
  <si>
    <t xml:space="preserve">    &lt;row label="r8" value="8"&gt;A few days before each scheduled vaccine&lt;/row&gt;</t>
  </si>
  <si>
    <t xml:space="preserve">    &lt;row label="r9" value="9"&gt;A few weeks before each scheduled vaccine&lt;/row&gt;</t>
  </si>
  <si>
    <t xml:space="preserve">    &lt;row label="r10" value="10"&gt;At the vaccine appointment&lt;/row&gt;</t>
  </si>
  <si>
    <t xml:space="preserve">    &lt;row label="r11" value="11"&gt;Right after vaccination (side effects, what to watch for)&lt;/row&gt;</t>
  </si>
  <si>
    <t xml:space="preserve">    &lt;row label="r12" value="12"&gt;Only if something changes or there’s a concern&lt;/row&gt;</t>
  </si>
  <si>
    <t xml:space="preserve">    &lt;row label="r13" value="13"&gt;I don’t want scheduled information; I prefer to look for information when I have questions&lt;/row&gt;</t>
  </si>
  <si>
    <t xml:space="preserve">   label="QPREG_VAX_WHO"</t>
  </si>
  <si>
    <t xml:space="preserve">   atleast="1"</t>
  </si>
  <si>
    <t xml:space="preserve">   atm1d:large_contentAlign="center"</t>
  </si>
  <si>
    <t xml:space="preserve">   atm1d:large_maxHeight="300px"</t>
  </si>
  <si>
    <t xml:space="preserve">   atm1d:large_maxWidth="300px"</t>
  </si>
  <si>
    <t xml:space="preserve">   atm1d:large_minHeight="200px"</t>
  </si>
  <si>
    <t xml:space="preserve">   atm1d:large_minWidth="200px"</t>
  </si>
  <si>
    <t xml:space="preserve">   atm1d:numCols="4"</t>
  </si>
  <si>
    <t xml:space="preserve">   atm1d:small_contentAlign="center"</t>
  </si>
  <si>
    <t xml:space="preserve">   atm1d:small_maxHeight="100px"</t>
  </si>
  <si>
    <t xml:space="preserve">   atm1d:small_maxWidth="100px"</t>
  </si>
  <si>
    <t xml:space="preserve">   atm1d:small_minHeight="100px"</t>
  </si>
  <si>
    <t xml:space="preserve">   atm1d:small_minWidth="100px"</t>
  </si>
  <si>
    <t xml:space="preserve">   atmost="3"</t>
  </si>
  <si>
    <t xml:space="preserve">   uses="atm1d.11"&gt;</t>
  </si>
  <si>
    <t xml:space="preserve">    &lt;title&gt;&lt;span class="ques_no"&gt;${this.label}. &lt;/span&gt;Who would you most likely turn to for information and advice on vaccines?&lt;/title&gt;</t>
  </si>
  <si>
    <t xml:space="preserve">    &lt;comment&gt;&lt;span style="font-size: 14pt;"&gt;&lt;strong&gt;Select up to three&lt;/strong&gt;&lt;/span&gt;&lt;/comment&gt;</t>
  </si>
  <si>
    <t xml:space="preserve">    &lt;style name="question.after"&gt;&lt;![CDATA[</t>
  </si>
  <si>
    <t>jQuery(document).ready(function () {</t>
  </si>
  <si>
    <t xml:space="preserve">    var maxAllowed = 3;</t>
  </si>
  <si>
    <t xml:space="preserve">    var $q = jQuery("#question_QPREG_VAX_WHO");</t>
  </si>
  <si>
    <t xml:space="preserve">    function updateCheckboxState() {</t>
  </si>
  <si>
    <t xml:space="preserve">        var $checks = $q.find("input[type='checkbox']");</t>
  </si>
  <si>
    <t xml:space="preserve">        var checkedCount = $checks.filter(":checked").length;</t>
  </si>
  <si>
    <t xml:space="preserve">        if (checkedCount &gt;= maxAllowed) {</t>
  </si>
  <si>
    <t xml:space="preserve">            $checks.not(":checked").prop("disabled", true);</t>
  </si>
  <si>
    <t xml:space="preserve">        } else {</t>
  </si>
  <si>
    <t xml:space="preserve">            $checks.prop("disabled", false);</t>
  </si>
  <si>
    <t xml:space="preserve">        }</t>
  </si>
  <si>
    <t xml:space="preserve">    // Run when user changes selection</t>
  </si>
  <si>
    <t xml:space="preserve">    $q.on("change", "input[type='checkbox']", updateCheckboxState);</t>
  </si>
  <si>
    <t xml:space="preserve">    // Run when page loads / user comes back</t>
  </si>
  <si>
    <t xml:space="preserve">    updateCheckboxState();</t>
  </si>
  <si>
    <t xml:space="preserve">    &lt;row label="r1"&gt;&lt;strong&gt;&lt;span style="font-size: 12pt;"&gt;Child’s pediatrician&lt;/span&gt;&lt;/strong&gt;&lt;/row&gt;</t>
  </si>
  <si>
    <t xml:space="preserve">    &lt;row label="r2"&gt;&lt;strong&gt;&lt;span style="font-size: 12pt;"&gt;OB/GYN or midwife&lt;/span&gt;&lt;/strong&gt;&lt;/row&gt;</t>
  </si>
  <si>
    <t xml:space="preserve">    &lt;row label="r3"&gt;&lt;strong&gt;&lt;span style="font-size: 12pt;"&gt;Children’s hospitals or pediatric medical centers&lt;/span&gt;&lt;/strong&gt;&lt;/row&gt;</t>
  </si>
  <si>
    <t xml:space="preserve">    &lt;row label="r4"&gt;&lt;strong&gt;&lt;span style="font-size: 12pt;"&gt;Alternative or holistic pediatric providers&lt;/span&gt;&lt;/strong&gt;&lt;/row&gt;</t>
  </si>
  <si>
    <t xml:space="preserve">    &lt;row label="r5"&gt;&lt;strong&gt;&lt;span style="font-size: 12pt;"&gt;Health plan/insurer&lt;/span&gt;&lt;/strong&gt;&lt;/row&gt;</t>
  </si>
  <si>
    <t xml:space="preserve">    &lt;row label="r6"&gt;&lt;strong&gt;&lt;span style="font-size: 12pt;"&gt;Pharmacist&lt;/span&gt;&lt;/strong&gt;&lt;/row&gt;</t>
  </si>
  <si>
    <t xml:space="preserve">    &lt;row label="r7"&gt;&lt;strong&gt;&lt;span style="font-size: 12pt;"&gt;Nurses or staff at your child’s pediatric practice&lt;/span&gt;&lt;/strong&gt;&lt;/row&gt;</t>
  </si>
  <si>
    <t xml:space="preserve">    &lt;row label="r8"&gt;&lt;strong&gt;&lt;span style="font-size: 12pt;"&gt;Federal government agencies&lt;/span&gt;&lt;/strong&gt;&lt;/row&gt;</t>
  </si>
  <si>
    <t xml:space="preserve">    &lt;row label="r9"&gt;&lt;strong&gt;&lt;span style="font-size: 12pt;"&gt;State or local public health departments&lt;/span&gt;&lt;/strong&gt;&lt;/row&gt;</t>
  </si>
  <si>
    <t xml:space="preserve">    &lt;row label="r10"&gt;&lt;strong&gt;&lt;span style="font-size: 12pt;"&gt;School or daycare staff&lt;/span&gt;&lt;/strong&gt;&lt;/row&gt;</t>
  </si>
  <si>
    <t xml:space="preserve">    &lt;row label="r11"&gt;&lt;strong&gt;&lt;span style="font-size: 12pt;"&gt;American Academy of Pediatrics (AAP)&lt;/span&gt;&lt;/strong&gt;&lt;/row&gt;</t>
  </si>
  <si>
    <t xml:space="preserve">    &lt;row label="r12"&gt;&lt;strong&gt;&lt;span style="font-size: 12pt;"&gt;Parenting websites, apps or blogs&lt;/span&gt;&lt;/strong&gt;&lt;/row&gt;</t>
  </si>
  <si>
    <t xml:space="preserve">    &lt;row label="r13"&gt;&lt;strong&gt;&lt;span style="font-size: 12pt;"&gt;Universities and academic research institutes&lt;/span&gt;&lt;/strong&gt;&lt;/row&gt;</t>
  </si>
  <si>
    <t xml:space="preserve">    &lt;row label="r14"&gt;&lt;strong&gt;&lt;span style="font-size: 12pt;"&gt;Friends or neighbors&lt;/span&gt;&lt;/strong&gt;&lt;/row&gt;</t>
  </si>
  <si>
    <t xml:space="preserve">    &lt;row label="r15"&gt;&lt;strong&gt;&lt;span style="font-size: 12pt;"&gt;Family members&lt;/span&gt;&lt;/strong&gt;&lt;/row&gt;</t>
  </si>
  <si>
    <t xml:space="preserve">    &lt;row label="r16"&gt;&lt;strong&gt;&lt;span style="font-size: 12pt;"&gt;Other parents (online or in person)&lt;/span&gt;&lt;/strong&gt;&lt;/row&gt;</t>
  </si>
  <si>
    <t xml:space="preserve">    &lt;row label="r17"&gt;&lt;strong&gt;&lt;span style="font-size: 12pt;"&gt;Parenting influencers/bloggers you trust&lt;/span&gt;&lt;/strong&gt;&lt;/row&gt;</t>
  </si>
  <si>
    <t xml:space="preserve">    &lt;row label="r19"&gt;&lt;strong&gt;&lt;span style="font-size: 12pt;"&gt;My partner / spouse&lt;/span&gt;&lt;/strong&gt;&lt;/row&gt;</t>
  </si>
  <si>
    <t xml:space="preserve">    &lt;row label="r88" open="1" openSize="25" randomize="0"&gt;&lt;strong&gt;&lt;span style="font-size: 12pt;"&gt;Other &amp;amp;#91;specify&amp;amp;#93;&lt;/span&gt;&lt;/strong&gt;&lt;/row&gt;</t>
  </si>
  <si>
    <t xml:space="preserve">   label="QPREG_VAX_HOW_any"</t>
  </si>
  <si>
    <t xml:space="preserve">   atm1d:large_maxHeight="200px"</t>
  </si>
  <si>
    <t xml:space="preserve">   atm1d:large_maxWidth="200px"</t>
  </si>
  <si>
    <t xml:space="preserve">    &lt;title&gt;&lt;span class="ques_no"&gt;${this.label}. &lt;/span&gt;Which of the following ways of receiving information would be most helpful to you?&lt;/title&gt;</t>
  </si>
  <si>
    <t xml:space="preserve">    &lt;comment&gt;&lt;span style="font-size: 14pt;"&gt;&lt;strong&gt;Select all that apply.&lt;/strong&gt;&lt;/span&gt;&lt;/comment&gt;</t>
  </si>
  <si>
    <t xml:space="preserve">    &lt;row label="r1"&gt;&lt;strong&gt;&lt;span style="font-size: 12pt;"&gt;In-person conversation with a clinician&lt;/span&gt;&lt;/strong&gt;&lt;/row&gt;</t>
  </si>
  <si>
    <t xml:space="preserve">    &lt;row label="r2"&gt;&lt;strong&gt;&lt;span style="font-size: 12pt;"&gt;Printed handout or brochure&lt;/span&gt;&lt;/strong&gt;&lt;/row&gt;</t>
  </si>
  <si>
    <t xml:space="preserve">    &lt;row label="r3"&gt;&lt;strong&gt;&lt;span style="font-size: 12pt;"&gt;Message through a patient portal (e.g., MyChart)&lt;/span&gt;&lt;/strong&gt;&lt;/row&gt;</t>
  </si>
  <si>
    <t xml:space="preserve">    &lt;row label="r4"&gt;&lt;strong&gt;&lt;span style="font-size: 12pt;"&gt;Email&lt;/span&gt;&lt;/strong&gt;&lt;/row&gt;</t>
  </si>
  <si>
    <t xml:space="preserve">    &lt;row label="r5"&gt;&lt;strong&gt;&lt;span style="font-size: 12pt;"&gt;Text message&lt;/span&gt;&lt;/strong&gt;&lt;/row&gt;</t>
  </si>
  <si>
    <t xml:space="preserve">    &lt;row label="r6"&gt;&lt;strong&gt;&lt;span style="font-size: 12pt;"&gt;Short video (1–3 minutes)&lt;/span&gt;&lt;/strong&gt;&lt;/row&gt;</t>
  </si>
  <si>
    <t xml:space="preserve">    &lt;row label="r7"&gt;&lt;strong&gt;&lt;span style="font-size: 12pt;"&gt;Website or FAQ page&lt;/span&gt;&lt;/strong&gt;&lt;/row&gt;</t>
  </si>
  <si>
    <t xml:space="preserve">    &lt;row label="r8"&gt;&lt;strong&gt;&lt;span style="font-size: 12pt;"&gt;Webinar or live Q&amp;amp;amp;A&lt;/span&gt;&lt;/strong&gt;&lt;/row&gt;</t>
  </si>
  <si>
    <t xml:space="preserve">    &lt;row label="r9"&gt;&lt;strong&gt;&lt;span style="font-size: 12pt;"&gt;Social media content&lt;/span&gt;&lt;/strong&gt;&lt;/row&gt;</t>
  </si>
  <si>
    <t xml:space="preserve">    &lt;row label="r10"&gt;&lt;strong&gt;&lt;span style="font-size: 12pt;"&gt;Podcast or audio content&lt;/span&gt;&lt;/strong&gt;&lt;/row&gt;</t>
  </si>
  <si>
    <t xml:space="preserve">    &lt;row label="r11"&gt;&lt;strong&gt;&lt;span style="font-size: 12pt;"&gt;A simple vaccine schedule overview&lt;/span&gt;&lt;/strong&gt;&lt;/row&gt;</t>
  </si>
  <si>
    <t xml:space="preserve">    &lt;row label="r12"&gt;&lt;strong&gt;&lt;span style="font-size: 12pt;"&gt;Guidance on risks and side effects (what’s normal vs not)&lt;/span&gt;&lt;/strong&gt;&lt;/row&gt;</t>
  </si>
  <si>
    <t xml:space="preserve">    &lt;row label="r13"&gt;&lt;strong&gt;&lt;span style="font-size: 12pt;"&gt;Information brochure on benefits and disease risk&lt;/span&gt;&lt;/strong&gt;&lt;/row&gt;</t>
  </si>
  <si>
    <t xml:space="preserve">    &lt;row label="r14"&gt;&lt;strong&gt;&lt;span style="font-size: 12pt;"&gt;“Myths vs facts” explanations&lt;/span&gt;&lt;/strong&gt;&lt;/row&gt;</t>
  </si>
  <si>
    <t xml:space="preserve">    &lt;row label="r15"&gt;&lt;strong&gt;&lt;span style="font-size: 12pt;"&gt;A detailed scientific explanation with sources&lt;/span&gt;&lt;/strong&gt;&lt;/row&gt;</t>
  </si>
  <si>
    <t xml:space="preserve">    &lt;row label="r16"&gt;&lt;strong&gt;&lt;span style="font-size: 12pt;"&gt;A decision aid/online tool that helps weigh pros and cons&lt;/span&gt;&lt;/strong&gt;&lt;/row&gt;</t>
  </si>
  <si>
    <t xml:space="preserve">    &lt;row label="r17"&gt;&lt;strong&gt;&lt;span style="font-size: 12pt;"&gt;Stories or experiences from other parents&lt;/span&gt;&lt;/strong&gt;&lt;/row&gt;</t>
  </si>
  <si>
    <t xml:space="preserve">    &lt;row label="r18"&gt;&lt;strong&gt;&lt;span style="font-size: 12pt;"&gt;A checklist of questions to ask the doctor&lt;/span&gt;&lt;/strong&gt;&lt;/row&gt;</t>
  </si>
  <si>
    <t xml:space="preserve">   label="QPREG_VAX_HOW_top"</t>
  </si>
  <si>
    <t xml:space="preserve">   rowCond="QPREG_VAX_HOW_any[row]"</t>
  </si>
  <si>
    <t xml:space="preserve">    &lt;title&gt;&lt;span class="ques_no"&gt;${this.label}. &lt;/span&gt;If you could only choose &lt;strong&gt;one&lt;/strong&gt;, which would be most helpful to you?&lt;/title&gt;</t>
  </si>
  <si>
    <t xml:space="preserve">    &lt;row label="r1" value="1"&gt;In-person conversation with a clinician&lt;/row&gt;</t>
  </si>
  <si>
    <t xml:space="preserve">    &lt;row label="r2" value="2"&gt;Printed handout or brochure&lt;/row&gt;</t>
  </si>
  <si>
    <t xml:space="preserve">    &lt;row label="r3" value="3"&gt;Message through a patient portal (e.g., MyChart)&lt;/row&gt;</t>
  </si>
  <si>
    <t xml:space="preserve">    &lt;row label="r4" value="4"&gt;Email&lt;/row&gt;</t>
  </si>
  <si>
    <t xml:space="preserve">    &lt;row label="r5" value="5"&gt;Text message&lt;/row&gt;</t>
  </si>
  <si>
    <t xml:space="preserve">    &lt;row label="r6" value="6"&gt;Short video (1–3 minutes)&lt;/row&gt;</t>
  </si>
  <si>
    <t xml:space="preserve">    &lt;row label="r7" value="7"&gt;Website or FAQ page&lt;/row&gt;</t>
  </si>
  <si>
    <t xml:space="preserve">    &lt;row label="r8" value="8"&gt;Webinar or live Q&amp;amp;A&lt;/row&gt;</t>
  </si>
  <si>
    <t xml:space="preserve">    &lt;row label="r9" value="9"&gt;Social media content&lt;/row&gt;</t>
  </si>
  <si>
    <t xml:space="preserve">    &lt;row label="r10" value="10"&gt;Podcast or audio content&lt;/row&gt;</t>
  </si>
  <si>
    <t xml:space="preserve">    &lt;row label="r11" value="11"&gt;A simple vaccine schedule overview&lt;/row&gt;</t>
  </si>
  <si>
    <t xml:space="preserve">    &lt;row label="r12" value="12"&gt;Guidance on risks and side effects (what’s normal vs not)&lt;/row&gt;</t>
  </si>
  <si>
    <t xml:space="preserve">    &lt;row label="r13" value="13"&gt;Information brochure on benefits and disease risk&lt;/row&gt;</t>
  </si>
  <si>
    <t xml:space="preserve">    &lt;row label="r14" value="14"&gt;“Myths vs facts” explanations&lt;/row&gt;</t>
  </si>
  <si>
    <t xml:space="preserve">    &lt;row label="r15" value="15"&gt;A detailed scientific explanation with sources&lt;/row&gt;</t>
  </si>
  <si>
    <t xml:space="preserve">    &lt;row label="r16" value="16"&gt;A decision aid/online tool that helps weigh pros and cons&lt;/row&gt;</t>
  </si>
  <si>
    <t xml:space="preserve">    &lt;row label="r17" value="17"&gt;Stories or experiences from other parents&lt;/row&gt;</t>
  </si>
  <si>
    <t xml:space="preserve">    &lt;row label="r18" value="18"&gt;A checklist of questions to ask the doctor&lt;/row&gt;</t>
  </si>
  <si>
    <t xml:space="preserve">    &lt;row label="r88" value="88"&gt;${QPREG_VAX_HOW_any.r88.open}&lt;/row&gt;</t>
  </si>
  <si>
    <t xml:space="preserve">   label="QPREG_CRITIC"</t>
  </si>
  <si>
    <t xml:space="preserve">   uses="cardrating.1"</t>
  </si>
  <si>
    <t xml:space="preserve">    &lt;title&gt;&lt;span class="ques_no"&gt;${this.label}. &lt;/span&gt;Here are some things you may have heard about childhood vaccines. For each statement, indicate how much you agree or disagree..&lt;br /&gt;&lt;/title&gt;</t>
  </si>
  <si>
    <t xml:space="preserve">    &lt;row label="r1"&gt;&lt;span style="font-size: 12pt;"&gt;&lt;strong&gt;The childhood vaccine schedule gives babies too many vaccines at too young an age&lt;/strong&gt;&lt;/span&gt;&lt;/row&gt;</t>
  </si>
  <si>
    <t xml:space="preserve">    &lt;row label="r2"&gt;&lt;span style="font-size: 12pt;"&gt;&lt;strong&gt;The childhood vaccine schedule gives babies too many vaccines at the same time&lt;/strong&gt;&lt;/span&gt;&lt;/row&gt;</t>
  </si>
  <si>
    <t xml:space="preserve">    &lt;row label="r3"&gt;&lt;span style="font-size: 12pt;"&gt;&lt;strong&gt;The childhood vaccine schedule includes vaccines for too many diseases that no longer feel like serious risks&lt;/strong&gt;&lt;/span&gt;&lt;/row&gt;</t>
  </si>
  <si>
    <t xml:space="preserve">    &lt;row label="r4"&gt;&lt;span style="font-size: 12pt;"&gt;&lt;strong&gt;Because babies are still developing, it feels riskier to vaccinate them very early in life&lt;/strong&gt;&lt;/span&gt;&lt;/row&gt;</t>
  </si>
  <si>
    <t xml:space="preserve">    &lt;row label="r5"&gt;&lt;span style="font-size: 12pt;"&gt;&lt;strong&gt;Spacing out vaccines feels like a safer and more cautious approach than following the standard schedule&lt;/strong&gt;&lt;/span&gt;&lt;/row&gt;</t>
  </si>
  <si>
    <t xml:space="preserve">    &lt;row label="r6"&gt;&lt;span style="font-size: 12pt;"&gt;&lt;strong&gt;Compared with previous generations, children today receive more vaccines, and it’s hard to be fully confident about long-term effects&lt;/strong&gt;&lt;/span&gt;&lt;/row&gt;</t>
  </si>
  <si>
    <t xml:space="preserve">    &lt;row label="r7"&gt;&lt;span style="font-size: 12pt;"&gt;&lt;strong&gt;Some newer vaccines have not been around long enough to be certain about their long-term risks&lt;/strong&gt;&lt;/span&gt;&lt;/row&gt;</t>
  </si>
  <si>
    <t xml:space="preserve">    &lt;row label="r8"&gt;&lt;span style="font-size: 12pt;"&gt;&lt;strong&gt;We don’t have enough research on how multiple vaccines interact when given as part of the routine schedule&lt;/strong&gt;&lt;/span&gt;&lt;/row&gt;</t>
  </si>
  <si>
    <t xml:space="preserve">    &lt;row label="r9"&gt;&lt;span style="font-size: 12pt;"&gt;&lt;strong&gt;Vaccine research tends to downplay side effects and doesn’t take parents’ concerns seriously&lt;/strong&gt;&lt;/span&gt;&lt;/row&gt;</t>
  </si>
  <si>
    <t xml:space="preserve">    &lt;row label="r10"&gt;&lt;span style="font-size: 12pt;"&gt;&lt;strong&gt;I’m still concerned vaccines could be linked to autism or other developmental or long-term health problems&lt;/strong&gt;&lt;/span&gt;&lt;/row&gt;</t>
  </si>
  <si>
    <t xml:space="preserve">    &lt;row label="r11"&gt;&lt;span style="font-size: 12pt;"&gt;&lt;strong&gt;Some vaccine ingredients feel unnatural or unhealthy, especially when they add up over time&lt;/strong&gt;&lt;/span&gt;&lt;/row&gt;</t>
  </si>
  <si>
    <t xml:space="preserve">    &lt;row label="r12"&gt;&lt;span style="font-size: 12pt;"&gt;&lt;strong&gt;Ingredients like aluminum in vaccines worry me&lt;/strong&gt;&lt;/span&gt;&lt;/row&gt;</t>
  </si>
  <si>
    <t xml:space="preserve">    &lt;row label="r13"&gt;&lt;span style="font-size: 12pt;"&gt;&lt;strong&gt;Most vaccine-preventable diseases are so rare now that some vaccines don’t feel necessary&lt;/strong&gt;&lt;/span&gt;&lt;/row&gt;</t>
  </si>
  <si>
    <t xml:space="preserve">    &lt;row label="r14"&gt;&lt;span style="font-size: 12pt;"&gt;&lt;strong&gt;If a child is raised in a low-risk environment, many vaccines feel optional&lt;/strong&gt;&lt;/span&gt;&lt;/row&gt;</t>
  </si>
  <si>
    <t xml:space="preserve">    &lt;row label="r15"&gt;&lt;span style="font-size: 12pt;"&gt;&lt;strong&gt;A healthy lifestyle provides enough protection that some vaccines may not be needed&lt;/strong&gt;&lt;/span&gt;&lt;/row&gt;</t>
  </si>
  <si>
    <t xml:space="preserve">    &lt;row label="r16"&gt;&lt;span style="font-size: 12pt;"&gt;&lt;strong&gt;Vaccines during pregnancy could put the baby at risk, so it feels safer to avoid them unless absolutely necessary&lt;/strong&gt;&lt;/span&gt;&lt;/row&gt;</t>
  </si>
  <si>
    <t xml:space="preserve">    &lt;row label="r17"&gt;&lt;span style="font-size: 12pt;"&gt;&lt;strong&gt;Vaccines during pregnancy feel newer and not studied enough to be confident about long-term effects&lt;/strong&gt;&lt;/span&gt;&lt;/row&gt;</t>
  </si>
  <si>
    <t xml:space="preserve">    &lt;col label="c1" value="1"&gt;&lt;span style="font-size: 10pt;"&gt;Strongly&lt;br /&gt;&lt;strong&gt;DISAGREE&lt;/strong&gt;&lt;/span&gt;&lt;/col&gt;</t>
  </si>
  <si>
    <t xml:space="preserve">    &lt;col label="c2" value="2"&gt;&lt;span style="font-size: 10pt;"&gt;Disagree&lt;/span&gt;&lt;/col&gt;</t>
  </si>
  <si>
    <t xml:space="preserve">    &lt;col label="c3" value="3"&gt;&lt;span style="font-size: 10pt;"&gt;Somewhat&lt;br /&gt;Disagree&lt;/span&gt;&lt;/col&gt;</t>
  </si>
  <si>
    <t xml:space="preserve">    &lt;col label="c4" value="4"&gt;&lt;span style="font-size: 10pt;"&gt;Neither or&lt;br /&gt;Neutral&lt;/span&gt;&lt;/col&gt;</t>
  </si>
  <si>
    <t xml:space="preserve">    &lt;col label="c5" value="5"&gt;&lt;span style="font-size: 10pt;"&gt;Somewhat&lt;br /&gt;Agree&lt;/span&gt;&lt;/col&gt;</t>
  </si>
  <si>
    <t xml:space="preserve">    &lt;col label="c6" value="6"&gt;&lt;span style="font-size: 10pt;"&gt;Agree&lt;/span&gt;&lt;/col&gt;</t>
  </si>
  <si>
    <t xml:space="preserve">    &lt;col label="c7" value="7"&gt;&lt;span style="font-size: 10pt;"&gt;Strongly&lt;br /&gt;&lt;strong&gt;AGREE&lt;/strong&gt;&lt;/span&gt;&lt;/col&gt;</t>
  </si>
  <si>
    <t xml:space="preserve">   label="QPREG_PRE"</t>
  </si>
  <si>
    <t xml:space="preserve">    &lt;title&gt;&lt;span class="ques_no"&gt;${this.label}. &lt;/span&gt;How much do you agree or disagree with each of the following statements?&lt;br /&gt;&lt;/title&gt;</t>
  </si>
  <si>
    <t xml:space="preserve">    &lt;row label="r1"&gt;&lt;span style="font-size: 12pt;"&gt;&lt;strong&gt;The benefits of childhood vaccines significantly outweigh the risks&lt;/strong&gt;&lt;/span&gt;&lt;/row&gt;</t>
  </si>
  <si>
    <t xml:space="preserve">    &lt;row label="r2"&gt;&lt;span style="font-size: 12pt;"&gt;&lt;strong&gt;The diseases that vaccines help prevent are very serious, especially for babies and young children&lt;/strong&gt;&lt;/span&gt;&lt;/row&gt;</t>
  </si>
  <si>
    <t xml:space="preserve">    &lt;row label="r3"&gt;&lt;span style="font-size: 12pt;"&gt;&lt;strong&gt;I understand why childhood vaccines are important&lt;/strong&gt;&lt;/span&gt;&lt;/row&gt;</t>
  </si>
  <si>
    <t xml:space="preserve">    &lt;row label="r4"&gt;&lt;span style="font-size: 12pt;"&gt;&lt;strong&gt;Vaccines recommended during pregnancy are safe for both mother and baby&lt;/strong&gt;&lt;/span&gt;&lt;/row&gt;</t>
  </si>
  <si>
    <t xml:space="preserve">    &lt;row label="r5"&gt;&lt;span style="font-size: 12pt;"&gt;&lt;strong&gt;I intend to follow the recommended childhood vaccine schedule unless my doctor advises otherwise&lt;/strong&gt;&lt;/span&gt;&lt;/row&gt;</t>
  </si>
  <si>
    <t xml:space="preserve">  &lt;quota label="quota_QPREG_Item5" overquota="noqual" sheet="QPREG_Item5 Quota"/&gt;</t>
  </si>
  <si>
    <t xml:space="preserve">   label="XQVAR1"</t>
  </si>
  <si>
    <t xml:space="preserve">    &lt;title&gt;Hidden QPREG_Item5 Quota&lt;/title&gt;</t>
  </si>
  <si>
    <t>if hasMarker("/QPREG_Item5 Quota/c_5_{}".format(i+1)):</t>
  </si>
  <si>
    <t>XQVAR1.val=i</t>
  </si>
  <si>
    <t xml:space="preserve">    &lt;row label="r1"&gt;Vaccines have been protecting children for decades. Far fewer children die or are hospitalized from vaccine-preventable diseases when they are vaccinated.&lt;/row&gt;</t>
  </si>
  <si>
    <t xml:space="preserve">    &lt;row label="r2"&gt;Vaccines have been studied for decades, with extensive research into their safety and how well they work. No product is studied and monitored more closely than vaccines.&lt;/row&gt;</t>
  </si>
  <si>
    <t xml:space="preserve">    &lt;row label="r3"&gt;Vaccines have been studied for decades, with extensive research into their safety and effectiveness leading to modern vaccines that are more precise and place less overall demand on the immune system than older vaccines did.&lt;/row&gt;</t>
  </si>
  <si>
    <t xml:space="preserve">    &lt;row label="r4"&gt;Vaccines have been studied for decades, with extensive research into their safety and effectiveness. They go through years of clinical trials before approval and continue to be monitored after they are in use.&lt;/row&gt;</t>
  </si>
  <si>
    <t xml:space="preserve">    &lt;row label="r5"&gt;Vaccines have been studied for decades, with extensive research into their safety and effectiveness. Their risks and benefits are evaluated repeatedly over time, across different populations and long periods of use.&lt;/row&gt;</t>
  </si>
  <si>
    <t xml:space="preserve">  &lt;quota label="quota_QPREG_Item6" overquota="noqual" sheet="QPREG_Item6 Quota"/&gt;</t>
  </si>
  <si>
    <t xml:space="preserve">   label="XQVAR2"</t>
  </si>
  <si>
    <t xml:space="preserve">    &lt;title&gt;Hidden QPREG_Item6 Quota&lt;/title&gt;</t>
  </si>
  <si>
    <t>for i in range(2):</t>
  </si>
  <si>
    <t>if hasMarker("/QPREG_Item6 Quota/C_6_{}".format(i+1)):</t>
  </si>
  <si>
    <t>XQVAR2.val=i</t>
  </si>
  <si>
    <t xml:space="preserve">    &lt;row label="r1"&gt;Some diseases like measles and whooping cough feel rare today because vaccines keep them in check. When vaccination rates fall, outbreaks return, and children are hospitalized with illnesses that were largely preventable.&lt;/row&gt;</t>
  </si>
  <si>
    <t xml:space="preserve">    &lt;row label="r2"&gt;Some diseases like measles and whooping cough feel rare today because vaccines keep them in check. In countries that don’t vaccinate against common childhood illnesses, more than a million children under five die each year from diseases that could have been prevented.&lt;/row&gt;</t>
  </si>
  <si>
    <t xml:space="preserve">  &lt;quota label="quota_QPREG_Item10" overquota="noqual" sheet="QPREG_Item10 Quota"/&gt;</t>
  </si>
  <si>
    <t xml:space="preserve">   label="XQVAR3"</t>
  </si>
  <si>
    <t xml:space="preserve">    &lt;title&gt;Hidden QPREG_Item10 Quota&lt;/title&gt;</t>
  </si>
  <si>
    <t>if hasMarker("/QPREG_Item10 Quota/C_10_{}".format(i+1)):</t>
  </si>
  <si>
    <t>XQVAR3.val=i</t>
  </si>
  <si>
    <t xml:space="preserve">    &lt;row label="r1"&gt;Aluminum is used in some vaccines to help the immune system build stronger, longer-lasting protection. The amount of aluminum in vaccines is extremely low and well below established safety limits and does not accumulate in the body at harmful levels.&lt;/row&gt;</t>
  </si>
  <si>
    <t xml:space="preserve">    &lt;row label="r2"&gt;Aluminum is used in some vaccines to help the immune system build stronger, longer-lasting protection. In their first six months of life, babies are exposed to more aluminum from their everyday environment than from vaccines.&lt;/row&gt;</t>
  </si>
  <si>
    <t xml:space="preserve">    &lt;row label="r3"&gt;Aluminum is used in some vaccines to help the immune system build stronger, longer-lasting protection. Aluminum has been used safely in vaccines for over 70 years, and vaccines containing aluminum have been safely given to hundreds of millions of children worldwide.&lt;/row&gt;</t>
  </si>
  <si>
    <t xml:space="preserve">  &lt;quota label="quota_QPREG_Item11" overquota="noqual" sheet="QPREG_Item11 Quota"/&gt;</t>
  </si>
  <si>
    <t xml:space="preserve">   label="XQVAR4"</t>
  </si>
  <si>
    <t xml:space="preserve">    &lt;title&gt;Hidden QPREG_Item11 Quota&lt;/title&gt;</t>
  </si>
  <si>
    <t>if hasMarker("/QPREG_Item11 Quota/C_11_{}".format(i+1)):</t>
  </si>
  <si>
    <t>XQVAR4.val=i</t>
  </si>
  <si>
    <t xml:space="preserve">    &lt;row label="r1"&gt;Newborns are not able to be vaccinated against some serious infections for months after birth. When mothers get vaccines during pregnancy they pass antibodies to the baby, providing protection during this unprotected window.&lt;/row&gt;</t>
  </si>
  <si>
    <t xml:space="preserve">    &lt;row label="r2"&gt;Newborns are not able to be vaccinated against some serious infections for months after birth. When mothers get a whooping cough (Tdap), flu, COVID-19, and RSV vaccine during pregnancy, they pass antibodies to the baby, providing protection during this unprotected window.&lt;/row&gt;</t>
  </si>
  <si>
    <t xml:space="preserve">  &lt;quota label="quota_QPREG_Item13" overquota="noqual" sheet="QPREG_Item13 Quota"/&gt;</t>
  </si>
  <si>
    <t xml:space="preserve">   label="XQVAR5"</t>
  </si>
  <si>
    <t xml:space="preserve">    &lt;title&gt;Hidden QPREG_Item13 Quota&lt;/title&gt;</t>
  </si>
  <si>
    <t>if hasMarker("/QPREG_Item13 Quota/C_13_{}".format(i+1)):</t>
  </si>
  <si>
    <t>XQVAR5.val=i</t>
  </si>
  <si>
    <t xml:space="preserve">    &lt;row label="r1"&gt;Parents make decisions by weighing risks and benefits, not by eliminating risk entirely. Vaccination follows the same logic: vaccine risks are small and well-documented, while the risks from vaccine-preventable diseases are far greater.&lt;/row&gt;</t>
  </si>
  <si>
    <t xml:space="preserve">    &lt;row label="r2"&gt;Parents make decisions by weighing risks and benefits, not by eliminating risk entirely. Parents don’t wait for accidents to happen—they reduce risk at home by covering outlets, fencing pools, and securing sharp surfaces, even though injuries aren’t inevitable. Vaccination follows the same logic: vaccine risks are small and well-documented, while the risks from vaccine-preventable diseases are far greater.&lt;/row&gt;</t>
  </si>
  <si>
    <t xml:space="preserve">    &lt;row label="r3"&gt;Parents make decisions by weighing risks and benefits, not by eliminating risk entirely. Car seats and helmets are used because parents accept small inconveniences to reduce the risk of serious injury, even though accidents are not guaranteed. Vaccination follows the same logic: vaccine risks are small and well-documented, while the risks from vaccine-preventable diseases are far greater.&lt;/row&gt;</t>
  </si>
  <si>
    <t xml:space="preserve">  &lt;quota label="quota_QPREG_Item14" overquota="noqual" sheet="QPREG_Item14 Quota"/&gt;</t>
  </si>
  <si>
    <t xml:space="preserve">   label="XQVAR6"</t>
  </si>
  <si>
    <t xml:space="preserve">    &lt;title&gt;Hidden QPREG_Item14 Quota&lt;/title&gt;</t>
  </si>
  <si>
    <t>if hasMarker("/QPREG_Item14 Quota/C_14_{}".format(i+1)):</t>
  </si>
  <si>
    <t>XQVAR6.val=i</t>
  </si>
  <si>
    <t xml:space="preserve">    &lt;row label="r1"&gt;When parents choose not to vaccinate their children, preventable disease outbreaks become more likely—and those outbreaks create real costs for other families&lt;/row&gt;</t>
  </si>
  <si>
    <t xml:space="preserve">    &lt;row label="r2"&gt;When parents choose not to vaccinate their children, preventable disease outbreaks become more likely—and schools or classrooms are more likely to close, disrupting children’s learning and development.&lt;/row&gt;</t>
  </si>
  <si>
    <t xml:space="preserve">    &lt;row label="r3"&gt;When parents choose not to vaccinate their children, preventable disease outbreaks become more likely—and working parents are forced to miss work or arrange emergency childcare.&lt;/row&gt;</t>
  </si>
  <si>
    <t xml:space="preserve">    &lt;row label="r4"&gt;When parents choose not to vaccinate their children, preventable disease outbreaks become more likely—leaving other families to worry about their children being exposed to serious illnesses.&lt;/row&gt;</t>
  </si>
  <si>
    <t xml:space="preserve">    &lt;row label="r5"&gt;When parents choose not to vaccinate their children, preventable disease outbreaks become more likely and communities risk repeating the same classroom disruptions we said we would never accept again.&lt;/row&gt;</t>
  </si>
  <si>
    <t xml:space="preserve">  &lt;quota label="quota_QPREG_Item19" overquota="noqual" sheet="QPREG_Item19 Quota"/&gt;</t>
  </si>
  <si>
    <t xml:space="preserve">   label="XQVAR7"</t>
  </si>
  <si>
    <t xml:space="preserve">    &lt;title&gt;Hidden QPREG_Item19 Quota&lt;/title&gt;</t>
  </si>
  <si>
    <t>if hasMarker("/QPREG_Item19 Quota/C_19_{}".format(i+1)):</t>
  </si>
  <si>
    <t>XQVAR7.val=i</t>
  </si>
  <si>
    <t xml:space="preserve">    &lt;row label="r1"&gt;When outbreaks of vaccine-preventable diseases occur and children become seriously ill, the harm is not evenly shared. Children in communities with less access to medical resources face higher risks.&lt;/row&gt;</t>
  </si>
  <si>
    <t xml:space="preserve">    &lt;row label="r2"&gt;When outbreaks of vaccine-preventable diseases occur and children become seriously ill, the harm is not evenly shared. Children in rural communities with less access to medical resources face higher risks.&lt;/row&gt;</t>
  </si>
  <si>
    <t xml:space="preserve">    &lt;row label="r3"&gt;When outbreaks of vaccine-preventable diseases occur and children become seriously ill, the harm is not evenly shared. Children in in lower-income and other vulnerable communities with less access to medical resources face higher risks.&lt;/row&gt;</t>
  </si>
  <si>
    <t xml:space="preserve">  &lt;quota label="quota_QPREG_Item20" overquota="noqual" sheet="QPREG_Item20 Quota"/&gt;</t>
  </si>
  <si>
    <t xml:space="preserve">   label="XQVAR8"</t>
  </si>
  <si>
    <t xml:space="preserve">    &lt;title&gt;Hidden QPREG_Item20 Quota&lt;/title&gt;</t>
  </si>
  <si>
    <t>for i in range(4):</t>
  </si>
  <si>
    <t>if hasMarker("/QPREG_Item20 Quota/C_20_{}".format(i+1)):</t>
  </si>
  <si>
    <t>XQVAR8.val=i</t>
  </si>
  <si>
    <t xml:space="preserve">    &lt;row label="r1"&gt;Vaccination reduces disease spread only when enough people participate. When too many families opt out, preventable diseases spread more easily and put all children at risk.&lt;/row&gt;</t>
  </si>
  <si>
    <t xml:space="preserve">    &lt;row label="r2"&gt;Vaccination for serious infectious disease is a like a four way stop sign: if only some people pay attention, then everyone loses.&lt;/row&gt;</t>
  </si>
  <si>
    <t xml:space="preserve">    &lt;row label="r3"&gt;Vaccination works like speed limits near schools—if only some people follow them, the risk increases for every child, not just those who ignore the rules.&lt;/row&gt;</t>
  </si>
  <si>
    <t xml:space="preserve">    &lt;row label="r4"&gt;Vaccination only works when people act together. When some rely on others to do it for them, the protection weakens and outbreaks become more likely.&lt;/row&gt;</t>
  </si>
  <si>
    <t xml:space="preserve">  &lt;exec sst="0" when="init"&gt;</t>
  </si>
  <si>
    <t>CRITIC1_md = setupMaxDiffFile("Parent_Vaccine_DESIGN.dat")</t>
  </si>
  <si>
    <t xml:space="preserve">  &lt;html label="PREG_Maxdiff_Intro" where="survey"&gt;You’ll see a series of short statements expressing different points of view. Each statement reflects a point of view about childhood vaccines. For each set, please choose the one statement you find &lt;strong&gt;MOST&lt;/strong&gt; compelling and the one statement you find &lt;strong&gt;LEAST&lt;/strong&gt; compelling.</t>
  </si>
  <si>
    <t>&lt;br /&gt;&lt;br /&gt;&lt;em&gt;Some statements may appear again later. That’s intentional—it helps us understand how people think about ideas in various contexts.&lt;/em&gt; There are no right or wrong answers. Simply go with your first reaction each time.&lt;/html&gt;</t>
  </si>
  <si>
    <t xml:space="preserve">  &lt;quota label="quo10" overquota="noqual" sheet="PREG_Maxdiff_Quota"/&gt;</t>
  </si>
  <si>
    <t xml:space="preserve">   label="QPREG_CRITIC1_Version"</t>
  </si>
  <si>
    <t xml:space="preserve">   verify="range(1,10)"</t>
  </si>
  <si>
    <t xml:space="preserve">    &lt;title&gt;Q24 - MaxDiff Version&lt;/title&gt;</t>
  </si>
  <si>
    <t xml:space="preserve">    if "/PREG_Maxdiff_Quota/Preg_" in x:</t>
  </si>
  <si>
    <t xml:space="preserve">        QPREG_CRITIC1_Version.val = int(x.split("_")[-1])</t>
  </si>
  <si>
    <t xml:space="preserve">  &lt;loop label="QPREG_CRITIC1_md_loop" vars="task"&gt;</t>
  </si>
  <si>
    <t xml:space="preserve">    &lt;title&gt;CRITIC1 - MaxDiff Loop&lt;/title&gt;</t>
  </si>
  <si>
    <t xml:space="preserve">    &lt;block label="QPREG_CRITIC1_md_block" randomize="1"&gt;</t>
  </si>
  <si>
    <t xml:space="preserve">     label="QPREG_CRITIC1_[loopvar: task]"</t>
  </si>
  <si>
    <t xml:space="preserve">     ss:questionClassNames="CRITIC1_maxdiff"</t>
  </si>
  <si>
    <t xml:space="preserve">        &lt;title&gt;Select the one statement that is &lt;strong&gt;MOST&lt;/strong&gt; compelling to your own point of view  (on the left), and the statement that &lt;strong&gt;LEAST&lt;/strong&gt; compelling you (on the right)&lt;/title&gt;</t>
  </si>
  <si>
    <t>setupMaxDiffItemsI( CRITIC1_md, "v%d_t%d" % (QPREG_CRITIC1_Version.val, [loopvar: task]), QPREG_CRITIC1_[loopvar: task])</t>
  </si>
  <si>
    <t>p.MDcount = str(QPREG_CRITIC1_md_loop_expanded.order.index([loopvar: task]-1)+1)</t>
  </si>
  <si>
    <t xml:space="preserve">        &lt;col label="best"&gt;&lt;strong&gt;MOST compelling&lt;/strong&gt;&lt;/col&gt;</t>
  </si>
  <si>
    <t xml:space="preserve">        &lt;col label="worst"&gt;&lt;strong&gt;LEAST compelling&lt;/strong&gt;&lt;/col&gt;</t>
  </si>
  <si>
    <t xml:space="preserve">        &lt;row label="item1"&gt;Babies are most vulnerable to serious infections in their first months of life. The vaccine schedule starts early so protection is in place when babies are most at risk—not after exposure.&lt;/row&gt;</t>
  </si>
  <si>
    <t xml:space="preserve">        &lt;row label="item2"&gt;Spacing out vaccines may feel cautious, but it leaves babies unprotected for longer periods when infections can be most dangerous.&lt;/row&gt;</t>
  </si>
  <si>
    <t xml:space="preserve">        &lt;row label="item3"&gt;Vaccines can cause mild side effects like soreness or a low fever, which are signs the immune system is responding. Serious reactions are extremely rare, and the diseases vaccines protect against pose far greater risks to children.&lt;/row&gt;</t>
  </si>
  <si>
    <t xml:space="preserve">        &lt;row label="item4"&gt;Giving multiple vaccines at the same visit has not been shown to increase the risk of serious harm compared with spacing them out. The childhood vaccine schedule has been carefully studied to understand how vaccines work when they are given together, not just one at a time.&lt;/row&gt;</t>
  </si>
  <si>
    <t xml:space="preserve">        &lt;row label="item5"&gt;[pipe: XQVAR1]&lt;/row&gt;</t>
  </si>
  <si>
    <t xml:space="preserve">        &lt;row label="item6"&gt;[pipe: XQVAR2]&lt;/row&gt;</t>
  </si>
  <si>
    <t xml:space="preserve">        &lt;row label="item7"&gt;Vaccine-preventable diseases are dangerous even when they aren’t fatal. Children who contract these diseases often endure severe illness, and survivors can be left with lifelong harm such as paralysis, hearing loss, or heart and lung damage.&lt;/row&gt;</t>
  </si>
  <si>
    <t xml:space="preserve">        &lt;row label="item8"&gt;Before vaccines, early childhood was the most dangerous time of life because infectious diseases caused the highest risk of premature death. Childhood vaccines exist to prevent those same diseases from posing that level of risk today.&lt;/row&gt;</t>
  </si>
  <si>
    <t xml:space="preserve">        &lt;row label="item9"&gt;When fewer pregnant women get recommended vaccines—even by a small amount—doctors see more preterm births, more severe illness in mothers, and more babies hospitalized.&lt;/row&gt;</t>
  </si>
  <si>
    <t xml:space="preserve">        &lt;row label="item10"&gt;[pipe: XQVAR3]&lt;/row&gt;</t>
  </si>
  <si>
    <t xml:space="preserve">        &lt;row label="item11"&gt;[pipe: XQVAR4]&lt;/row&gt;</t>
  </si>
  <si>
    <t xml:space="preserve">        &lt;row label="item12"&gt;When a pregnant woman becomes seriously ill from an infection, the risk of preterm birth and infant hospitalization increases. Vaccination during pregnancy lowers the chance of severe illness in the mother, reducing these risks for the baby.&lt;/row&gt;</t>
  </si>
  <si>
    <t xml:space="preserve">        &lt;row label="item13"&gt;[pipe: XQVAR5]&lt;/row&gt;</t>
  </si>
  <si>
    <t xml:space="preserve">        &lt;row label="item14"&gt;[pipe: XQVAR6]&lt;/row&gt;</t>
  </si>
  <si>
    <t xml:space="preserve">        &lt;row label="item15"&gt;Freedom also means being able to have my children go to preschool or the grocery store without being stalked by diseases that can be prevented.  Ensuring kids are vaccinated before going to school protects that freedom.&lt;/row&gt;</t>
  </si>
  <si>
    <t xml:space="preserve">        &lt;row label="item16"&gt;Choosing not to vaccinate doesn’t eliminate risk—it shifts that risk onto other families, schools, and teachers. Most families vaccinate to keep schools safe, and it isn’t fair for others to rely on that protection while refusing to do the same.&lt;/row&gt;</t>
  </si>
  <si>
    <t xml:space="preserve">        &lt;row label="item17"&gt;We don’t all have the luxury of “designer” health choices. When wealthy families assume their kids aren’t at risk and opt out of vaccines, outbreaks happen—and working families pay the price.&lt;/row&gt;</t>
  </si>
  <si>
    <t xml:space="preserve">        &lt;row label="item18"&gt;Parents always have choices. Those who believe vaccines pose greater risk than disease often choose private or homeschooling. But other families deserve the peace of mind we’ve long taken for granted—that preventable diseases won’t spread in our communities.&lt;/row&gt;</t>
  </si>
  <si>
    <t xml:space="preserve">        &lt;row label="item19"&gt;[pipe: XQVAR7]&lt;/row&gt;</t>
  </si>
  <si>
    <t xml:space="preserve">        &lt;row label="item20"&gt;[pipe: XQVAR8]&lt;/row&gt;</t>
  </si>
  <si>
    <t xml:space="preserve">   label="PREG_CRITIC1_Timer"</t>
  </si>
  <si>
    <t xml:space="preserve">    &lt;title&gt;CRITIC1 - MaxDiff Timer (Minutes)&lt;/title&gt;</t>
  </si>
  <si>
    <t>PREG_CRITIC1_Timer.val = (timeSpent() - p.startTime) / 60.0</t>
  </si>
  <si>
    <t xml:space="preserve">  &lt;note&gt;MaxDiff Indices Template --End--&lt;/note&gt;</t>
  </si>
  <si>
    <t xml:space="preserve">   label="QPREG_POST"</t>
  </si>
  <si>
    <t xml:space="preserve">   cardrating:btnlayout="tiled"</t>
  </si>
  <si>
    <t xml:space="preserve">   cardrating:lrg_maxwidth="80%"</t>
  </si>
  <si>
    <t xml:space="preserve">   label="QPREG_MOB"</t>
  </si>
  <si>
    <t xml:space="preserve">    &lt;title&gt;&lt;span style="color: black;"&gt;The following statements explore how you feel about taking action on childhood vaccines. For each one, please indicate how much you agree or disagree.&lt;br /&gt;&lt;br /&gt;&lt;/span&gt;&lt;/title&gt;</t>
  </si>
  <si>
    <t xml:space="preserve">    &lt;col label="c3" value="3"&gt;&lt;span style="font-size: 10pt;"&gt;Somewhat&lt;br /&gt;disagree&lt;/span&gt;&lt;/col&gt;</t>
  </si>
  <si>
    <t xml:space="preserve">    &lt;col label="c7" value="7"&gt;&lt;span style="font-size: 10pt;"&gt;Strongly&lt;strong&gt;&lt;br /&gt;AGREE&lt;/strong&gt;&lt;/span&gt;&lt;/col&gt;</t>
  </si>
  <si>
    <t xml:space="preserve">    &lt;row label="r1"&gt;&lt;strong&gt;&lt;span style="font-size: 12pt;"&gt;Working with others, people like me can make a difference to get more parents to stick with the childhood vaccine schedule&lt;/span&gt;&lt;/strong&gt;&lt;/row&gt;</t>
  </si>
  <si>
    <t xml:space="preserve">    &lt;row label="r2"&gt;&lt;strong&gt;&lt;span style="font-size: 12pt;"&gt;I know what steps to take to make my voice heard on issues like childhood vaccines&lt;/span&gt;&lt;/strong&gt;&lt;/row&gt;</t>
  </si>
  <si>
    <t xml:space="preserve">    &lt;row label="r3"&gt;&lt;strong&gt;&lt;span style="font-size: 12pt;"&gt;This issue raises important questions of right and wrong for me personally&lt;/span&gt;&lt;/strong&gt;&lt;/row&gt;</t>
  </si>
  <si>
    <t xml:space="preserve">    &lt;row label="r4"&gt;&lt;strong&gt;&lt;span style="font-size: 12pt;"&gt;I am personally very worried about the consequences of fewer parents following the childhood vaccine schedule&lt;/span&gt;&lt;/strong&gt;&lt;/row&gt;</t>
  </si>
  <si>
    <t xml:space="preserve">    &lt;row label="r5"&gt;&lt;strong&gt;&lt;span style="font-size: 12pt;"&gt;If I asked, many of my friends or colleagues would be willing to join me in encouraging new parents to stick with the childhood vaccine schedule&lt;/span&gt;&lt;/strong&gt;&lt;/row&gt;</t>
  </si>
  <si>
    <t xml:space="preserve">   label="QPREG_P1"</t>
  </si>
  <si>
    <t xml:space="preserve">   randomize="0"&gt;</t>
  </si>
  <si>
    <t xml:space="preserve">    &lt;title&gt;&lt;strong&gt;Thinking about the next 30 days, how likely are you to take any action to show support for the childhood vaccination schedule&lt;/strong&gt;(for example, sharing social media content, signing something, contacting someone, or attending a meeting)?&lt;/title&gt;</t>
  </si>
  <si>
    <t xml:space="preserve">    &lt;col label="c1"&gt;&lt;strong&gt;&lt;span&gt;Definitely would not&lt;/span&gt;&lt;/strong&gt;&lt;/col&gt;</t>
  </si>
  <si>
    <t xml:space="preserve">    &lt;col label="c2"&gt;&lt;strong&gt;&lt;span&gt;Probably would not&lt;/span&gt;&lt;/strong&gt;&lt;/col&gt;</t>
  </si>
  <si>
    <t xml:space="preserve">    &lt;col label="c3"&gt;&lt;strong&gt;&lt;span&gt;Probably would&lt;/span&gt;&lt;/strong&gt;&lt;/col&gt;</t>
  </si>
  <si>
    <t xml:space="preserve">    &lt;col label="c4"&gt;&lt;strong&gt;&lt;span&gt;Definitely would&lt;/span&gt;&lt;/strong&gt;&lt;/col&gt;</t>
  </si>
  <si>
    <t xml:space="preserve">    &lt;col label="c5"&gt;&lt;strong&gt;&lt;span&gt;Not sure&lt;/span&gt;&lt;/strong&gt;&lt;/col&gt;</t>
  </si>
  <si>
    <t xml:space="preserve">   label="QPREG_P2"</t>
  </si>
  <si>
    <t xml:space="preserve">    &lt;title&gt;Compared to other issues you care about, &lt;strong&gt;how motivating is this issue for you right now?&lt;/strong&gt;&lt;/title&gt;</t>
  </si>
  <si>
    <t xml:space="preserve">    &lt;col label="c1"&gt;&lt;strong&gt;&lt;span&gt;Much less motivating&lt;/span&gt;&lt;/strong&gt;&lt;/col&gt;</t>
  </si>
  <si>
    <t xml:space="preserve">    &lt;col label="c2"&gt;&lt;strong&gt;&lt;span&gt;Somewhat less motivating&lt;/span&gt;&lt;/strong&gt;&lt;/col&gt;</t>
  </si>
  <si>
    <t xml:space="preserve">    &lt;col label="c3"&gt;&lt;strong&gt;&lt;span&gt;About the same&lt;/span&gt;&lt;/strong&gt;&lt;/col&gt;</t>
  </si>
  <si>
    <t xml:space="preserve">    &lt;col label="c4"&gt;&lt;strong&gt;&lt;span&gt;Somewhat more motivating&lt;/span&gt;&lt;/strong&gt;&lt;/col&gt;</t>
  </si>
  <si>
    <t xml:space="preserve">    &lt;col label="c5"&gt;&lt;strong&gt;&lt;span&gt;Much more motivating&lt;/span&gt;&lt;/strong&gt;&lt;/col&gt;</t>
  </si>
  <si>
    <t xml:space="preserve">   label="QPREG_P2n"</t>
  </si>
  <si>
    <t xml:space="preserve">    &lt;title&gt;If your time or attention were limited this month, &lt;strong&gt;would this issue be one you actually focus on?&lt;/strong&gt;&lt;/title&gt;</t>
  </si>
  <si>
    <t xml:space="preserve">   label="QPREG_VAX_CONFLICT"</t>
  </si>
  <si>
    <t xml:space="preserve">    &lt;title&gt;How often do you encounter conflicting information about vaccines from different sources?&lt;/title&gt;</t>
  </si>
  <si>
    <t xml:space="preserve">    &lt;row label="r1"&gt;Very often&lt;/row&gt;</t>
  </si>
  <si>
    <t xml:space="preserve">    &lt;row label="r2"&gt;Often&lt;/row&gt;</t>
  </si>
  <si>
    <t xml:space="preserve">    &lt;row label="r3"&gt;Sometimes&lt;/row&gt;</t>
  </si>
  <si>
    <t xml:space="preserve">    &lt;row label="r4"&gt;Rarely&lt;/row&gt;</t>
  </si>
  <si>
    <t xml:space="preserve">    &lt;row label="r5"&gt;Never&lt;/row&gt;</t>
  </si>
  <si>
    <t xml:space="preserve">    &lt;row label="r6"&gt;Prefer not to answer option&lt;/row&gt;</t>
  </si>
  <si>
    <t xml:space="preserve">   label="QPREG_COPARENT_VAX"</t>
  </si>
  <si>
    <t xml:space="preserve">    &lt;title&gt;How closely do you and your partner (or co-parent) agree on childhood vaccine decisions?&lt;/title&gt;</t>
  </si>
  <si>
    <t xml:space="preserve">    &lt;row label="r1"&gt;We are very aligned&lt;/row&gt;</t>
  </si>
  <si>
    <t xml:space="preserve">    &lt;row label="r2"&gt;We mostly agree&lt;/row&gt;</t>
  </si>
  <si>
    <t xml:space="preserve">    &lt;row label="r3"&gt;We disagree on some vaccines&lt;/row&gt;</t>
  </si>
  <si>
    <t xml:space="preserve">    &lt;row label="r4"&gt;We disagree on many vaccines&lt;/row&gt;</t>
  </si>
  <si>
    <t xml:space="preserve">    &lt;row label="r5"&gt;I am the primary decision-maker&lt;/row&gt;</t>
  </si>
  <si>
    <t xml:space="preserve">    &lt;row label="r6"&gt;I do not currently have a partner/co-parent&lt;/row&gt;</t>
  </si>
  <si>
    <t xml:space="preserve">    &lt;row label="r7"&gt;Prefer not to answer option&lt;/row&gt;</t>
  </si>
  <si>
    <t xml:space="preserve">   label="QPREG_COPARENT_CONFLICT"</t>
  </si>
  <si>
    <t xml:space="preserve">   cond="QPREG_COPARENT_VAX.but(QPREG_COPARENT_VAX.r6).any"</t>
  </si>
  <si>
    <t xml:space="preserve">    &lt;title&gt;When you and your partner disagree about vaccines, how is the decision usually resolved?&lt;/title&gt;</t>
  </si>
  <si>
    <t xml:space="preserve">    &lt;row label="r1"&gt;We defer to a healthcare provider&lt;/row&gt;</t>
  </si>
  <si>
    <t xml:space="preserve">    &lt;row label="r2"&gt;We research together until we agree&lt;/row&gt;</t>
  </si>
  <si>
    <t xml:space="preserve">    &lt;row label="r3"&gt;One of us usually defers to the other&lt;/row&gt;</t>
  </si>
  <si>
    <t xml:space="preserve">    &lt;row label="r4"&gt;We compromise (delay or selective vaccination)&lt;/row&gt;</t>
  </si>
  <si>
    <t xml:space="preserve">    &lt;row label="r5"&gt;We postpone decisions&lt;/row&gt;</t>
  </si>
  <si>
    <t xml:space="preserve">    &lt;row label="r6"&gt;This has been a major source of conflict&lt;/row&gt;</t>
  </si>
  <si>
    <t xml:space="preserve">   label="QPREG_VAXGATE4"</t>
  </si>
  <si>
    <t xml:space="preserve">    &lt;title&gt;&lt;span style="font-size: 14pt;"&gt;&lt;strong&gt;Which comes closest to your view?&lt;/strong&gt;&lt;/span&gt;&lt;span style="font-size: 14pt;"&gt;&lt;/span&gt;&lt;/title&gt;</t>
  </si>
  <si>
    <t xml:space="preserve">    &lt;row label="r1"&gt;&lt;span style="color: black; font-size: 12pt;"&gt;Many vaccines are unsafe, and serious risks are often hidden or downplayed&lt;/span&gt;&lt;/row&gt;</t>
  </si>
  <si>
    <t xml:space="preserve">    &lt;row label="r2"&gt;&lt;span style="font-size: 12pt;"&gt;Some vaccines may have risks, but most are generally safe&lt;/span&gt;&lt;/row&gt;</t>
  </si>
  <si>
    <t xml:space="preserve">    &lt;row label="r3"&gt;&lt;span style="font-size: 12pt;"&gt;Vaccines available today are generally safe for most people&lt;/span&gt;&lt;/row&gt;</t>
  </si>
  <si>
    <t xml:space="preserve">    &lt;noanswer label="r4"&gt;Not sure&lt;/noanswer&gt;</t>
  </si>
  <si>
    <t xml:space="preserve">   label="QPREG_VAXGATE3"</t>
  </si>
  <si>
    <t xml:space="preserve">    &lt;title&gt;&lt;span style="font-size: 14pt;"&gt;&lt;strong&gt;Even when a vaccine is generally safe, how often do you think the benefits are overstated for people like you?&lt;/strong&gt;&lt;/span&gt;&lt;/title&gt;</t>
  </si>
  <si>
    <t xml:space="preserve">    &lt;row label="r1"&gt;&lt;span style="color: black; font-size: 12pt;"&gt;Very often — the personal benefit is usually not worth the risk&lt;/span&gt;&lt;/row&gt;</t>
  </si>
  <si>
    <t xml:space="preserve">    &lt;row label="r2"&gt;&lt;span style="font-size: 12pt;"&gt;Sometimes — it depends heavily on age, health, and disease severity&lt;/span&gt;&lt;/row&gt;</t>
  </si>
  <si>
    <t xml:space="preserve">    &lt;row label="r3"&gt;&lt;span style="font-size: 12pt;"&gt;Rarely — vaccines usually provide clear personal benefit and protection&lt;/span&gt;&lt;/row&gt;</t>
  </si>
  <si>
    <t xml:space="preserve">    &lt;noanswer label="r4"&gt;&lt;span style="font-size: 12pt;"&gt;Not sure&lt;/span&gt;&lt;/noanswer&gt;</t>
  </si>
  <si>
    <t xml:space="preserve">   label="QPREG_VAXGATE2"</t>
  </si>
  <si>
    <t xml:space="preserve">   uses="onerowatatime.3"&gt;</t>
  </si>
  <si>
    <t xml:space="preserve">    &lt;title&gt;&lt;span style="font-size: 14pt;"&gt;&lt;strong&gt;How much do you trust each of the following to be honest and transparent about vaccine risks and benefits?&lt;/strong&gt;&lt;/span&gt;&lt;/title&gt;</t>
  </si>
  <si>
    <t xml:space="preserve">    &lt;comment&gt;Select one for each option&lt;/comment&gt;</t>
  </si>
  <si>
    <t xml:space="preserve">    &lt;row label="r1"&gt;&lt;strong&gt;&lt;span style="color: black; font-size: 12pt;"&gt;Pharmaceutical companies&lt;/span&gt;&lt;/strong&gt;&lt;/row&gt;</t>
  </si>
  <si>
    <t xml:space="preserve">    &lt;row label="r2"&gt;&lt;strong&gt;&lt;span style="color: black; font-size: 12pt;"&gt;Federal public health authorities (e.g. HHS, FDA, CDC)&lt;/span&gt;&lt;/strong&gt;&lt;strong&gt;&lt;span style="color: black; font-size: 12pt;"&gt;&lt;/span&gt;&lt;/strong&gt;&lt;/row&gt;</t>
  </si>
  <si>
    <t xml:space="preserve">    &lt;col label="c1" value="1"&gt;Not at all&lt;/col&gt;</t>
  </si>
  <si>
    <t xml:space="preserve">    &lt;col label="c2" value="2"&gt;&lt;span style="font-size: 10pt;"&gt;Very little&lt;/span&gt;&lt;/col&gt;</t>
  </si>
  <si>
    <t xml:space="preserve">    &lt;col label="c3" value="3"&gt;&lt;span style="font-size: 10pt;"&gt;Some&lt;/span&gt;&lt;/col&gt;</t>
  </si>
  <si>
    <t xml:space="preserve">    &lt;col label="c4" value="4"&gt;&lt;span style="font-size: 10pt;"&gt;A great deal&lt;/span&gt;&lt;/col&gt;</t>
  </si>
  <si>
    <t xml:space="preserve">    &lt;col label="c5" value="5"&gt;&lt;span style="font-size: 10pt;"&gt;Not sure&lt;/span&gt;&lt;/col&gt;</t>
  </si>
  <si>
    <t xml:space="preserve">   label="QPREG_VAXGATE1"</t>
  </si>
  <si>
    <t xml:space="preserve">    &lt;title&gt;&lt;span style="font-size: 14pt;"&gt;&lt;strong&gt;Which statement comes closest to your view?&lt;/strong&gt;&lt;/span&gt;&lt;/title&gt;</t>
  </si>
  <si>
    <t xml:space="preserve">    &lt;row label="r1"&gt;&lt;strong&gt;&lt;span style="color: black; font-size: 12pt;"&gt;Vaccination decisions should always be voluntary, even during public health emergencies&lt;/span&gt;&lt;/strong&gt;&lt;/row&gt;</t>
  </si>
  <si>
    <t xml:space="preserve">    &lt;row label="r2"&gt;&lt;strong&gt;&lt;span style="font-size: 12pt;"&gt;Vaccine mandates may be justified in some situations to protect public health&lt;/span&gt;&lt;/strong&gt;&lt;/row&gt;</t>
  </si>
  <si>
    <t xml:space="preserve">    &lt;noanswer label="r3"&gt;Not sure&lt;/noanswer&gt;</t>
  </si>
  <si>
    <t xml:space="preserve">   label="QPREG_VAXGATE_CHILD"</t>
  </si>
  <si>
    <t xml:space="preserve">    &lt;title&gt;&lt;span style="font-size: 14pt;"&gt;&lt;strong&gt;Thinking specifically about childhood vaccines required for school attendance, which comes closest to your view?&lt;/strong&gt;&lt;/span&gt;&lt;/title&gt;</t>
  </si>
  <si>
    <t xml:space="preserve">    &lt;row label="r1"&gt;&lt;span style="font-size: 12pt;"&gt;Should be required for school, with only limited medical exemptions&lt;/span&gt;&lt;/row&gt;</t>
  </si>
  <si>
    <t xml:space="preserve">    &lt;row label="r2"&gt;&lt;span style="font-size: 12pt;"&gt;Should generally be required, but parents should have broad opt-out rights&lt;/span&gt;&lt;/row&gt;</t>
  </si>
  <si>
    <t xml:space="preserve">    &lt;row label="r3"&gt;&lt;span style="font-size: 12pt;"&gt;Should be entirely voluntary and left to parental choice&lt;/span&gt;&lt;/row&gt;</t>
  </si>
  <si>
    <t xml:space="preserve">   label="QPREG_COVIDGATE4"</t>
  </si>
  <si>
    <t xml:space="preserve">    &lt;title&gt;&lt;span style="font-size: 14pt;"&gt;&lt;strong&gt;Which comes closest to your view &lt;u&gt;about COVID vaccines&lt;/u&gt;?&lt;/strong&gt;&lt;/span&gt;&lt;/title&gt;</t>
  </si>
  <si>
    <t xml:space="preserve">    &lt;row label="r1"&gt;&lt;span style="font-size: 12pt;"&gt;COVID vaccines are unsafe, and serious risks are hidden or downplayed&lt;/span&gt;&lt;/row&gt;</t>
  </si>
  <si>
    <t xml:space="preserve">    &lt;row label="r2"&gt;&lt;span style="font-size: 12pt;"&gt;COVID vaccines may have risks, but are generally safe for most people&lt;/span&gt;&lt;/row&gt;</t>
  </si>
  <si>
    <t xml:space="preserve">    &lt;row label="r3"&gt;&lt;span style="font-size: 12pt;"&gt;COVID vaccines are generally safe and effective&lt;/span&gt;&lt;/row&gt;</t>
  </si>
  <si>
    <t xml:space="preserve">   label="QPREG_COVIDGATE3"</t>
  </si>
  <si>
    <t xml:space="preserve">    &lt;title&gt;&lt;span style="font-size: 14pt;"&gt;&lt;strong&gt;For people like you, how often do you think the benefits of &lt;u&gt;COVID vaccination&lt;/u&gt; were overstated?&lt;/strong&gt;&lt;/span&gt;&lt;/title&gt;</t>
  </si>
  <si>
    <t xml:space="preserve">    &lt;row label="r1"&gt;&lt;span style="font-size: 12pt;"&gt;Very often&lt;/span&gt;&lt;/row&gt;</t>
  </si>
  <si>
    <t xml:space="preserve">    &lt;row label="r2"&gt;&lt;span style="font-size: 12pt;"&gt;Sometimes — it depends heavily on age, health, and timing&lt;/span&gt;&lt;/row&gt;</t>
  </si>
  <si>
    <t xml:space="preserve">    &lt;row label="r3"&gt;&lt;span style="font-size: 12pt;"&gt;Rarely&lt;/span&gt;&lt;/row&gt;</t>
  </si>
  <si>
    <t xml:space="preserve">   label="QPREG_COVIDGATE1"</t>
  </si>
  <si>
    <t xml:space="preserve">    &lt;row label="r1"&gt;&lt;strong&gt;&lt;span style="font-size: 12pt;"&gt;COVID vaccination should always have been voluntary&lt;/span&gt;&lt;/strong&gt;&lt;/row&gt;</t>
  </si>
  <si>
    <t xml:space="preserve">    &lt;row label="r2"&gt;&lt;strong&gt;&lt;span style="font-size: 12pt;"&gt;COVID vaccine mandates were justified in some situations&lt;/span&gt;&lt;/strong&gt;&lt;/row&gt;</t>
  </si>
  <si>
    <t xml:space="preserve">   label="QPREG_ELECTED"</t>
  </si>
  <si>
    <t xml:space="preserve">    &lt;row label="r4"&gt;Contacted an elected official or their staff&lt;/row&gt;</t>
  </si>
  <si>
    <t xml:space="preserve">    &lt;row label="r5"&gt;Helped recruit a candidate to run for public office&lt;/row&gt;</t>
  </si>
  <si>
    <t xml:space="preserve">    &lt;row label="r6"&gt;Helped recruit staff for a political campaign, office of an elected official, or other political appointee&lt;/row&gt;</t>
  </si>
  <si>
    <t xml:space="preserve">    &lt;row label="r7"&gt;Met (in person or video) with congressional, agency, or state legislative staff&lt;/row&gt;</t>
  </si>
  <si>
    <t xml:space="preserve">    &lt;row label="r8"&gt;Sat on the board or executive committee of any health, policy, or business association&lt;/row&gt;</t>
  </si>
  <si>
    <t xml:space="preserve">    &lt;row label="r9"&gt;Worked with or advised a Washington-based organization (think tank, patient advocacy group, trade association)&lt;/row&gt;</t>
  </si>
  <si>
    <t xml:space="preserve">    &lt;row label="r10"&gt;Testified or submitted written comments to a state legislative or Congressional committee&lt;/row&gt;</t>
  </si>
  <si>
    <t xml:space="preserve">    &lt;row label="r11"&gt;Spoke at a public meeting, podcast, webinar, church or civic group on a health topic&lt;/row&gt;</t>
  </si>
  <si>
    <t xml:space="preserve">    &lt;row label="r12"&gt;Wrote an article, blog post, Substack, or op-ed on an issue&lt;/row&gt;</t>
  </si>
  <si>
    <t xml:space="preserve">    &lt;row label="r13"&gt;Volunteered on a political campaign&lt;/row&gt;</t>
  </si>
  <si>
    <t xml:space="preserve">    &lt;row label="r14"&gt;Organized an event or rally on any issue&lt;/row&gt;</t>
  </si>
  <si>
    <t xml:space="preserve">   label="QPREG_B1"</t>
  </si>
  <si>
    <t xml:space="preserve">    &lt;title&gt;&lt;span style="font-size: 14pt;"&gt;In the past 12 months, have you taken any of the following actions &lt;strong&gt;related to a public policy issue?&lt;/strong&gt;&lt;/span&gt;&lt;/title&gt;</t>
  </si>
  <si>
    <t xml:space="preserve">    &lt;row label="r1"&gt;Signed a petition&lt;/row&gt;</t>
  </si>
  <si>
    <t xml:space="preserve">    &lt;row label="r2"&gt;Attended a meeting&lt;/row&gt;</t>
  </si>
  <si>
    <t xml:space="preserve">    &lt;row label="r3"&gt;Donated money&lt;/row&gt;</t>
  </si>
  <si>
    <t xml:space="preserve">    &lt;row label="r99" exclusive="1" randomize="0"&gt;None of the above&lt;/row&gt;</t>
  </si>
  <si>
    <t xml:space="preserve">   label="QPREG_TOT_FOLLOWERS"</t>
  </si>
  <si>
    <t xml:space="preserve">    &lt;title&gt;Across all your public social-media accounts (X/Twitter, Instagram, TikTok, Facebook pages, Substack, podcast, YouTube, etc.), about how many followers or subscribers do you have in total?&lt;/title&gt;</t>
  </si>
  <si>
    <t>Prompt(QPREG_TOT_FOLLOWERS)</t>
  </si>
  <si>
    <t xml:space="preserve">    &lt;row label="r0" value="0"&gt;None – I don’t use social media&lt;/row&gt;</t>
  </si>
  <si>
    <t xml:space="preserve">    &lt;row label="r1" value="1"&gt;1 - 500&lt;/row&gt;</t>
  </si>
  <si>
    <t xml:space="preserve">    &lt;row label="r2" value="2"&gt;500 - 1,199&lt;/row&gt;</t>
  </si>
  <si>
    <t xml:space="preserve">    &lt;row label="r3" value="3"&gt;2,000 – 9,999&lt;/row&gt;</t>
  </si>
  <si>
    <t xml:space="preserve">    &lt;row label="r4" value="4"&gt;10,000 – 49,999&lt;/row&gt;</t>
  </si>
  <si>
    <t xml:space="preserve">    &lt;row label="r5" value="5"&gt;50,000 or more&lt;/row&gt;</t>
  </si>
  <si>
    <t>Punch3(QPREG_TOT_FOLLOWERS)</t>
  </si>
  <si>
    <t xml:space="preserve">   label="QPREG_SM"</t>
  </si>
  <si>
    <t xml:space="preserve">    &lt;title&gt;&lt;span class="ques_no"&gt;${this.label}. &lt;/span&gt;Thinking about the &lt;strong&gt;past 30 days&lt;/strong&gt;, across &lt;strong&gt;any social media platform&lt;/strong&gt; you use (Facebook, X, LinkedIn, TikTok, or others):  Approximately how many times have you done any of the following to advocate on a public policy or other important issue:&lt;br /&gt;&lt;/title&gt;</t>
  </si>
  <si>
    <t xml:space="preserve">    &lt;col label="c1" value="1"&gt;Never&lt;/col&gt;</t>
  </si>
  <si>
    <t xml:space="preserve">    &lt;col label="c2" value="2"&gt;Not in past 30 days&lt;/col&gt;</t>
  </si>
  <si>
    <t xml:space="preserve">    &lt;col label="c3" value="3"&gt;1 time&amp;amp;nbsp; &amp;amp;nbsp;&lt;/col&gt;</t>
  </si>
  <si>
    <t xml:space="preserve">    &lt;col label="c5" value="5"&gt;2-4 times&lt;/col&gt;</t>
  </si>
  <si>
    <t xml:space="preserve">    &lt;col label="c7" value="7"&gt;5+ times&lt;/col&gt;</t>
  </si>
  <si>
    <t xml:space="preserve">    &lt;row label="r1"&gt;Shared or reposted content&lt;/row&gt;</t>
  </si>
  <si>
    <t xml:space="preserve">    &lt;row label="r2"&gt;Commented or replied on posts about a public policy or other important issue?&lt;/row&gt;</t>
  </si>
  <si>
    <t xml:space="preserve">    &lt;row label="r3"&gt;Created an original post or video&lt;/row&gt;</t>
  </si>
  <si>
    <t xml:space="preserve">   label="QPREG_SM2"</t>
  </si>
  <si>
    <t xml:space="preserve">    &lt;title&gt;&lt;span style="color: black;"&gt;Indicate how much you either agree or disagree with the following statements…&lt;br /&gt;&lt;br /&gt;&lt;/span&gt;&lt;/title&gt;</t>
  </si>
  <si>
    <t xml:space="preserve">    &lt;row label="r1"&gt;&lt;strong&gt;&lt;span style="font-size: 12pt;"&gt;There are important issues I care about, but don’t always make time to act on.&lt;/span&gt;&lt;/strong&gt;&lt;/row&gt;</t>
  </si>
  <si>
    <t xml:space="preserve">    &lt;row label="r2"&gt;&lt;strong&gt;&lt;span style="font-size: 12pt;"&gt;Sharing my views publicly is just as important as taking concrete steps to change policy.&lt;/span&gt;&lt;/strong&gt;&lt;/row&gt;</t>
  </si>
  <si>
    <t xml:space="preserve">    &lt;row label="r3"&gt;&lt;strong&gt;&lt;span style="font-size: 12pt;"&gt;To confirm you are able to read the screen, please select option below for “Somewhat Disagree”&lt;/span&gt;&lt;/strong&gt;&lt;/row&gt;</t>
  </si>
  <si>
    <t xml:space="preserve">   label="QPREG_SM2_r3_flag"</t>
  </si>
  <si>
    <t xml:space="preserve">    &lt;title&gt;Hidden: QPREG_SM2&lt;/title&gt;</t>
  </si>
  <si>
    <t>if QPREG_SM2.r3.c3:</t>
  </si>
  <si>
    <t>QPREG_SM2_r3_flag.val=0</t>
  </si>
  <si>
    <t>QPREG_SM2_r3_flag.val=1</t>
  </si>
  <si>
    <t xml:space="preserve">    &lt;row label="r1"&gt;Selected the "Somewhat Disagree"&lt;/row&gt;</t>
  </si>
  <si>
    <t xml:space="preserve">    &lt;row label="r2"&gt;Not selected the "Somewhat Disagree"&lt;/row&gt;</t>
  </si>
  <si>
    <t xml:space="preserve">   label="MAHA_AWARE"</t>
  </si>
  <si>
    <t xml:space="preserve">    &lt;title&gt;&lt;span style="color: black;"&gt;How familiar are you with the term ‘MAHA’ (Make America Healthy Again)?&lt;/span&gt;&lt;/title&gt;</t>
  </si>
  <si>
    <t xml:space="preserve">    &lt;row label="r1"&gt;Very familiar – I know a lot about it&lt;/row&gt;</t>
  </si>
  <si>
    <t xml:space="preserve">    &lt;row label="r2"&gt;Somewhat familiar – I know about  it&lt;/row&gt;</t>
  </si>
  <si>
    <t xml:space="preserve">    &lt;row label="r3"&gt;Aware, but not sure what it means&lt;/row&gt;</t>
  </si>
  <si>
    <t xml:space="preserve">    &lt;row label="r4"&gt;Heard of it, but know nothing about it&lt;/row&gt;</t>
  </si>
  <si>
    <t xml:space="preserve">    &lt;row label="r5"&gt;Never heard of it&lt;/row&gt;</t>
  </si>
  <si>
    <t xml:space="preserve">   label="MAHA_PERCEPTION"</t>
  </si>
  <si>
    <t xml:space="preserve">   cond="MAHA_AWARE.r1 or MAHA_AWARE.r2 or MAHA_AWARE.r3"</t>
  </si>
  <si>
    <t xml:space="preserve">    &lt;title&gt;&lt;span style="color: black;"&gt;When you hear the term MAHA, what does it most closely represent to you?&lt;/span&gt;&lt;/title&gt;</t>
  </si>
  <si>
    <t xml:space="preserve">    &lt;row label="r1" value="1"&gt;A movement focused on food quality, nutrition, and chronic disease&lt;/row&gt;</t>
  </si>
  <si>
    <t xml:space="preserve">    &lt;row label="r2" value="2"&gt;A broader critique of drug and food companies, and the health system&lt;/row&gt;</t>
  </si>
  <si>
    <t xml:space="preserve">    &lt;row label="r3" value="3"&gt;A political slogan more than a real movement&lt;/row&gt;</t>
  </si>
  <si>
    <t xml:space="preserve">    &lt;row label="r4" value="4"&gt;A personal health or lifestyle philosophy&lt;/row&gt;</t>
  </si>
  <si>
    <t xml:space="preserve">    &lt;row label="r5" value="5"&gt;A fringe or extreme health movement&lt;/row&gt;</t>
  </si>
  <si>
    <t xml:space="preserve">    &lt;row label="r6" value="6"&gt;The movement around Robert F. Kennedy, Jr.&lt;/row&gt;</t>
  </si>
  <si>
    <t xml:space="preserve">    &lt;row label="r7" value="7"&gt;The health movement led by Donald Trump&lt;/row&gt;</t>
  </si>
  <si>
    <t xml:space="preserve">    &lt;row label="r8" value="8"&gt;Something unclear or hard to define&lt;/row&gt;</t>
  </si>
  <si>
    <t xml:space="preserve">    &lt;row label="r88" open="1" openSize="25" randomize="0" value="88"&gt;Something else (specify)&lt;/row&gt;</t>
  </si>
  <si>
    <t xml:space="preserve">    &lt;row label="r99" randomize="0" value="99"&gt;Not sure&lt;/row&gt;</t>
  </si>
  <si>
    <t xml:space="preserve">   label="MAHA_IMP"</t>
  </si>
  <si>
    <t xml:space="preserve">    &lt;title&gt;&lt;span style="color: black;"&gt;Overall, what is your impression of the MAHA movement or idea?&lt;/span&gt;&lt;/title&gt;</t>
  </si>
  <si>
    <t xml:space="preserve">    &lt;row label="r1"&gt;Very positive&lt;/row&gt;</t>
  </si>
  <si>
    <t xml:space="preserve">    &lt;row label="r2"&gt;Somewhat positive&lt;/row&gt;</t>
  </si>
  <si>
    <t xml:space="preserve">    &lt;row label="r3"&gt;Neutral&lt;/row&gt;</t>
  </si>
  <si>
    <t xml:space="preserve">    &lt;row label="r4"&gt;Somewhat negative&lt;/row&gt;</t>
  </si>
  <si>
    <t xml:space="preserve">    &lt;row label="r5"&gt;Very negative&lt;/row&gt;</t>
  </si>
  <si>
    <t xml:space="preserve">   label="MAHA_IDENTITY"</t>
  </si>
  <si>
    <t xml:space="preserve">    &lt;title&gt;&lt;span style="color: black;"&gt;Which best describes your relationship to the MAHA label?&lt;/span&gt;&lt;/title&gt;</t>
  </si>
  <si>
    <t xml:space="preserve">    &lt;row label="r1"&gt;I am a member of the national organization&lt;/row&gt;</t>
  </si>
  <si>
    <t xml:space="preserve">    &lt;row label="r2"&gt;I strongly identify with it&lt;/row&gt;</t>
  </si>
  <si>
    <t xml:space="preserve">    &lt;row label="r3"&gt;I somewhat identify with it&lt;/row&gt;</t>
  </si>
  <si>
    <t xml:space="preserve">    &lt;row label="r4"&gt;I agree with some of the ideas, but wouldn’t identify with it&lt;/row&gt;</t>
  </si>
  <si>
    <t xml:space="preserve">    &lt;row label="r5"&gt;I’ve heard of it, but don’t relate to it&lt;/row&gt;</t>
  </si>
  <si>
    <t xml:space="preserve">    &lt;row label="r6"&gt;I disagree with it&lt;/row&gt;</t>
  </si>
  <si>
    <t xml:space="preserve">    &lt;row label="r7"&gt;I’m unfamiliar with it&lt;/row&gt;</t>
  </si>
  <si>
    <t xml:space="preserve">  label="TIPI"</t>
  </si>
  <si>
    <t xml:space="preserve">  cardrating:btnlayout="tiled"</t>
  </si>
  <si>
    <t xml:space="preserve">  cardrating:lrg_maxwidth="80%"</t>
  </si>
  <si>
    <t xml:space="preserve">  randomize="0"</t>
  </si>
  <si>
    <t xml:space="preserve">  uses="cardrating.1"</t>
  </si>
  <si>
    <t xml:space="preserve">  &lt;title&gt;&lt;span style="color: black;"&gt;Please rate how much you agree or disagree with each of the following personality descriptions, based on how you generally see yourself.&lt;br /&gt;&lt;br /&gt;&lt;/span&gt;&lt;/title&gt;</t>
  </si>
  <si>
    <t xml:space="preserve">  &lt;col label="c1" value="1"&gt;&lt;span style="font-size: 10pt;"&gt;Strongly&lt;br /&gt;&lt;strong&gt;DISAGREE&lt;/strong&gt;&lt;/span&gt;&lt;/col&gt;</t>
  </si>
  <si>
    <t xml:space="preserve">  &lt;col label="c2" value="2"&gt;&lt;span style="font-size: 10pt;"&gt;Disagree&lt;/span&gt;&lt;/col&gt;</t>
  </si>
  <si>
    <t xml:space="preserve">  &lt;col label="c3" value="3"&gt;&lt;span style="font-size: 10pt;"&gt;Somewhat&lt;br /&gt;disagree&lt;/span&gt;&lt;/col&gt;</t>
  </si>
  <si>
    <t xml:space="preserve">  &lt;col label="c4" value="4"&gt;&lt;span style="font-size: 10pt;"&gt;Neither agree&lt;br /&gt;nor disagree&lt;/span&gt;&lt;/col&gt;</t>
  </si>
  <si>
    <t xml:space="preserve">  &lt;col label="c5" value="5"&gt;&lt;span style="font-size: 10pt;"&gt;Somewhat&lt;br /&gt;Agree&lt;/span&gt;&lt;/col&gt;</t>
  </si>
  <si>
    <t xml:space="preserve">  &lt;col label="c6" value="6"&gt;&lt;span style="font-size: 10pt;"&gt;Agree&lt;/span&gt;&lt;/col&gt;</t>
  </si>
  <si>
    <t xml:space="preserve">  &lt;col label="c7" value="7"&gt;&lt;span style="font-size: 10pt;"&gt;Strongly&lt;strong&gt;&lt;br /&gt;AGREE&lt;/strong&gt;&lt;/span&gt;&lt;/col&gt;</t>
  </si>
  <si>
    <t xml:space="preserve">  &lt;row label="EXTRO1"&gt;&lt;span style="font-size: 18pt;"&gt;&lt;em&gt;&lt;strong&gt;extraverted, enthusiastic&lt;/strong&gt;&lt;/em&gt;&lt;/span&gt;&lt;/row&gt;</t>
  </si>
  <si>
    <t xml:space="preserve">  &lt;row label="EXTRO2R"&gt;&lt;span style="font-size: 18pt;"&gt;&lt;em&gt;&lt;strong&gt;reserved, quiet&lt;/strong&gt;&lt;/em&gt;&lt;/span&gt;&lt;/row&gt;</t>
  </si>
  <si>
    <t xml:space="preserve">  &lt;row label="AGREE1"&gt;&lt;span style="font-size: 18pt;"&gt;&lt;em&gt;&lt;strong&gt;sympathetic, warm&lt;/strong&gt;&lt;/em&gt;&lt;/span&gt;&lt;/row&gt;</t>
  </si>
  <si>
    <t xml:space="preserve">  &lt;row label="AGREE2R"&gt;&lt;span style="font-size: 18pt;"&gt;&lt;em&gt;&lt;strong&gt;critical, quarrelsome&lt;/strong&gt;&lt;/em&gt;&lt;/span&gt;&lt;/row&gt;</t>
  </si>
  <si>
    <t xml:space="preserve">  &lt;row label="CONSC1"&gt;&lt;span style="font-size: 18pt;"&gt;&lt;em&gt;&lt;strong&gt;dependable, self-disciplined&lt;/strong&gt;&lt;/em&gt;&lt;/span&gt;&lt;/row&gt;</t>
  </si>
  <si>
    <t xml:space="preserve">  &lt;row label="CONSC2R"&gt;&lt;span style="font-size: 18pt;"&gt;&lt;em&gt;&lt;strong&gt;disorganized, careless&lt;/strong&gt;&lt;/em&gt;&lt;/span&gt;&lt;/row&gt;</t>
  </si>
  <si>
    <t xml:space="preserve">  &lt;row label="NEURO1"&gt;&lt;span style="font-size: 18pt;"&gt;&lt;em&gt;&lt;strong&gt;calm, emotionally stable&lt;/strong&gt;&lt;/em&gt;&lt;/span&gt;&lt;/row&gt;</t>
  </si>
  <si>
    <t xml:space="preserve">  &lt;row label="NEURO2R"&gt;&lt;span style="font-size: 18pt;"&gt;&lt;em&gt;&lt;strong&gt;anxious, easily upset&lt;/strong&gt;&lt;/em&gt;&lt;/span&gt;&lt;/row&gt;</t>
  </si>
  <si>
    <t xml:space="preserve">  &lt;row label="OPEN1"&gt;&lt;span style="font-size: 18pt;"&gt;&lt;em&gt;&lt;strong&gt;open to new experiences, complex&lt;/strong&gt;&lt;/em&gt;&lt;/span&gt;&lt;/row&gt;</t>
  </si>
  <si>
    <t xml:space="preserve">  &lt;row label="OPEN2R"&gt;&lt;span style="font-size: 18pt;"&gt;&lt;em&gt;&lt;strong&gt;conventional, uncreative&lt;/strong&gt;&lt;/em&gt;&lt;/span&gt;&lt;/row&gt;</t>
  </si>
  <si>
    <t xml:space="preserve">  label="QD2"</t>
  </si>
  <si>
    <t xml:space="preserve">  &lt;title&gt;&lt;div class="tt_container1"&gt;&lt;span class="ques_no"&gt;${this.label}&lt;/span&gt; Are you, yourself, of Hispanic or Latino background&lt;a href="#" class="tt_link1" onclick="return false;"&gt;?&lt;/a&gt;</t>
  </si>
  <si>
    <t>&lt;div class="tt_text1"&gt;&lt;p&gt;such as Mexican, Puerto Rican, Cuban, or some other Spanish background&lt;/p&gt;&lt;/div&gt;&lt;/div&gt;&lt;/title&gt;</t>
  </si>
  <si>
    <t xml:space="preserve">  &lt;validate&gt;</t>
  </si>
  <si>
    <t>Prompt3(QD2)</t>
  </si>
  <si>
    <t xml:space="preserve">  &lt;/validate&gt;</t>
  </si>
  <si>
    <t xml:space="preserve">  &lt;row label="r2" value="2"&gt;No – not of Hispanic, Latino or Spanish origin&lt;/row&gt;</t>
  </si>
  <si>
    <t xml:space="preserve">  &lt;row label="r99" value="99"&gt;Prefer not to answer&lt;/row&gt;</t>
  </si>
  <si>
    <t>Punch3(QD2)</t>
  </si>
  <si>
    <t xml:space="preserve">  label="QD3"&gt;</t>
  </si>
  <si>
    <t xml:space="preserve">  &lt;title&gt;&lt;span class="ques_no"&gt;${this.label}&lt;/span&gt; Which of the following best describes your race?&lt;/title&gt;</t>
  </si>
  <si>
    <t>Prompt3(QD3)</t>
  </si>
  <si>
    <t xml:space="preserve">  &lt;row label="r1" value="1"&gt;White&lt;/row&gt;</t>
  </si>
  <si>
    <t xml:space="preserve">  &lt;row label="r2" value="2"&gt;Black&lt;/row&gt;</t>
  </si>
  <si>
    <t xml:space="preserve">  &lt;row label="r3" value="3"&gt;Asian&lt;/row&gt;</t>
  </si>
  <si>
    <t xml:space="preserve">  &lt;row label="r4" open="1" openSize="25" randomize="0" value="4"&gt;Some other race&lt;/row&gt;</t>
  </si>
  <si>
    <t>Punch3(QD3)</t>
  </si>
  <si>
    <t>if QD2.r2 and QD3.r1:</t>
  </si>
  <si>
    <t xml:space="preserve">    QRACE_ETHNIC.val = QRACE_ETHNIC.r1.index</t>
  </si>
  <si>
    <t>elif QD2.r2 and QD3.r2:</t>
  </si>
  <si>
    <t xml:space="preserve">    QRACE_ETHNIC.val = QRACE_ETHNIC.r2.index</t>
  </si>
  <si>
    <t>elif QD2.r2 and QD3.r3:</t>
  </si>
  <si>
    <t xml:space="preserve">    QRACE_ETHNIC.val = QRACE_ETHNIC.r3.index</t>
  </si>
  <si>
    <t>elif QD2.r2 and QD3.r4:</t>
  </si>
  <si>
    <t xml:space="preserve">    QRACE_ETHNIC.val = QRACE_ETHNIC.r4.index</t>
  </si>
  <si>
    <t>elif QD2.r1:</t>
  </si>
  <si>
    <t xml:space="preserve">    QRACE_ETHNIC.val = QRACE_ETHNIC.r5.index</t>
  </si>
  <si>
    <t>QRACE_ETHNIC.val=QRACE_ETHNIC.r99.index</t>
  </si>
  <si>
    <t xml:space="preserve">  label="QRACE_ETHNIC"</t>
  </si>
  <si>
    <t xml:space="preserve">  &lt;title&gt;RACE-ETHNICITY (COLLAPSED)&lt;/title&gt;</t>
  </si>
  <si>
    <t xml:space="preserve">  &lt;row label="r1" value="1"&gt;WHITE (Non-Hispanic)&lt;/row&gt;</t>
  </si>
  <si>
    <t xml:space="preserve">  &lt;row label="r2" value="2"&gt;BLACK (Non-Hispanic)&lt;/row&gt;</t>
  </si>
  <si>
    <t xml:space="preserve">  &lt;row label="r3" value="3"&gt;ASIAN (Non-Hispanic)&lt;/row&gt;</t>
  </si>
  <si>
    <t xml:space="preserve">  &lt;row label="r4" value="4"&gt;OTHER (Non-Hispanic)&lt;/row&gt;</t>
  </si>
  <si>
    <t xml:space="preserve">  &lt;row label="r5" value="5"&gt;HISPANIC&lt;/row&gt;</t>
  </si>
  <si>
    <t xml:space="preserve">  &lt;row label="r99" value="99"&gt;UNKNOWN&lt;/row&gt;</t>
  </si>
  <si>
    <t xml:space="preserve">  label="QVET"&gt;</t>
  </si>
  <si>
    <t xml:space="preserve">  &lt;title&gt;&lt;span class="ques_no"&gt;${this.label}&lt;/span&gt; Have you ever served on active duty in the U.S. Armed Forces, Reserves, or National Guard? &lt;/title&gt;</t>
  </si>
  <si>
    <t xml:space="preserve">  &lt;row label="r1" value="1"&gt;Yes, currently serving&lt;/row&gt;</t>
  </si>
  <si>
    <t xml:space="preserve">  &lt;row label="r2" value="2"&gt;Yes, retired or inactive&lt;/row&gt;</t>
  </si>
  <si>
    <t xml:space="preserve">  &lt;row label="r3" value="3"&gt;No&lt;/row&gt;</t>
  </si>
  <si>
    <t xml:space="preserve">  label="QUNION"&gt;</t>
  </si>
  <si>
    <t xml:space="preserve">  &lt;title&gt;&lt;span class="ques_no"&gt;${this.label}&lt;/span&gt; Are you currently, or have you ever been, part of a labor union? &lt;/title&gt;</t>
  </si>
  <si>
    <t xml:space="preserve">  &lt;row label="r1" value="1"&gt;Yes, I have&lt;/row&gt;</t>
  </si>
  <si>
    <t xml:space="preserve">  label="QEDU"</t>
  </si>
  <si>
    <t xml:space="preserve">  &lt;title&gt;&lt;span class="ques_no"&gt;${this.label}&lt;/span&gt; Please indicate the highest level of school you completed or the highest degree you have received…&lt;/title&gt;</t>
  </si>
  <si>
    <t xml:space="preserve">  &lt;row label="r1" value="1"&gt;Did not finish high school&lt;/row&gt;</t>
  </si>
  <si>
    <t xml:space="preserve">  &lt;row label="r2" value="2"&gt;High school diploma or GED&lt;/row&gt;</t>
  </si>
  <si>
    <t xml:space="preserve">  &lt;row label="r3" value="3"&gt;Some college credit, no degree&lt;/row&gt;</t>
  </si>
  <si>
    <t xml:space="preserve">  &lt;row label="r4" value="4"&gt;Trade/technical/vocational training&lt;/row&gt;</t>
  </si>
  <si>
    <t xml:space="preserve">  &lt;row label="r5" value="5"&gt;Associate's degree&lt;/row&gt;</t>
  </si>
  <si>
    <t xml:space="preserve">  &lt;row label="r6" value="6"&gt;Bachelor's degree&lt;/row&gt;</t>
  </si>
  <si>
    <t xml:space="preserve">  &lt;row label="r7" value="7"&gt;Master's degree&lt;/row&gt;</t>
  </si>
  <si>
    <t xml:space="preserve">  &lt;row label="r8" value="8"&gt;Professional degree (e.g., JD, MD)&lt;/row&gt;</t>
  </si>
  <si>
    <t xml:space="preserve">  &lt;row label="r9" value="9"&gt;Doctorate degree (PhD)&lt;/row&gt;</t>
  </si>
  <si>
    <t xml:space="preserve">  label="XEDU_CAT"</t>
  </si>
  <si>
    <t xml:space="preserve">  &lt;title&gt;EDUCATION GROUPS&lt;/title&gt;</t>
  </si>
  <si>
    <t>if QEDU.r1 or QEDU.r2:</t>
  </si>
  <si>
    <t xml:space="preserve">   XEDU_CAT.val = 0</t>
  </si>
  <si>
    <t>if QEDU.r3 or QEDU.r4:</t>
  </si>
  <si>
    <t xml:space="preserve">   XEDU_CAT.val = 1</t>
  </si>
  <si>
    <t>if QEDU.r5:</t>
  </si>
  <si>
    <t xml:space="preserve">   XEDU_CAT.val = 2</t>
  </si>
  <si>
    <t>if QEDU.r6:</t>
  </si>
  <si>
    <t xml:space="preserve">   XEDU_CAT.val = 3</t>
  </si>
  <si>
    <t>if QEDU.r7 or QEDU.r8 or QEDU.r9:</t>
  </si>
  <si>
    <t xml:space="preserve">   XEDU_CAT.val = 4</t>
  </si>
  <si>
    <t>if QEDU.r99:</t>
  </si>
  <si>
    <t xml:space="preserve">   XEDU_CAT.val = 5</t>
  </si>
  <si>
    <t xml:space="preserve">  &lt;row label="r1" value="1"&gt;HIGH SCHOOL GRADUATE (INCLUDES EQUIVALENCY)&lt;/row&gt;</t>
  </si>
  <si>
    <t xml:space="preserve">  &lt;row label="r2" value="2"&gt;SOME COLLEGE, NO DEGREE&lt;/row&gt;</t>
  </si>
  <si>
    <t xml:space="preserve">  &lt;row label="r3" value="3"&gt;ASSOCIATES DEGREE&lt;/row&gt;</t>
  </si>
  <si>
    <t xml:space="preserve">  &lt;row label="r4" value="4"&gt;BACHELORS DEGREE&lt;/row&gt;</t>
  </si>
  <si>
    <t xml:space="preserve">  &lt;row label="r5" value="5"&gt;GRADUATE OR PROFESSIONAL DEGREE&lt;/row&gt;</t>
  </si>
  <si>
    <t xml:space="preserve">  label="QREL"</t>
  </si>
  <si>
    <t xml:space="preserve">  &lt;title&gt;&lt;span class="ques_no"&gt;${this.label}&lt;/span&gt; What is your present religion, if any?&lt;/title&gt;</t>
  </si>
  <si>
    <t xml:space="preserve">  &lt;row label="r1" value="1"&gt;Protestant&lt;/row&gt;</t>
  </si>
  <si>
    <t xml:space="preserve">  &lt;row label="r2" value="2"&gt;Roman Catholic&lt;/row&gt;</t>
  </si>
  <si>
    <t xml:space="preserve">  &lt;row label="r3" value="3"&gt;LDS/Mormon&lt;/row&gt;</t>
  </si>
  <si>
    <t xml:space="preserve">  &lt;row label="r4" value="4"&gt;Orthodox, such as Greek or Russian Orthodox&lt;/row&gt;</t>
  </si>
  <si>
    <t xml:space="preserve">  &lt;row label="r5" value="5"&gt;Jewish&lt;/row&gt;</t>
  </si>
  <si>
    <t xml:space="preserve">  &lt;row label="r6" value="6"&gt;Muslim&lt;/row&gt;</t>
  </si>
  <si>
    <t xml:space="preserve">  &lt;row label="r7" value="7"&gt;Buddhist&lt;/row&gt;</t>
  </si>
  <si>
    <t xml:space="preserve">  &lt;row label="r8" value="8"&gt;Hindu&lt;/row&gt;</t>
  </si>
  <si>
    <t xml:space="preserve">  &lt;row label="r9" value="9"&gt;Atheist&lt;/row&gt;</t>
  </si>
  <si>
    <t xml:space="preserve">  &lt;row label="r10" value="10"&gt;Agnostic&lt;/row&gt;</t>
  </si>
  <si>
    <t xml:space="preserve">  &lt;row label="r11" value="11"&gt;Something else&lt;/row&gt;</t>
  </si>
  <si>
    <t xml:space="preserve">  &lt;row label="r12" value="12"&gt;Nothing in particular&lt;/row&gt;</t>
  </si>
  <si>
    <t xml:space="preserve">  label="QEVANGEL"</t>
  </si>
  <si>
    <t xml:space="preserve">  cond="QREL.r1"</t>
  </si>
  <si>
    <t xml:space="preserve">  &lt;title&gt;&lt;span class="ques_no"&gt;${this.label}&lt;/span&gt; Would you describe yourself a born-again or evangelical Christian, or not?&lt;/title&gt;</t>
  </si>
  <si>
    <t xml:space="preserve">  label="QREL_CAT"</t>
  </si>
  <si>
    <t xml:space="preserve">  &lt;title&gt;RELIGIOUS CATEGORIES&lt;/title&gt;</t>
  </si>
  <si>
    <t>if QEVANGEL.r1 and QRACE_ETHNIC.r1:</t>
  </si>
  <si>
    <t xml:space="preserve">   QREL_CAT.val = 0</t>
  </si>
  <si>
    <t>elif QREL.r1 and QRACE_ETHNIC.r2:</t>
  </si>
  <si>
    <t xml:space="preserve">   QREL_CAT.val = 1</t>
  </si>
  <si>
    <t>elif QEVANGEL.r2 and QRACE_ETHNIC.r1:</t>
  </si>
  <si>
    <t xml:space="preserve">   QREL_CAT.val = 2</t>
  </si>
  <si>
    <t>elif QREL.r2:</t>
  </si>
  <si>
    <t xml:space="preserve">   QREL_CAT.val = 3</t>
  </si>
  <si>
    <t>elif QREL.r5:</t>
  </si>
  <si>
    <t xml:space="preserve">   QREL_CAT.val = 4</t>
  </si>
  <si>
    <t>elif QREL.r3 or QREL.r6 or QREL.r7 or QREL.r8 or QREL.r11:</t>
  </si>
  <si>
    <t xml:space="preserve">   QREL_CAT.val = 5</t>
  </si>
  <si>
    <t>elif QREL.r9 or QREL.r10 or QREL.r12:</t>
  </si>
  <si>
    <t xml:space="preserve">   QREL_CAT.val = 6      </t>
  </si>
  <si>
    <t xml:space="preserve">   QREL_CAT.val = 7</t>
  </si>
  <si>
    <t xml:space="preserve">  &lt;row label="r1" value="1"&gt;WHITE EVANGELICAL&lt;/row&gt;</t>
  </si>
  <si>
    <t xml:space="preserve">  &lt;row label="r2" value="2"&gt;BLACK PROTESTANT&lt;/row&gt;</t>
  </si>
  <si>
    <t xml:space="preserve">  &lt;row label="r3" value="3"&gt;WHITE MAINLINE PROTESTANT&lt;/row&gt;</t>
  </si>
  <si>
    <t xml:space="preserve">  &lt;row label="r4" value="4"&gt;CATHOLIC&lt;/row&gt;</t>
  </si>
  <si>
    <t xml:space="preserve">  &lt;row label="r5" value="5"&gt;JEWISH&lt;/row&gt;</t>
  </si>
  <si>
    <t xml:space="preserve">  &lt;row label="r6" value="6"&gt;OTHER&lt;/row&gt;</t>
  </si>
  <si>
    <t xml:space="preserve">  &lt;row label="r7" value="7"&gt;NONE&lt;/row&gt;</t>
  </si>
  <si>
    <t xml:space="preserve">  label="QD23"</t>
  </si>
  <si>
    <t xml:space="preserve">  &lt;title&gt;&lt;span class="ques_no"&gt;${this.label}&lt;/span&gt; Last year – that is, in 2024 – what was your total family income from all sources, before taxes…&lt;/title&gt;</t>
  </si>
  <si>
    <t xml:space="preserve">  &lt;row label="r1" value="1"&gt;Less than $10,000&lt;/row&gt;</t>
  </si>
  <si>
    <t xml:space="preserve">  &lt;row label="r2" value="2"&gt;$10,000 - $19,999&lt;/row&gt;</t>
  </si>
  <si>
    <t xml:space="preserve">  &lt;row label="r3" value="3"&gt;$20,000 - $29,999&lt;/row&gt;</t>
  </si>
  <si>
    <t xml:space="preserve">  &lt;row label="r4" value="4"&gt;$30,000 – $39,999&lt;/row&gt;</t>
  </si>
  <si>
    <t xml:space="preserve">  &lt;row label="r5" value="5"&gt;$40,000 – $49,999&lt;/row&gt;</t>
  </si>
  <si>
    <t xml:space="preserve">  &lt;row label="r6" value="6"&gt;$50,000 – $59,999&lt;/row&gt;</t>
  </si>
  <si>
    <t xml:space="preserve">  &lt;row label="r7" value="7"&gt;$60,000 – $69,999&lt;/row&gt;</t>
  </si>
  <si>
    <t xml:space="preserve">  &lt;row label="r8" value="8"&gt;$70,000 – $79,999&lt;/row&gt;</t>
  </si>
  <si>
    <t xml:space="preserve">  &lt;row label="r9" value="9"&gt;$80,000 – $89,999&lt;/row&gt;</t>
  </si>
  <si>
    <t xml:space="preserve">  &lt;row label="r10" value="10"&gt;$90,000 – $99,999&lt;/row&gt;</t>
  </si>
  <si>
    <t xml:space="preserve">  &lt;row label="r11" value="11"&gt;$100,000 – $124,999&lt;/row&gt;</t>
  </si>
  <si>
    <t xml:space="preserve">  &lt;row label="r12" value="12"&gt;$125,000 - $149,999&lt;/row&gt;</t>
  </si>
  <si>
    <t xml:space="preserve">  &lt;row label="r13" value="13"&gt;$150,000 - $200,000&lt;/row&gt;</t>
  </si>
  <si>
    <t xml:space="preserve">  &lt;row label="r14" value="14"&gt;More than $200,000&lt;/row&gt;</t>
  </si>
  <si>
    <t xml:space="preserve">  label="QD23A"</t>
  </si>
  <si>
    <t xml:space="preserve">  &lt;title&gt;COLLAPSED INCOME GROUPS&lt;/title&gt;</t>
  </si>
  <si>
    <t>if QD23.r1 or QD23.r2:</t>
  </si>
  <si>
    <t xml:space="preserve">  QD23A.val = 0</t>
  </si>
  <si>
    <t>if QD23.r3 or QD23.r4 or QD23.r5:</t>
  </si>
  <si>
    <t xml:space="preserve">  QD23A.val = 1</t>
  </si>
  <si>
    <t>if QD23.r6 or QD23.r7 or QD23.r8 or QD23.r9 or QD23.r10:</t>
  </si>
  <si>
    <t xml:space="preserve">  QD23A.val = 2</t>
  </si>
  <si>
    <t>if QD23.r11 or QD23.r12:</t>
  </si>
  <si>
    <t xml:space="preserve">  QD23A.val = 3</t>
  </si>
  <si>
    <t>if QD23.r13 or QD23.r14:</t>
  </si>
  <si>
    <t xml:space="preserve">  QD23A.val = 4</t>
  </si>
  <si>
    <t>if QD23.r99:</t>
  </si>
  <si>
    <t xml:space="preserve">  QD23A.val = 5</t>
  </si>
  <si>
    <t xml:space="preserve">  &lt;row label="r1" value="1"&gt;&amp;amp;lt;$20K&lt;/row&gt;</t>
  </si>
  <si>
    <t xml:space="preserve">  &lt;row label="r2" value="2"&gt;$20-50K&lt;/row&gt;</t>
  </si>
  <si>
    <t xml:space="preserve">  &lt;row label="r3" value="3"&gt;$50-100K&lt;/row&gt;</t>
  </si>
  <si>
    <t xml:space="preserve">  &lt;row label="r4" value="4"&gt;$100-150K&lt;/row&gt;</t>
  </si>
  <si>
    <t xml:space="preserve">  &lt;row label="r5" value="5"&gt;&amp;amp;gt;$150K&lt;/row&gt;</t>
  </si>
  <si>
    <t xml:space="preserve">  label="QELECTED"</t>
  </si>
  <si>
    <t xml:space="preserve">  cond="XRANDOMPICK.r1 or XRANDOMPICK.r2"</t>
  </si>
  <si>
    <t xml:space="preserve">  &lt;title&gt;Have you ever done any of the following?&lt;/title&gt;</t>
  </si>
  <si>
    <t>Prompt1(QELECTED)</t>
  </si>
  <si>
    <t xml:space="preserve">  &lt;col label="c1" value="1"&gt;Yes&lt;/col&gt;</t>
  </si>
  <si>
    <t xml:space="preserve">  &lt;col label="c0" value="0"&gt;No&lt;/col&gt;</t>
  </si>
  <si>
    <t xml:space="preserve">  &lt;col label="c99" cond="0" value="99"&gt;SYSMIS&lt;/col&gt;</t>
  </si>
  <si>
    <t xml:space="preserve">  &lt;row label="r1"&gt;Held elected office&lt;/row&gt;</t>
  </si>
  <si>
    <t xml:space="preserve">  &lt;row label="r2"&gt;Been a paid staffer or advisor to an elected official or gov’t agency&lt;/row&gt;</t>
  </si>
  <si>
    <t xml:space="preserve">  &lt;row label="r3"&gt;Held an elected or appointed role in a party committee&lt;/row&gt;</t>
  </si>
  <si>
    <t xml:space="preserve">  &lt;row label="r4"&gt;Met (in person or video) with congressional, agency, or state legislative staff about health policy&lt;/row&gt;</t>
  </si>
  <si>
    <t xml:space="preserve">  &lt;row label="r5"&gt;Sat on the board or executive committee of any health, policy, or business association&lt;/row&gt;</t>
  </si>
  <si>
    <t xml:space="preserve">  &lt;row label="r6"&gt;Worked with or advised a Washington-based health organization (think tank, patient advocacy group, trade association)&lt;/row&gt;</t>
  </si>
  <si>
    <t xml:space="preserve">  &lt;row label="r7"&gt;Testified or submitted written comments to a state or federal committee on a health bill&lt;/row&gt;</t>
  </si>
  <si>
    <t xml:space="preserve">  &lt;row label="r8"&gt;Been appointed to a state party committee, including rules or platform committee&lt;/row&gt;</t>
  </si>
  <si>
    <t xml:space="preserve">  &lt;row label="r9"&gt;Helped recruit a candidate to run for public office&lt;/row&gt;</t>
  </si>
  <si>
    <t xml:space="preserve">  &lt;row label="r10"&gt;Helped recruit staff for a political campaign, office of an elected official, or any other political appointee&lt;/row&gt;</t>
  </si>
  <si>
    <t xml:space="preserve">  &lt;row label="r11"&gt;Raised or bundled political donations (&amp;amp;gt;$5k total)&lt;/row&gt;</t>
  </si>
  <si>
    <t xml:space="preserve">  &lt;row label="r12"&gt;Volunteered on a political campaign&lt;/row&gt;</t>
  </si>
  <si>
    <t xml:space="preserve">  &lt;row label="r13"&gt;Organized a rally/petition on any issue&lt;/row&gt;</t>
  </si>
  <si>
    <t xml:space="preserve">  &lt;row label="r14"&gt;Donated money to a health policy PAC, ballot measure, lawsuit, or campaign&lt;/row&gt;</t>
  </si>
  <si>
    <t xml:space="preserve">  &lt;row label="r15"&gt;Contacted an elected official or their staff about a health policy bill or regulation&lt;/row&gt;</t>
  </si>
  <si>
    <t xml:space="preserve">  &lt;row label="r16"&gt;Spoke at a public meeting, podcast, webinar, church or civic group on a health topic&lt;/row&gt;</t>
  </si>
  <si>
    <t xml:space="preserve">  &lt;row label="r17"&gt;Shared links or memes on health topics regularly&lt;/row&gt;</t>
  </si>
  <si>
    <t xml:space="preserve">  &lt;row label="r18"&gt;Posted original commentary or threads on social media regularly&lt;/row&gt;</t>
  </si>
  <si>
    <t xml:space="preserve">  &lt;row label="r19"&gt;Wrote an article, blog post, Substack, or op-ed on a health issue&lt;/row&gt;</t>
  </si>
  <si>
    <t>&lt;exec cond="XRANDOMPICK.r1 or XRANDOMPICK.r2"&gt;</t>
  </si>
  <si>
    <t>Punch1(QELECTED)</t>
  </si>
  <si>
    <t>&lt;block label="AL_VAX_VICP_OPTION_Block" cond="XRANDOMPICK.r4 or XRANDOMPICK.r5 or XRANDOMPICK.r6 or XRANDOMPICK.r7"&gt;</t>
  </si>
  <si>
    <t xml:space="preserve">   label="OPTIN"&gt;</t>
  </si>
  <si>
    <t xml:space="preserve">    &lt;title&gt;Thank you for sharing your views.&lt;br /&gt;&lt;br /&gt;From time to time, we invite people who complete this survey to help further by reviewing information, joining a short briefing, or being offered an optional way to get involved on this issue.&lt;br /&gt;&lt;br /&gt;Participation is always voluntary.&lt;br /&gt;&lt;br /&gt;&lt;strong&gt;Would you be willing to be contacted in the next few weeks to potentially help with this issue (for example, being invited to a short briefing, asked to review a message, or offered an optional action step)?&lt;/strong&gt;&lt;/title&gt;</t>
  </si>
  <si>
    <t xml:space="preserve">    &lt;row label="r1"&gt;&lt;strong&gt;Definitely yes&lt;/strong&gt;&lt;/row&gt;</t>
  </si>
  <si>
    <t xml:space="preserve">    &lt;row label="r2"&gt;&lt;strong&gt;Probably yes&lt;/strong&gt;&lt;/row&gt;</t>
  </si>
  <si>
    <t xml:space="preserve">    &lt;row label="r3"&gt;&lt;strong&gt;Probably no&lt;/strong&gt;&lt;/row&gt;</t>
  </si>
  <si>
    <t xml:space="preserve">    &lt;row label="r4"&gt;&lt;strong&gt;Definitely no&lt;/strong&gt;&lt;/row&gt;</t>
  </si>
  <si>
    <t xml:space="preserve">   label="OPTIN_1"</t>
  </si>
  <si>
    <t xml:space="preserve">   cond="(OPTIN.r1 or OPTIN.r2)"</t>
  </si>
  <si>
    <t xml:space="preserve">   keepWith="OPTIN_2"</t>
  </si>
  <si>
    <t xml:space="preserve">   ss:listDisplay="0"&gt;</t>
  </si>
  <si>
    <t xml:space="preserve">    &lt;title&gt;&lt;strong&gt;Please provide your email address and/or mobile telephone number so that we might contact you within the next few weeks abot this issue. You are under no obligation and your contact information will only be used for this purpose and will not be shared&lt;/strong&gt;&lt;/title&gt;</t>
  </si>
  <si>
    <t>.question{</t>
  </si>
  <si>
    <t xml:space="preserve">    border-top: 0px solid var(--bg2) !important;</t>
  </si>
  <si>
    <t xml:space="preserve">    border-bottom: 0px solid var(--bg2)  !important;</t>
  </si>
  <si>
    <t xml:space="preserve">    border-radius: 0px  !important;</t>
  </si>
  <si>
    <t xml:space="preserve">    background: var #f0f8ff (--bg1)  !important;</t>
  </si>
  <si>
    <t xml:space="preserve">    box-shadow: 0px 0px 0px 0px var(--bg2)  !important;</t>
  </si>
  <si>
    <t>.grid-table-mode .row-legend{width: 20%;}</t>
  </si>
  <si>
    <t xml:space="preserve">  }</t>
  </si>
  <si>
    <t>.survey-body&gt;form {</t>
  </si>
  <si>
    <t xml:space="preserve">    border-top: 25px solid var(--bg2);</t>
  </si>
  <si>
    <t xml:space="preserve">    border-bottom: 5px solid var(--bg2);</t>
  </si>
  <si>
    <t xml:space="preserve">    border-radius: 0px;</t>
  </si>
  <si>
    <t xml:space="preserve">    background: var #f0f8ff (--bg1);</t>
  </si>
  <si>
    <t xml:space="preserve">    box-shadow: 0px 0px 15px 0px var(--bg2);</t>
  </si>
  <si>
    <t xml:space="preserve">&lt;/style&gt;      </t>
  </si>
  <si>
    <t>jQuery('.question-text').eq(1).css('margin-bottom', '-2.667em');</t>
  </si>
  <si>
    <t xml:space="preserve">    // Detach the survey buttons</t>
  </si>
  <si>
    <t xml:space="preserve">    var $buttons = jQuery('.survey-buttons').detach();</t>
  </si>
  <si>
    <t xml:space="preserve">    // Insert buttons AFTER survey body</t>
  </si>
  <si>
    <t xml:space="preserve">    jQuery('.survey-body&gt;form').after($buttons);</t>
  </si>
  <si>
    <t xml:space="preserve">    jQuery('.survey-buttons').on('click', function () {</t>
  </si>
  <si>
    <t xml:space="preserve">        // mimic Decipher JS flag</t>
  </si>
  <si>
    <t xml:space="preserve">        var i = document.createElement('input');</t>
  </si>
  <si>
    <t xml:space="preserve">        i.setAttribute('type', 'hidden');</t>
  </si>
  <si>
    <t xml:space="preserve">        i.setAttribute('name', '__has_javascript');</t>
  </si>
  <si>
    <t xml:space="preserve">        i.setAttribute('value', '1');</t>
  </si>
  <si>
    <t xml:space="preserve">        document.forms.primary.appendChild(i);</t>
  </si>
  <si>
    <t xml:space="preserve">        // submit the form</t>
  </si>
  <si>
    <t xml:space="preserve">        document.forms.primary.submit();</t>
  </si>
  <si>
    <t xml:space="preserve">    });</t>
  </si>
  <si>
    <t xml:space="preserve">    &lt;row label="r1" verify="email"&gt;&lt;strong&gt;Email address:&lt;/strong&gt;&lt;/row&gt;</t>
  </si>
  <si>
    <t xml:space="preserve">    &lt;row label="r2" verify="number;len(10,10)"&gt;&lt;strong&gt;Mobile phone:&lt;/strong&gt;&lt;/row&gt;</t>
  </si>
  <si>
    <t xml:space="preserve">   label="OPTIN_2"</t>
  </si>
  <si>
    <t xml:space="preserve">   keepWith="OPTIN_1"&gt;</t>
  </si>
  <si>
    <t xml:space="preserve">    &lt;title&gt;&amp;amp;nbsp;&lt;/title&gt;</t>
  </si>
  <si>
    <t xml:space="preserve">    &lt;res label="sys_check-error-atLeast-sing-row"&gt;Please select the checkbox.&lt;/res&gt;</t>
  </si>
  <si>
    <t xml:space="preserve">    &lt;row label="r1"&gt;&lt;strong&gt;I agree to be contacted about this issue in the next few weeks. I understand participation is optional and I can decline at any time.&lt;/strong&gt;&lt;/row&gt;</t>
  </si>
  <si>
    <t>p.pri=0</t>
  </si>
  <si>
    <t xml:space="preserve">  label="SPEEDTIME"</t>
  </si>
  <si>
    <t xml:space="preserve">  size="10"</t>
  </si>
  <si>
    <t xml:space="preserve">  &lt;title&gt;Time Spent:&lt;/title&gt;</t>
  </si>
  <si>
    <t>SPEEDTIME.val = timeSpent()</t>
  </si>
  <si>
    <t>&lt;html label="END" where="survey"&gt;&lt;span style="font-size: 14pt;"&gt;&lt;strong&gt;Survey complete — thank you&lt;/strong&gt;&lt;br /&gt;&lt;br /&gt;We really appreciate your time today. Your answers will directly inform how we understand public views on healthcare and related issues.&lt;/span&gt;&lt;/html&gt;</t>
  </si>
  <si>
    <t>&lt;block label="bPE" cond="0"&gt;</t>
  </si>
  <si>
    <t xml:space="preserve">   label="QPE"</t>
  </si>
  <si>
    <t xml:space="preserve">    &lt;title&gt;&lt;span style="color: #4472c4;"&gt;STRATA: PUNCH FROM SAMPLE [PANEL SOURCE]&lt;/span&gt;&lt;/title&gt;</t>
  </si>
  <si>
    <t xml:space="preserve">    &lt;row label="r1" value="1"&gt;GOV’T: FED LEG&lt;/row&gt;</t>
  </si>
  <si>
    <t xml:space="preserve">    &lt;row label="r2" value="2"&gt;GOV’T: FED REG&lt;/row&gt;</t>
  </si>
  <si>
    <t xml:space="preserve">    &lt;row label="r7" value="7"&gt;NGO: PATIENT&lt;/row&gt;</t>
  </si>
  <si>
    <t xml:space="preserve">    &lt;row label="r8" value="8"&gt;NGO: POLICY&lt;/row&gt;</t>
  </si>
  <si>
    <t xml:space="preserve">    &lt;row label="r9" value="9"&gt;NGO: ACADEMIC&lt;/row&gt;</t>
  </si>
  <si>
    <t xml:space="preserve">   label="QPE2"</t>
  </si>
  <si>
    <t xml:space="preserve">    &lt;title&gt;Which of the following applies to you…&lt;/title&gt;</t>
  </si>
  <si>
    <t xml:space="preserve">    &lt;row label="r1" value="1"&gt;US Congressional staff person&lt;/row&gt;</t>
  </si>
  <si>
    <t xml:space="preserve">    &lt;row label="r2" value="2"&gt;An employee at a Federal government agency or department&lt;/row&gt;</t>
  </si>
  <si>
    <t xml:space="preserve">    &lt;row label="r9" value="9"&gt;None of the above&lt;/row&gt;</t>
  </si>
  <si>
    <t xml:space="preserve">    &lt;row label="r4" value="99"&gt;Prefer not to answer&lt;/row&gt;</t>
  </si>
  <si>
    <t xml:space="preserve">  &lt;exec cond="QPE2.r3 or QPE2.r4"&gt;</t>
  </si>
  <si>
    <t>vscreenout.val= str('QPE2')</t>
  </si>
  <si>
    <t>setMarker('Screened-QPE2')</t>
  </si>
  <si>
    <t xml:space="preserve">  &lt;term label="Term_QPE2" cond="QPE2.r3 or QPE2.r4"&gt;Did not vote&lt;/term&gt;</t>
  </si>
  <si>
    <t xml:space="preserve">   label="QPE3"</t>
  </si>
  <si>
    <t xml:space="preserve">    &lt;title&gt;Do you work for any of the following types of organizations…&lt;/title&gt;</t>
  </si>
  <si>
    <t xml:space="preserve">    &lt;row label="r1" value="1"&gt;Issue advocacy group&lt;/row&gt;</t>
  </si>
  <si>
    <t xml:space="preserve">    &lt;row label="r2" value="2"&gt;Public interest group&lt;/row&gt;</t>
  </si>
  <si>
    <t xml:space="preserve">    &lt;row label="r3" value="3"&gt;Think tank or public policy organization&lt;/row&gt;</t>
  </si>
  <si>
    <t xml:space="preserve">    &lt;row label="r4" value="4"&gt;Political party, coalition or PAC&lt;/row&gt;</t>
  </si>
  <si>
    <t xml:space="preserve">    &lt;row label="r5" value="5"&gt;Trade or professional association&lt;/row&gt;</t>
  </si>
  <si>
    <t xml:space="preserve">    &lt;row label="r6" value="6"&gt;Chamber of commerce or other business league&lt;/row&gt;</t>
  </si>
  <si>
    <t xml:space="preserve">    &lt;row label="r7" value="7"&gt;Foundation or charitable organization&lt;/row&gt;</t>
  </si>
  <si>
    <t xml:space="preserve">    &lt;row label="r8" value="8"&gt;Community civic group&lt;/row&gt;</t>
  </si>
  <si>
    <t xml:space="preserve">    &lt;row label="r99" value="99"&gt;Prefer not to answer&lt;/row&gt;</t>
  </si>
  <si>
    <t xml:space="preserve">  &lt;exec cond="QPE3.r9 or QPE3.r99"&gt;</t>
  </si>
  <si>
    <t xml:space="preserve">  &lt;term label="Term_QPE3" cond="QPE3.r9 or QPE3.r99"&gt;Did not vote&lt;/term&gt;</t>
  </si>
  <si>
    <t xml:space="preserve">   label="QPE4"</t>
  </si>
  <si>
    <t xml:space="preserve">    &lt;title&gt;Are you involved in developing, administering, influencing, or advocating for public policy on any of the following issues:&lt;/title&gt;</t>
  </si>
  <si>
    <t xml:space="preserve">    &lt;row label="r1" value="1"&gt;Health care&lt;/row&gt;</t>
  </si>
  <si>
    <t xml:space="preserve">    &lt;row label="r2" value="2"&gt;Environmental policy&lt;/row&gt;</t>
  </si>
  <si>
    <t xml:space="preserve">    &lt;row label="r3" value="3"&gt;Energy policy&lt;/row&gt;</t>
  </si>
  <si>
    <t xml:space="preserve">    &lt;row label="r4" value="4"&gt;Infrastructure and/or transportation&lt;/row&gt;</t>
  </si>
  <si>
    <t>&lt;block label="ROI_ESI_FINAL" cond="XRANDOMPICK.r1"&gt;</t>
  </si>
  <si>
    <t xml:space="preserve">   label="ESI_PRE_ATT_17"</t>
  </si>
  <si>
    <t xml:space="preserve">    &lt;title&gt;ESI_PRE_ATT_17&lt;/title&gt;</t>
  </si>
  <si>
    <t>ESI_PRE_ATT_17.val = 1 + (QESI_PRE_ATT.ival / (100.0 / 6.0))</t>
  </si>
  <si>
    <t xml:space="preserve">   label="ESI_POST_ATT_17"</t>
  </si>
  <si>
    <t xml:space="preserve">    &lt;title&gt;ESI_POST_ATT_17&lt;/title&gt;</t>
  </si>
  <si>
    <t>ESI_POST_ATT_17.val = 1 + (QESI_POST_ATT.ival / (100.0 / 6.0))</t>
  </si>
  <si>
    <t xml:space="preserve">   label="ESI_PRE_POL_REV"</t>
  </si>
  <si>
    <t xml:space="preserve">    &lt;title&gt;ESI_PRE_POL_REV&lt;/title&gt;</t>
  </si>
  <si>
    <t>ESI_PRE_POL_REV.val = 8 - QESI_PRE_POL.selected.value</t>
  </si>
  <si>
    <t xml:space="preserve">   label="ESI_POST_POL_REV"</t>
  </si>
  <si>
    <t xml:space="preserve">    &lt;title&gt;QESI_POST_POL_REV&lt;/title&gt;</t>
  </si>
  <si>
    <t>ESI_POST_POL_REV.val = 8 - QESI_POST_POL.selected.value</t>
  </si>
  <si>
    <t xml:space="preserve">   label="ESI_ALIGN_PRE"</t>
  </si>
  <si>
    <t xml:space="preserve">    &lt;title&gt;ESI_ALIGN_PRE&lt;/title&gt;</t>
  </si>
  <si>
    <t>ESI_ALIGN_PRE.val = (ESI_PRE_ATT_17.ival + ESI_PRE_POL_REV.ival) / 2.0</t>
  </si>
  <si>
    <t xml:space="preserve">   label="ESI_ALIGN_POST"</t>
  </si>
  <si>
    <t xml:space="preserve">    &lt;title&gt;ESI_ALIGN_POST&lt;/title&gt;</t>
  </si>
  <si>
    <t>ESI_ALIGN_POST.val = (ESI_POST_ATT_17.ival + ESI_POST_POL_REV.ival) / 2.0</t>
  </si>
  <si>
    <t xml:space="preserve">   label="ESI_ALIGN_MOVE"</t>
  </si>
  <si>
    <t xml:space="preserve">    &lt;title&gt;ESI_ALIGN_MOVE&lt;/title&gt;</t>
  </si>
  <si>
    <t>ESI_ALIGN_MOVE.val = ESI_ALIGN_POST.ival - ESI_ALIGN_PRE.ival</t>
  </si>
  <si>
    <t xml:space="preserve">   label="ESI_PERSUASION_CAT"</t>
  </si>
  <si>
    <t xml:space="preserve">    &lt;title&gt;ESI_PERSUASION_CAT&lt;/title&gt;</t>
  </si>
  <si>
    <t>m = ESI_ALIGN_MOVE.ival</t>
  </si>
  <si>
    <t>if m &amp;lt; 0:</t>
  </si>
  <si>
    <t xml:space="preserve">  ESI_PERSUASION_CAT.val = 1</t>
  </si>
  <si>
    <t>elif m == 0:</t>
  </si>
  <si>
    <t xml:space="preserve">  ESI_PERSUASION_CAT.val = 2</t>
  </si>
  <si>
    <t>elif m &amp;lt; 1.0:</t>
  </si>
  <si>
    <t xml:space="preserve">  ESI_PERSUASION_CAT.val = 3</t>
  </si>
  <si>
    <t xml:space="preserve">  ESI_PERSUASION_CAT.val = 4</t>
  </si>
  <si>
    <t xml:space="preserve">   label="ESI_COALITION_CAT"</t>
  </si>
  <si>
    <t xml:space="preserve">    &lt;title&gt;ESI_COALITION_CAT&lt;/title&gt;</t>
  </si>
  <si>
    <t>v = ESI_ALIGN_POST.ival</t>
  </si>
  <si>
    <t>if v &amp;lt; 3.0:</t>
  </si>
  <si>
    <t xml:space="preserve">  ESI_COALITION_CAT.val = 1</t>
  </si>
  <si>
    <t>elif v &amp;lt; 4.0:</t>
  </si>
  <si>
    <t xml:space="preserve">  ESI_COALITION_CAT.val = 2</t>
  </si>
  <si>
    <t>elif v &amp;lt; 5.0:</t>
  </si>
  <si>
    <t xml:space="preserve">  ESI_COALITION_CAT.val = 3</t>
  </si>
  <si>
    <t>elif v &amp;lt; 6.0:</t>
  </si>
  <si>
    <t xml:space="preserve">  ESI_COALITION_CAT.val = 4</t>
  </si>
  <si>
    <t xml:space="preserve">  ESI_COALITION_CAT.val = 5</t>
  </si>
  <si>
    <t xml:space="preserve">   label="ESI_MOB_SCORE"</t>
  </si>
  <si>
    <t xml:space="preserve">    &lt;title&gt;ESI_MOB_SCORE&lt;/title&gt;</t>
  </si>
  <si>
    <t>m1 = float(QESI_MOB.r1.val+1)</t>
  </si>
  <si>
    <t>m2 = float(QESI_MOB.r2.val+1)</t>
  </si>
  <si>
    <t>m3 = float(QESI_MOB.r3.val+1)</t>
  </si>
  <si>
    <t>m4 = float(QESI_MOB.r4.val+1)</t>
  </si>
  <si>
    <t>m5 = float(QESI_MOB.r5.val+1)</t>
  </si>
  <si>
    <t>ESI_MOB_SCORE.val = float(((m1+m2+m3+m4+m5)-5.0)/20.0)</t>
  </si>
  <si>
    <t xml:space="preserve">   label="ESI_ADV_SCORE"</t>
  </si>
  <si>
    <t xml:space="preserve">    &lt;title&gt;ESI_ADV_SCORE&lt;/title&gt;</t>
  </si>
  <si>
    <t>vals=[]</t>
  </si>
  <si>
    <t>if QESI_ADV_1.any:</t>
  </si>
  <si>
    <t xml:space="preserve">  vals.append(float(QESI_ADV_1.selected.value))</t>
  </si>
  <si>
    <t>if QESI_ADV_2.any:</t>
  </si>
  <si>
    <t xml:space="preserve">  vals.append(float(QESI_ADV_2.selected.value))</t>
  </si>
  <si>
    <t>if len(vals) &amp;gt; 0:</t>
  </si>
  <si>
    <t xml:space="preserve">  adv = sum(vals) / float(len(vals))</t>
  </si>
  <si>
    <t xml:space="preserve">  adv = 4.0   </t>
  </si>
  <si>
    <t>ESI_ADV_SCORE.val = 1.0 - ((adv - 1.0) / 6.0)</t>
  </si>
  <si>
    <t xml:space="preserve">   label="ESI_MOBILIZATION"</t>
  </si>
  <si>
    <t xml:space="preserve">    &lt;title&gt;ESI_MOBILIZATION&lt;/title&gt;</t>
  </si>
  <si>
    <t>ESI_MOBILIZATION.val = (0.6*ESI_MOB_SCORE.ival + 0.4*ESI_ADV_SCORE.ival)</t>
  </si>
  <si>
    <t xml:space="preserve">   label="ESI_ACT_CAT"</t>
  </si>
  <si>
    <t xml:space="preserve">    &lt;title&gt;ESI_ACT_CAT&lt;/title&gt;</t>
  </si>
  <si>
    <t>v = ESI_MOBILIZATION.ival</t>
  </si>
  <si>
    <t>if v &amp;lt;= 0.30:</t>
  </si>
  <si>
    <t xml:space="preserve">  ESI_ACT_CAT.val = 1</t>
  </si>
  <si>
    <t>elif v &amp;lt; 0.50:</t>
  </si>
  <si>
    <t xml:space="preserve">  ESI_ACT_CAT.val = 2</t>
  </si>
  <si>
    <t>elif v &amp;lt; 0.75:</t>
  </si>
  <si>
    <t xml:space="preserve">  ESI_ACT_CAT.val = 3</t>
  </si>
  <si>
    <t xml:space="preserve">  ESI_ACT_CAT.val = 4</t>
  </si>
  <si>
    <t xml:space="preserve">   label="ESI_INFLUENCE360"</t>
  </si>
  <si>
    <t xml:space="preserve">    &lt;title&gt;ESI_INFLUENCE360&lt;/title&gt;</t>
  </si>
  <si>
    <t>ESI_INFLUENCE360.val = float(QELECTED.c1.count)/19.0</t>
  </si>
  <si>
    <t xml:space="preserve">   label="ESI_INF_CAT"</t>
  </si>
  <si>
    <t xml:space="preserve">    &lt;title&gt;ESI_INF_CAT&lt;/title&gt;</t>
  </si>
  <si>
    <t>v = ESI_INFLUENCE360.ival</t>
  </si>
  <si>
    <t>if v &amp;lt;= 0.25:</t>
  </si>
  <si>
    <t xml:space="preserve">  ESI_INF_CAT.val = 1</t>
  </si>
  <si>
    <t xml:space="preserve">  ESI_INF_CAT.val = 2</t>
  </si>
  <si>
    <t xml:space="preserve">  ESI_INF_CAT.val = 3</t>
  </si>
  <si>
    <t xml:space="preserve">  ESI_INF_CAT.val = 4</t>
  </si>
  <si>
    <t xml:space="preserve">   label="ESI_ROI_CAT"</t>
  </si>
  <si>
    <t xml:space="preserve">    &lt;title&gt;ESI_ROI_CAT&lt;/title&gt;</t>
  </si>
  <si>
    <t>ESI_ROI_CAT.val = 1</t>
  </si>
  <si>
    <t>if (ESI_PERSUASION_CAT.ival == 1 or</t>
  </si>
  <si>
    <t xml:space="preserve">    ESI_COALITION_CAT.ival == 1):</t>
  </si>
  <si>
    <t xml:space="preserve">  ESI_ROI_CAT.val = 1</t>
  </si>
  <si>
    <t>elif ESI_PERSUASION_CAT.ival == 2:</t>
  </si>
  <si>
    <t xml:space="preserve">  ESI_ROI_CAT.val = 2</t>
  </si>
  <si>
    <t>elif (ESI_PERSUASION_CAT.ival ge 3 and</t>
  </si>
  <si>
    <t xml:space="preserve">      ESI_COALITION_CAT.ival lt 3):</t>
  </si>
  <si>
    <t xml:space="preserve">  ESI_ROI_CAT.val = 3</t>
  </si>
  <si>
    <t xml:space="preserve">      ESI_COALITION_CAT.ival ge 3 and</t>
  </si>
  <si>
    <t xml:space="preserve">      ESI_ACT_CAT.ival lt 3 and</t>
  </si>
  <si>
    <t xml:space="preserve">      ESI_INF_CAT.ival lt 2):</t>
  </si>
  <si>
    <t xml:space="preserve">  ESI_ROI_CAT.val = 4</t>
  </si>
  <si>
    <t>elif (ESI_PERSUASION_CAT.ival == 3 and</t>
  </si>
  <si>
    <t xml:space="preserve">      (ESI_ACT_CAT.ival ge 3 or ESI_INF_CAT.ival ge 2)):</t>
  </si>
  <si>
    <t xml:space="preserve">  ESI_ROI_CAT.val = 5</t>
  </si>
  <si>
    <t>elif (ESI_PERSUASION_CAT.ival == 4 and</t>
  </si>
  <si>
    <t xml:space="preserve">  ESI_ROI_CAT.val = 6</t>
  </si>
  <si>
    <t xml:space="preserve">   label="ESI_ROI_CONT"</t>
  </si>
  <si>
    <t xml:space="preserve">    &lt;title&gt;ESI_ROI_CONT&lt;/title&gt;</t>
  </si>
  <si>
    <t>ESI_ROI_CONT.val = 0.0</t>
  </si>
  <si>
    <t>align_norm = 0.0</t>
  </si>
  <si>
    <t>pers_mag = 0.0</t>
  </si>
  <si>
    <t>if ESI_ALIGN_POST.ival ge 4:</t>
  </si>
  <si>
    <t xml:space="preserve">  align_norm = (ESI_ALIGN_POST.ival - 1.0) / 6.0</t>
  </si>
  <si>
    <t>pers_mag = abs(ESI_ALIGN_MOVE.ival)</t>
  </si>
  <si>
    <t>if pers_mag gt 1.5:</t>
  </si>
  <si>
    <t xml:space="preserve">  pers_mag = 1.5</t>
  </si>
  <si>
    <t>pers_mag = pers_mag / 1.5</t>
  </si>
  <si>
    <t>if (ESI_PERSUASION_CAT.ival == 3 or</t>
  </si>
  <si>
    <t xml:space="preserve">    ESI_PERSUASION_CAT.ival == 4):</t>
  </si>
  <si>
    <t xml:space="preserve">  ESI_ROI_CONT.val = 100.0 * (</t>
  </si>
  <si>
    <t xml:space="preserve">      0.40 * pers_mag +</t>
  </si>
  <si>
    <t xml:space="preserve">      0.20 * ESI_MOBILIZATION.ival +</t>
  </si>
  <si>
    <t xml:space="preserve">      0.30 * align_norm +</t>
  </si>
  <si>
    <t xml:space="preserve">      0.10 * ESI_INF_CAT.ival</t>
  </si>
  <si>
    <t xml:space="preserve">  )</t>
  </si>
  <si>
    <t>&lt;block label="ROI_MA_FINAL" cond="XRANDOMPICK.r2"&gt;</t>
  </si>
  <si>
    <t xml:space="preserve">   label="MA_PRE_ATT_17"</t>
  </si>
  <si>
    <t xml:space="preserve">    &lt;title&gt;MA_PRE_ATT_17&lt;/title&gt;</t>
  </si>
  <si>
    <t>MA_PRE_ATT_17.val = 1 + (QMA_PRE_ATT.ival / (100.0 / 6.0))</t>
  </si>
  <si>
    <t xml:space="preserve">   label="MA_POST_ATT_17"</t>
  </si>
  <si>
    <t xml:space="preserve">    &lt;title&gt;MA_POST_ATT_17&lt;/title&gt;</t>
  </si>
  <si>
    <t>MA_POST_ATT_17.val = 1 + (QMA_POST_ATT.ival / (100.0 / 6.0))</t>
  </si>
  <si>
    <t xml:space="preserve">   label="MA_PRE_POL1_REV"</t>
  </si>
  <si>
    <t xml:space="preserve">    &lt;title&gt;MA_PRE_POL_REV&lt;/title&gt;</t>
  </si>
  <si>
    <t>MA_PRE_POL1_REV.val = 8 - QMA_PRE_POL1.selected.value</t>
  </si>
  <si>
    <t xml:space="preserve">   label="MA_POST_POL1_REV"</t>
  </si>
  <si>
    <t xml:space="preserve">    &lt;title&gt;MA_POST_POL_REV&lt;/title&gt;</t>
  </si>
  <si>
    <t>MA_POST_POL1_REV.val = 8 - QMA_POST_POL1.selected.value</t>
  </si>
  <si>
    <t xml:space="preserve">   label="MA_ALIGN_PRE"</t>
  </si>
  <si>
    <t xml:space="preserve">    &lt;title&gt;MA_ALIGN_PRE&lt;/title&gt;</t>
  </si>
  <si>
    <t>MA_ALIGN_PRE.val = (</t>
  </si>
  <si>
    <t xml:space="preserve">  MA_PRE_ATT_17.ival +</t>
  </si>
  <si>
    <t xml:space="preserve">  MA_PRE_POL1_REV.ival +</t>
  </si>
  <si>
    <t xml:space="preserve">  QMA_PRE_POL2.selected.value</t>
  </si>
  <si>
    <t>) / 3.0</t>
  </si>
  <si>
    <t xml:space="preserve">   label="MA_ALIGN_POST"</t>
  </si>
  <si>
    <t xml:space="preserve">    &lt;title&gt;MA_ALIGN_POST&lt;/title&gt;</t>
  </si>
  <si>
    <t>MA_ALIGN_POST.val = (</t>
  </si>
  <si>
    <t xml:space="preserve">  MA_POST_ATT_17.ival +</t>
  </si>
  <si>
    <t xml:space="preserve">  MA_POST_POL1_REV.ival +</t>
  </si>
  <si>
    <t xml:space="preserve">  QMA_POST_POL2.selected.value</t>
  </si>
  <si>
    <t xml:space="preserve">   label="MA_ALIGN_MOVE"</t>
  </si>
  <si>
    <t xml:space="preserve">    &lt;title&gt;MA_ALIGN_MOVE&lt;/title&gt;</t>
  </si>
  <si>
    <t>MA_ALIGN_MOVE.val = MA_ALIGN_POST.ival - MA_ALIGN_PRE.ival</t>
  </si>
  <si>
    <t xml:space="preserve">   label="MA_PERSUASION_CAT"</t>
  </si>
  <si>
    <t xml:space="preserve">    &lt;title&gt;MA_PERSUASION_CAT&lt;/title&gt;</t>
  </si>
  <si>
    <t>m = MA_ALIGN_MOVE.ival</t>
  </si>
  <si>
    <t xml:space="preserve">  MA_PERSUASION_CAT.val = 1</t>
  </si>
  <si>
    <t xml:space="preserve">  MA_PERSUASION_CAT.val = 2</t>
  </si>
  <si>
    <t xml:space="preserve">  MA_PERSUASION_CAT.val = 3</t>
  </si>
  <si>
    <t xml:space="preserve">  MA_PERSUASION_CAT.val = 4</t>
  </si>
  <si>
    <t xml:space="preserve">   label="MA_COALITION_CAT"</t>
  </si>
  <si>
    <t xml:space="preserve">    &lt;title&gt;MA_COALITION_CAT&lt;/title&gt;</t>
  </si>
  <si>
    <t>v = MA_ALIGN_POST.ival</t>
  </si>
  <si>
    <t xml:space="preserve">  MA_COALITION_CAT.val = 1</t>
  </si>
  <si>
    <t xml:space="preserve">  MA_COALITION_CAT.val = 2</t>
  </si>
  <si>
    <t xml:space="preserve">  MA_COALITION_CAT.val = 3</t>
  </si>
  <si>
    <t xml:space="preserve">  MA_COALITION_CAT.val = 4</t>
  </si>
  <si>
    <t xml:space="preserve">  MA_COALITION_CAT.val = 5</t>
  </si>
  <si>
    <t xml:space="preserve">   label="MA_MOB_SCORE"</t>
  </si>
  <si>
    <t xml:space="preserve">    &lt;title&gt;MA_MOB_SCORE&lt;/title&gt;</t>
  </si>
  <si>
    <t>m1 = float(QMA_MOB.r1.val+1)</t>
  </si>
  <si>
    <t>m2 = float(QMA_MOB.r2.val+1)</t>
  </si>
  <si>
    <t>m3 = float(QMA_MOB.r3.val+1)</t>
  </si>
  <si>
    <t>m4 = float(QMA_MOB.r4.val+1)</t>
  </si>
  <si>
    <t>m5 = float(QMA_MOB.r5.val+1)</t>
  </si>
  <si>
    <t>MA_MOB_SCORE.val = float(((m1+m2+m3+m4+m5)-5.0)/20.0)</t>
  </si>
  <si>
    <t xml:space="preserve">   label="MA_ADV_SCORE"</t>
  </si>
  <si>
    <t xml:space="preserve">    &lt;title&gt;MA_ADV_SCORE&lt;/title&gt;</t>
  </si>
  <si>
    <t>if QMA_ADV_1.any:</t>
  </si>
  <si>
    <t xml:space="preserve">  vals.append(float(QMA_ADV_1.selected.value))</t>
  </si>
  <si>
    <t>if QMA_ADV_2.any:</t>
  </si>
  <si>
    <t xml:space="preserve">  vals.append(float(QMA_ADV_2.selected.value))</t>
  </si>
  <si>
    <t>MA_ADV_SCORE.val = 1.0 - ((adv - 1.0) / 6.0)</t>
  </si>
  <si>
    <t xml:space="preserve">   label="MA_MOBILIZATION"</t>
  </si>
  <si>
    <t xml:space="preserve">    &lt;title&gt;MA_MOBILIZATION&lt;/title&gt;</t>
  </si>
  <si>
    <t>MA_MOBILIZATION.val = (0.6*MA_MOB_SCORE.ival + 0.4*MA_ADV_SCORE.ival)</t>
  </si>
  <si>
    <t xml:space="preserve">   label="MA_ACT_CAT"</t>
  </si>
  <si>
    <t xml:space="preserve">    &lt;title&gt;MA_ACT_CAT&lt;/title&gt;</t>
  </si>
  <si>
    <t>v = MA_MOBILIZATION.ival</t>
  </si>
  <si>
    <t xml:space="preserve">  MA_ACT_CAT.val = 1</t>
  </si>
  <si>
    <t xml:space="preserve">  MA_ACT_CAT.val = 2</t>
  </si>
  <si>
    <t xml:space="preserve">  MA_ACT_CAT.val = 3</t>
  </si>
  <si>
    <t xml:space="preserve">  MA_ACT_CAT.val = 4</t>
  </si>
  <si>
    <t xml:space="preserve">   label="MA_INFLUENCE360"</t>
  </si>
  <si>
    <t xml:space="preserve">    &lt;title&gt;MA_INFLUENCE360&lt;/title&gt;</t>
  </si>
  <si>
    <t>MA_INFLUENCE360.val = float(QELECTED.c1.count)/19.0</t>
  </si>
  <si>
    <t xml:space="preserve">   label="MA_INF_CAT"</t>
  </si>
  <si>
    <t xml:space="preserve">    &lt;title&gt;INF_CAT&lt;/title&gt;</t>
  </si>
  <si>
    <t>v = MA_INFLUENCE360.ival</t>
  </si>
  <si>
    <t xml:space="preserve">  MA_INF_CAT.val = 1</t>
  </si>
  <si>
    <t xml:space="preserve">  MA_INF_CAT.val = 2</t>
  </si>
  <si>
    <t xml:space="preserve">  MA_INF_CAT.val = 3</t>
  </si>
  <si>
    <t xml:space="preserve">  MA_INF_CAT.val = 4</t>
  </si>
  <si>
    <t xml:space="preserve">   label="MA_ROI_CAT"</t>
  </si>
  <si>
    <t xml:space="preserve">    &lt;title&gt;MA_ROI_CAT&lt;/title&gt;</t>
  </si>
  <si>
    <t>MA_ROI_CAT.val = 1</t>
  </si>
  <si>
    <t>if (MA_PERSUASION_CAT.ival == 1 or</t>
  </si>
  <si>
    <t xml:space="preserve">    MA_COALITION_CAT.ival == 1):</t>
  </si>
  <si>
    <t xml:space="preserve">  MA_ROI_CAT.val = 1</t>
  </si>
  <si>
    <t>elif MA_PERSUASION_CAT.ival == 2:</t>
  </si>
  <si>
    <t xml:space="preserve">  MA_ROI_CAT.val = 2</t>
  </si>
  <si>
    <t>elif (MA_PERSUASION_CAT.ival ge 3 and</t>
  </si>
  <si>
    <t xml:space="preserve">      MA_COALITION_CAT.ival lt 3):</t>
  </si>
  <si>
    <t xml:space="preserve">  MA_ROI_CAT.val = 3</t>
  </si>
  <si>
    <t xml:space="preserve">      MA_COALITION_CAT.ival ge 3 and</t>
  </si>
  <si>
    <t xml:space="preserve">      MA_ACT_CAT.ival lt 3 and</t>
  </si>
  <si>
    <t xml:space="preserve">      MA_INF_CAT.ival lt 2):</t>
  </si>
  <si>
    <t xml:space="preserve">  MA_ROI_CAT.val = 4</t>
  </si>
  <si>
    <t>elif (MA_PERSUASION_CAT.ival == 3 and</t>
  </si>
  <si>
    <t xml:space="preserve">      (MA_ACT_CAT.ival ge 3 or MA_INF_CAT.ival ge 2)):</t>
  </si>
  <si>
    <t xml:space="preserve">  MA_ROI_CAT.val = 5</t>
  </si>
  <si>
    <t>elif (MA_PERSUASION_CAT.ival == 4 and</t>
  </si>
  <si>
    <t xml:space="preserve">  MA_ROI_CAT.val = 6</t>
  </si>
  <si>
    <t xml:space="preserve">   label="MA_ROI_CONT"</t>
  </si>
  <si>
    <t xml:space="preserve">    &lt;title&gt;ESI_MA_CONT&lt;/title&gt;</t>
  </si>
  <si>
    <t>MA_ROI_CONT.val = 0.0</t>
  </si>
  <si>
    <t>if MA_ALIGN_POST.ival ge 4:</t>
  </si>
  <si>
    <t xml:space="preserve">  align_norm = (MA_ALIGN_POST.ival - 1.0) / 6.0</t>
  </si>
  <si>
    <t>pers_mag = abs(MA_ALIGN_MOVE.ival)</t>
  </si>
  <si>
    <t>if (MA_PERSUASION_CAT.ival == 3 or</t>
  </si>
  <si>
    <t xml:space="preserve">    MA_PERSUASION_CAT.ival == 4):</t>
  </si>
  <si>
    <t xml:space="preserve">  MA_ROI_CONT.val = 100.0 * (</t>
  </si>
  <si>
    <t xml:space="preserve">      0.20 * MA_MOBILIZATION.ival +</t>
  </si>
  <si>
    <t xml:space="preserve">      0.10 * MA_INF_CAT.ival</t>
  </si>
  <si>
    <t>&lt;block label="ROI_GLP1_FINAL" cond="XRANDOMPICK.r3"&gt;</t>
  </si>
  <si>
    <t xml:space="preserve">   label="GLP1_PRE_ATT_1"</t>
  </si>
  <si>
    <t xml:space="preserve">    &lt;title&gt;GLP1_PRE_ATT_1&lt;/title&gt;</t>
  </si>
  <si>
    <t>raw = QPRE.r1.ival if QPRE.r1.ival is not None else 4</t>
  </si>
  <si>
    <t>rev = 8.0 - float(raw)</t>
  </si>
  <si>
    <t>GLP1_PRE_ATT_1.val = rev</t>
  </si>
  <si>
    <t xml:space="preserve">   label="GLP1_PRE_ATT_2"</t>
  </si>
  <si>
    <t xml:space="preserve">    &lt;title&gt;GLP1_PRE_ATT_2&lt;/title&gt;</t>
  </si>
  <si>
    <t>raw = QPRE.r2.ival if QPRE.r2.ival is not None else 4</t>
  </si>
  <si>
    <t>GLP1_PRE_ATT_2.val = float(raw)</t>
  </si>
  <si>
    <t xml:space="preserve">   label="GLP1_PRE_POL_1"</t>
  </si>
  <si>
    <t xml:space="preserve">    &lt;title&gt;GLP1_PRE_POL_1&lt;/title&gt;</t>
  </si>
  <si>
    <t>raw = QPRE.r3.ival if QPRE.r3.ival is not None else 4</t>
  </si>
  <si>
    <t>GLP1_PRE_POL_1.val = float(raw)</t>
  </si>
  <si>
    <t xml:space="preserve">   label="GLP1_PRE_POL_2"</t>
  </si>
  <si>
    <t xml:space="preserve">    &lt;title&gt;GLP1_PRE_POL_2&lt;/title&gt;</t>
  </si>
  <si>
    <t>raw = QPRE.r4.ival if QPRE.r4.ival is not None else 4</t>
  </si>
  <si>
    <t>GLP1_PRE_POL_2.val = float(raw)</t>
  </si>
  <si>
    <t xml:space="preserve">   label="GLP1_POST_ATT_1"</t>
  </si>
  <si>
    <t xml:space="preserve">    &lt;title&gt;GLP1_POST_ATT_1&lt;/title&gt;</t>
  </si>
  <si>
    <t>raw = QPOST.r1.ival if QPOST.r1.ival is not None else 4</t>
  </si>
  <si>
    <t>GLP1_POST_ATT_1.val = rev</t>
  </si>
  <si>
    <t xml:space="preserve">   label="GLP1_POST_ATT_2"</t>
  </si>
  <si>
    <t xml:space="preserve">    &lt;title&gt;GLP1_POST_ATT_2&lt;/title&gt;</t>
  </si>
  <si>
    <t>raw = QPOST.r2.ival if QPOST.r2.ival is not None else 4</t>
  </si>
  <si>
    <t>GLP1_POST_ATT_2.val = float(raw)</t>
  </si>
  <si>
    <t xml:space="preserve">   label="GLP1_POST_POL_1"</t>
  </si>
  <si>
    <t xml:space="preserve">    &lt;title&gt;GLP1_POST_POL_1&lt;/title&gt;</t>
  </si>
  <si>
    <t>raw = QPOST.r3.ival if QPOST.r3.ival is not None else 4</t>
  </si>
  <si>
    <t>GLP1_POST_POL_1.val = float(raw)</t>
  </si>
  <si>
    <t xml:space="preserve">   label="GLP1_POST_POL_2"</t>
  </si>
  <si>
    <t xml:space="preserve">    &lt;title&gt;GLP1_POST_POL_2&lt;/title&gt;</t>
  </si>
  <si>
    <t>raw = QPOST.r4.ival if QPOST.r4.ival is not None else 4</t>
  </si>
  <si>
    <t>GLP1_POST_POL_2.val = float(raw)</t>
  </si>
  <si>
    <t xml:space="preserve">   label="GLP1_PRE_SUPPORT_ATT"</t>
  </si>
  <si>
    <t xml:space="preserve">    &lt;title&gt;GLP1_PRE_SUPPORT_ATT&lt;/title&gt;</t>
  </si>
  <si>
    <t>a1 = GLP1_PRE_ATT_1.ival if GLP1_PRE_ATT_1.ival is not None else 4</t>
  </si>
  <si>
    <t>a2 = GLP1_PRE_ATT_2.ival if GLP1_PRE_ATT_2.ival is not None else 4</t>
  </si>
  <si>
    <t>GLP1_PRE_SUPPORT_ATT.val = (float(a1) + float(a2)) / 2.0</t>
  </si>
  <si>
    <t xml:space="preserve">   label="GLP1_SUPPORT_SIG"</t>
  </si>
  <si>
    <t xml:space="preserve">    &lt;title&gt;GLP1_SUPPORT_SIG&lt;/title&gt;</t>
  </si>
  <si>
    <t>att = GLP1_PRE_SUPPORT_ATT.ival if GLP1_PRE_SUPPORT_ATT.ival is not None else 4</t>
  </si>
  <si>
    <t>sig = 1.0 / (1.0 + math.exp(-(float(att) - 5.0)/1.0))</t>
  </si>
  <si>
    <t>GLP1_SUPPORT_SIG.val = round(sig,4)</t>
  </si>
  <si>
    <t xml:space="preserve">   label="GLP1_SUPPORT_BIN"</t>
  </si>
  <si>
    <t xml:space="preserve">    &lt;title&gt;GLP1_SUPPORT_BIN&lt;/title&gt;</t>
  </si>
  <si>
    <t>GLP1_SUPPORT_BIN.val = 1 if (float(a1) &amp;gt;= 5 and float(a2) &amp;gt;= 5) else 0</t>
  </si>
  <si>
    <t xml:space="preserve">   label="GLP1_BASE_SUPPORT"</t>
  </si>
  <si>
    <t xml:space="preserve">    &lt;title&gt;GLP1_BASE_SUPPORT&lt;/title&gt;</t>
  </si>
  <si>
    <t>sig = float(GLP1_SUPPORT_SIG.ival) if GLP1_SUPPORT_SIG.ival is not None else 0.5</t>
  </si>
  <si>
    <t>bn  = float(GLP1_SUPPORT_BIN.ival) if GLP1_SUPPORT_BIN.ival is not None else 0</t>
  </si>
  <si>
    <t>GLP1_BASE_SUPPORT.val = round((sig + bn)/2.0,4)</t>
  </si>
  <si>
    <t xml:space="preserve">   label="GLP1_ATT_MOVE_1"</t>
  </si>
  <si>
    <t xml:space="preserve">    &lt;title&gt;GLP1_ATT_MOVE_1&lt;/title&gt;</t>
  </si>
  <si>
    <t>pre = GLP1_PRE_ATT_1.ival if GLP1_PRE_ATT_1.ival is not None else 4</t>
  </si>
  <si>
    <t>post = GLP1_POST_ATT_1.ival if GLP1_POST_ATT_1.ival is not None else 4</t>
  </si>
  <si>
    <t>GLP1_ATT_MOVE_1.val = round(0.5 + ((float(post) - float(pre)) / 14.0),4)</t>
  </si>
  <si>
    <t xml:space="preserve">   label="GLP1_ATT_MOVE_2"</t>
  </si>
  <si>
    <t xml:space="preserve">    &lt;title&gt;GLP1_ATT_MOVE_2&lt;/title&gt;</t>
  </si>
  <si>
    <t>pre = GLP1_PRE_ATT_2.ival if GLP1_PRE_ATT_2.ival is not None else 4</t>
  </si>
  <si>
    <t>post = GLP1_POST_ATT_2.ival if GLP1_POST_ATT_2.ival is not None else 4</t>
  </si>
  <si>
    <t>GLP1_ATT_MOVE_2.val = round(0.5 + ((float(post) - float(pre)) / 14.0),4)</t>
  </si>
  <si>
    <t xml:space="preserve">   label="GLP1_POL_MOVE_1"</t>
  </si>
  <si>
    <t xml:space="preserve">    &lt;title&gt;GLP1_POL_MOVE_1&lt;/title&gt;</t>
  </si>
  <si>
    <t>pre = GLP1_PRE_POL_1.ival if GLP1_PRE_POL_1.ival is not None else 4</t>
  </si>
  <si>
    <t>post = GLP1_POST_POL_1.ival if GLP1_POST_POL_1.ival is not None else 4</t>
  </si>
  <si>
    <t>GLP1_POL_MOVE_1.val = round(0.5 + ((float(post) - float(pre)) / 14.0),4)</t>
  </si>
  <si>
    <t xml:space="preserve">   label="GLP1_POL_MOVE_2"</t>
  </si>
  <si>
    <t xml:space="preserve">    &lt;title&gt;GLP1_POL_MOVE_2&lt;/title&gt;</t>
  </si>
  <si>
    <t>pre = GLP1_PRE_POL_2.ival if GLP1_PRE_POL_2.ival is not None else 4</t>
  </si>
  <si>
    <t>post = GLP1_POST_POL_2.ival if GLP1_POST_POL_2.ival is not None else 4</t>
  </si>
  <si>
    <t>GLP1_POL_MOVE_2.val = round(0.5 + ((float(post) - float(pre)) / 14.0),4)</t>
  </si>
  <si>
    <t xml:space="preserve">   label="GLP1_PERSUADABILITY"</t>
  </si>
  <si>
    <t xml:space="preserve">    &lt;title&gt;GLP1_PERSUADABILITY&lt;/title&gt;</t>
  </si>
  <si>
    <t>m1 = GLP1_ATT_MOVE_1.ival if GLP1_ATT_MOVE_1.ival is not None else 0.5</t>
  </si>
  <si>
    <t>m2 = GLP1_ATT_MOVE_2.ival if GLP1_ATT_MOVE_2.ival is not None else 0.5</t>
  </si>
  <si>
    <t>m3 = GLP1_POL_MOVE_1.ival if GLP1_POL_MOVE_1.ival is not None else 0.5</t>
  </si>
  <si>
    <t>m4 = GLP1_POL_MOVE_2.ival if GLP1_POL_MOVE_2.ival is not None else 0.5</t>
  </si>
  <si>
    <t>GLP1_PERSUADABILITY.val = round((float(m1)+float(m2)+float(m3)+float(m4))/4.0,4)</t>
  </si>
  <si>
    <t xml:space="preserve">   label="GLP1_MOB_SCORE"</t>
  </si>
  <si>
    <t xml:space="preserve">    &lt;title&gt;GLP1_MOB_SCORE&lt;/title&gt;</t>
  </si>
  <si>
    <t>m1 = float(QMOB.r1.ival) if QMOB.r1.ival is not None else 4</t>
  </si>
  <si>
    <t>m2 = float(QMOB.r2.ival) if QMOB.r2.ival is not None else 4</t>
  </si>
  <si>
    <t>m3 = float(QMOB.r3.ival) if QMOB.r3.ival is not None else 4</t>
  </si>
  <si>
    <t>m4 = float(QMOB.r4.ival) if QMOB.r4.ival is not None else 4</t>
  </si>
  <si>
    <t>m5 = float(QMOB.r5.ival) if QMOB.r5.ival is not None else 4</t>
  </si>
  <si>
    <t>GLP1_MOB_SCORE.val = round(((m1+m2+m3+m4+m5)-5.0)/20.0,4)</t>
  </si>
  <si>
    <t xml:space="preserve">   label="GLP1_ADV_SCORE"</t>
  </si>
  <si>
    <t xml:space="preserve">    &lt;title&gt;GLP1_ADV_SCORE&lt;/title&gt;</t>
  </si>
  <si>
    <t>if QPETITION.ival is not None:</t>
  </si>
  <si>
    <t xml:space="preserve">  a1 = float(QPETITION.ival)</t>
  </si>
  <si>
    <t xml:space="preserve">  a1 = 3.0</t>
  </si>
  <si>
    <t>if QEVENT.ival is not None:</t>
  </si>
  <si>
    <t xml:space="preserve">  a2 = float(QEVENT.ival)</t>
  </si>
  <si>
    <t xml:space="preserve">  a2 = 3.0</t>
  </si>
  <si>
    <t>adv = (a1 + a2)/2.0</t>
  </si>
  <si>
    <t>GLP1_ADV_SCORE.val = round(1.0 - ((adv - 1.0)/4.0),4)</t>
  </si>
  <si>
    <t xml:space="preserve">   label="GLP1_MOBILIZATION"</t>
  </si>
  <si>
    <t xml:space="preserve">    &lt;title&gt;GLP1_MOBILIZATION&lt;/title&gt;</t>
  </si>
  <si>
    <t>mob = float(GLP1_MOB_SCORE.ival) if GLP1_MOB_SCORE.ival is not None else 0.5</t>
  </si>
  <si>
    <t>adv = float(GLP1_ADV_SCORE.ival) if GLP1_ADV_SCORE.ival is not None else 0.5</t>
  </si>
  <si>
    <t>GLP1_MOBILIZATION.val = round((0.6*mob + 0.4*adv),4)</t>
  </si>
  <si>
    <t xml:space="preserve">   label="GLP1_INFLUENCE360"</t>
  </si>
  <si>
    <t xml:space="preserve">    &lt;title&gt;GLP1_INFLUENCE360&lt;/title&gt;</t>
  </si>
  <si>
    <t>vals = [</t>
  </si>
  <si>
    <t xml:space="preserve">  GLP_QELECTED.r1.val, GLP_QELECTED.r2.val, GLP_QELECTED.r3.val, GLP_QELECTED.r4.val, GLP_QELECTED.r5.val,</t>
  </si>
  <si>
    <t xml:space="preserve">  GLP_QELECTED.r6.val, GLP_QELECTED.r7.val, GLP_QELECTED.r8.val, GLP_QELECTED.r9.val, GLP_QELECTED.r10.val,</t>
  </si>
  <si>
    <t xml:space="preserve">  GLP_QELECTED.r11.val, GLP_QELECTED.r12.val, GLP_QELECTED.r13.val, GLP_QELECTED.r14.val, GLP_QELECTED.r15.val,</t>
  </si>
  <si>
    <t xml:space="preserve">  GLP_QELECTED.r16.val, GLP_QELECTED.r17.val, GLP_QELECTED.r18.val, GLP_QELECTED.r19.val</t>
  </si>
  <si>
    <t>GLP1_INFLUENCE360.val = round(sum(vals) / 19.0, 4)</t>
  </si>
  <si>
    <t xml:space="preserve">   label="ROI_GLP1"</t>
  </si>
  <si>
    <t xml:space="preserve">    &lt;title&gt;ROI_GLP1&lt;/title&gt;</t>
  </si>
  <si>
    <t>conv = float(GLP1_PERSUADABILITY.ival) if GLP1_PERSUADABILITY.ival is not None else 0.5</t>
  </si>
  <si>
    <t>sup  = float(GLP1_BASE_SUPPORT.ival)    if GLP1_BASE_SUPPORT.ival    is not None else 0.5</t>
  </si>
  <si>
    <t>conv_norm = (conv + sup)/2.0</t>
  </si>
  <si>
    <t>mob = float(GLP1_MOBILIZATION.ival)    if GLP1_MOBILIZATION.ival    is not None else 0.5</t>
  </si>
  <si>
    <t>inf = float(GLP1_INFLUENCE360.ival)    if GLP1_INFLUENCE360.ival    is not None else 0.0</t>
  </si>
  <si>
    <t>eng = (mob + inf)/2.0</t>
  </si>
  <si>
    <t>ROI_GLP1.val = round((2.0 * conv_norm + eng) / 3.0,4)</t>
  </si>
  <si>
    <t xml:space="preserve">   label="XFIELD_DATE_NUM"</t>
  </si>
  <si>
    <t xml:space="preserve">    &lt;title&gt;DATE COMPLETED&lt;/title&gt;</t>
  </si>
  <si>
    <t>from datetime import datetime</t>
  </si>
  <si>
    <t>XFIELD_DATE_NUM.val = float(datetime.utcnow().strftime('%Y%m%d'))</t>
  </si>
  <si>
    <t>&lt;/survey&gt;</t>
  </si>
  <si>
    <t>Checkpoint</t>
  </si>
  <si>
    <t>Condition</t>
  </si>
  <si>
    <t>Action</t>
  </si>
  <si>
    <t>Source</t>
  </si>
  <si>
    <t>TERM: Not registered</t>
  </si>
  <si>
    <t>QVOTE</t>
  </si>
  <si>
    <t>QVOTE=2 (No)</t>
  </si>
  <si>
    <t>TERMINATE</t>
  </si>
  <si>
    <t>System Outline Table 1</t>
  </si>
  <si>
    <t>✅</t>
  </si>
  <si>
    <t>TERM: ZIP PNTA</t>
  </si>
  <si>
    <t>QZIP</t>
  </si>
  <si>
    <t>QZIP=00000 (PNTA)</t>
  </si>
  <si>
    <t>Master Map</t>
  </si>
  <si>
    <t>⚠️ Confirm</t>
  </si>
  <si>
    <t>TERM: Age PNTA</t>
  </si>
  <si>
    <t>QAGE</t>
  </si>
  <si>
    <t>QAGE=00 (PNTA)</t>
  </si>
  <si>
    <t>TERM: Gender PNTA</t>
  </si>
  <si>
    <t>QGENDER</t>
  </si>
  <si>
    <t>QGENDER=PNTA</t>
  </si>
  <si>
    <t>TERM: Didnt vote</t>
  </si>
  <si>
    <t>QBALLOT</t>
  </si>
  <si>
    <t>VOTE24="I did not have the chance to vote"</t>
  </si>
  <si>
    <t>System Outline Table 5</t>
  </si>
  <si>
    <t>ROUTE: Typing model</t>
  </si>
  <si>
    <t>VOTE24=1 (Trump)</t>
  </si>
  <si>
    <t>GOP TYPING MODEL</t>
  </si>
  <si>
    <t>VOTE24=2 (Harris)</t>
  </si>
  <si>
    <t>DEM TYPING MODEL</t>
  </si>
  <si>
    <t>VOTE24=3 (Someone else)</t>
  </si>
  <si>
    <t>Use PARTYID to determine</t>
  </si>
  <si>
    <t>COND: Strong/weak</t>
  </si>
  <si>
    <t>QPARTY2</t>
  </si>
  <si>
    <t>QPARTY1=R or D</t>
  </si>
  <si>
    <t>Show QPARTY2</t>
  </si>
  <si>
    <t>System Outline Table 6</t>
  </si>
  <si>
    <t>COND: Lean party</t>
  </si>
  <si>
    <t>QPARTY3</t>
  </si>
  <si>
    <t>Show QPARTY3</t>
  </si>
  <si>
    <t>TERM: True independent</t>
  </si>
  <si>
    <t>VOTE24=3 AND PARTYID=4 (Neither)</t>
  </si>
  <si>
    <t>System Outline Table 6 R13</t>
  </si>
  <si>
    <t>ROUTE: Lean→typing</t>
  </si>
  <si>
    <t>VOTE24=3 AND PARTYID=3 (Lean R)</t>
  </si>
  <si>
    <t>VOTE24=3 AND PARTYID=5 (Lean D)</t>
  </si>
  <si>
    <t>ROUTER</t>
  </si>
  <si>
    <t>All</t>
  </si>
  <si>
    <t>Score = study_weight × segment_weight
Highest score → assigned block</t>
  </si>
  <si>
    <t>Route to study block</t>
  </si>
  <si>
    <t>System Outline Table 12 R19</t>
  </si>
  <si>
    <t>COND: MAHA sub-Qs</t>
  </si>
  <si>
    <t>MAHA_AWARE</t>
  </si>
  <si>
    <t>Show PERCEPTION, IMP, IDENTITY</t>
  </si>
  <si>
    <t>System Outline Tables 55-57</t>
  </si>
  <si>
    <t>COND: EVANGEL</t>
  </si>
  <si>
    <t>REL</t>
  </si>
  <si>
    <t>Show EVANGEL</t>
  </si>
  <si>
    <t>System Outline Table 52</t>
  </si>
  <si>
    <t>COND: EMAIL/PHONE</t>
  </si>
  <si>
    <t>OPTIN</t>
  </si>
  <si>
    <t>Show EMAIL, PHONE, CONSENT</t>
  </si>
  <si>
    <t>System Outline para 183</t>
  </si>
  <si>
    <t>NOTE: Critic rotation</t>
  </si>
  <si>
    <t>CRITIC_1-15</t>
  </si>
  <si>
    <t>Block A before messages; Block B after</t>
  </si>
  <si>
    <t>Rotate position A↔B</t>
  </si>
  <si>
    <t>System Outline Table 25 header, para 71/138</t>
  </si>
  <si>
    <t>NOTE: Post mirrors pre</t>
  </si>
  <si>
    <t>Same item order as XX_PRE</t>
  </si>
  <si>
    <t>Lock order — no analyst config</t>
  </si>
  <si>
    <t>System Outline para 120</t>
  </si>
  <si>
    <t>Render Needed</t>
  </si>
  <si>
    <t>Decipher Component</t>
  </si>
  <si>
    <t>Covers Variables</t>
  </si>
  <si>
    <t>Priority</t>
  </si>
  <si>
    <t>Assigned To</t>
  </si>
  <si>
    <t>1a</t>
  </si>
  <si>
    <t>atmtable.6 radius:50%</t>
  </si>
  <si>
    <t>radio + atmtable.6</t>
  </si>
  <si>
    <t>P1</t>
  </si>
  <si>
    <t>❌</t>
  </si>
  <si>
    <t>Jeremy</t>
  </si>
  <si>
    <t>Round buttons</t>
  </si>
  <si>
    <t>1b</t>
  </si>
  <si>
    <t>atmtable.6 radius:30px</t>
  </si>
  <si>
    <t>QPARTY2, INS1, INS3, PR1, D2, VET, UNION, EVANGEL, P1, P2, P2N, OPTIN</t>
  </si>
  <si>
    <t>Pill buttons — highest volume pattern</t>
  </si>
  <si>
    <t>1c</t>
  </si>
  <si>
    <t>atmtable.6 width:100%</t>
  </si>
  <si>
    <t>INS2, EDU, REL, D23, D3</t>
  </si>
  <si>
    <t>Full-width buttons</t>
  </si>
  <si>
    <t>1d</t>
  </si>
  <si>
    <t>atmtable.6 row_dividers</t>
  </si>
  <si>
    <t>CRITIC_1-15, A1-A3, TRUST_X</t>
  </si>
  <si>
    <t>Multi-row with separators</t>
  </si>
  <si>
    <t>1e</t>
  </si>
  <si>
    <t>atmtable.6 col_legend_text</t>
  </si>
  <si>
    <t>VECTOR_1-3, XX_AWARE, XX_IMP, MOB_1-5</t>
  </si>
  <si>
    <t>Scale endpoint anchor labels</t>
  </si>
  <si>
    <t>1f</t>
  </si>
  <si>
    <t>atmtable.6 images in col</t>
  </si>
  <si>
    <t>QGENDER, QPARTY1, QPARTY3</t>
  </si>
  <si>
    <t>Icon/image inside button</t>
  </si>
  <si>
    <t>2</t>
  </si>
  <si>
    <t>atmtable.6 checkbox</t>
  </si>
  <si>
    <t>checkbox + atmtable.6</t>
  </si>
  <si>
    <t>INF_types, INF2_1-5, INF_RECENT, CONSENT</t>
  </si>
  <si>
    <t>Multi-select w/ exclusive None</t>
  </si>
  <si>
    <t>3</t>
  </si>
  <si>
    <t>Decipher maxdiff</t>
  </si>
  <si>
    <t>MD_DEM, MD_GOP, MSG_MAXDIFF</t>
  </si>
  <si>
    <t>Native module — NOT manual radios</t>
  </si>
  <si>
    <t>row_dividers + custom btn_css</t>
  </si>
  <si>
    <t>DIGITBOXES + JS</t>
  </si>
  <si>
    <t>text + custom JS</t>
  </si>
  <si>
    <t>QZIP, QAGE</t>
  </si>
  <si>
    <t>Auto-advance digit input</t>
  </si>
  <si>
    <t>6a</t>
  </si>
  <si>
    <t>HTML intro page</t>
  </si>
  <si>
    <t>INTRO, section pages</t>
  </si>
  <si>
    <t>Logo + description + continue</t>
  </si>
  <si>
    <t>6b</t>
  </si>
  <si>
    <t>HTML callout block</t>
  </si>
  <si>
    <t>Engagement callouts</t>
  </si>
  <si>
    <t>P3</t>
  </si>
  <si>
    <t>"Why we ask" / "Fun fact"</t>
  </si>
  <si>
    <t>6c</t>
  </si>
  <si>
    <t>Header/Footer</t>
  </si>
  <si>
    <t>TBD</t>
  </si>
  <si>
    <t>PRISM glyph + footer</t>
  </si>
  <si>
    <t>Need Decipher mechanism</t>
  </si>
  <si>
    <t>Validation/error state</t>
  </si>
  <si>
    <t>native error</t>
  </si>
  <si>
    <t>All required questions</t>
  </si>
  <si>
    <t>Error message markup + classes</t>
  </si>
  <si>
    <t>8</t>
  </si>
  <si>
    <t>PNTA toggle</t>
  </si>
  <si>
    <t>All questions with PNTA</t>
  </si>
  <si>
    <t>How does noanswer render?</t>
  </si>
  <si>
    <t>9</t>
  </si>
  <si>
    <t>Progress bar + nav</t>
  </si>
  <si>
    <t>native nav</t>
  </si>
  <si>
    <t>Continue/Back buttons, progress</t>
  </si>
  <si>
    <t>Multi-page survey nav area</t>
  </si>
  <si>
    <t>Column</t>
  </si>
  <si>
    <t>segment_id</t>
  </si>
  <si>
    <t>study_code</t>
  </si>
  <si>
    <t>description</t>
  </si>
  <si>
    <t>n_target</t>
  </si>
  <si>
    <t>field_start</t>
  </si>
  <si>
    <t>field_end</t>
  </si>
  <si>
    <t>status</t>
  </si>
  <si>
    <t>has_full_roi</t>
  </si>
  <si>
    <t>Table: respondent_roi</t>
  </si>
  <si>
    <t>resp_id</t>
  </si>
  <si>
    <t>persuasion</t>
  </si>
  <si>
    <t>coalition</t>
  </si>
  <si>
    <t>activation</t>
  </si>
  <si>
    <t>roi_total</t>
  </si>
  <si>
    <t xml:space="preserve">output from the typing tool? </t>
  </si>
  <si>
    <t>softmax scores</t>
  </si>
  <si>
    <t>top, 2nd</t>
  </si>
  <si>
    <t>confidence score&gt;</t>
  </si>
  <si>
    <t xml:space="preserve">&lt;div id="question_R1A_ROUND" class="question radio label_R1A_ROUND   noRows sq-atmtable"&gt;
&lt;h1 title="question" class="question-text" id="question_text_R1A_ROUND"&gt;Are you registered to vote?&lt;/h1&gt;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colCount-3"&gt;
&lt;th id="R1A_ROUND_c1" class="cell nonempty legend col-legend col-legend-top col-legend-basic  mobile border-collapse col-legend   col-legend-top" style="width: 33.3333%;"&gt;
    &lt;div class="force-width" style="width:276px"&gt;&lt;/div&gt;&lt;/th&gt;&lt;th id="R1A_ROUND_c2" class="cell nonempty legend col-legend col-legend-top col-legend-basic  mobile border-collapse col-legend   col-legend-top" style="width: 33.3333%;"&gt;
    &lt;div class="force-width" style="width:276px"&gt;&lt;/div&gt;&lt;/th&gt;&lt;th id="R1A_ROUND_c3" class="cell nonempty legend col-legend col-legend-top col-legend-basic  mobile border-collapse col-legend   col-legend-top" style="width: 33.3333%;"&gt;
    &lt;div class="force-width" style="width:276px"&gt;&lt;/div&gt;&lt;/th&gt;
&lt;/tr&gt;
&lt;tr class="row row-elements even colCount-3"&gt;
&lt;td headers="R1A_ROUND_c1" class="sq-atmtable-btn cell nonempty element clickable  mobile border-collapse groupingRows   clickableCell" style="width: 33.3333%;"&gt;
          &lt;label class="clickable"&gt;
                    YES
        &lt;br&gt;
&lt;input type="radio" name="ans14630.0.0" value="0" id="ans14630.0.0"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headers="R1A_ROUND_c2" class="sq-atmtable-btn cell nonempty element clickable  mobile border-collapse groupingRows   clickableCell" style="width: 33.3333%;"&gt;
          &lt;label class="clickable"&gt;
                    NO
        &lt;br&gt;
&lt;input type="radio" name="ans14630.0.0" value="1" id="ans14630.1.0"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headers="R1A_ROUND_c3" class="sq-atmtable-btn cell nonempty element clickable  mobile border-collapse groupingRows   clickableCell" style="width: 33.3333%;"&gt;
          &lt;label class="clickable"&gt;
                    Not Sure
        &lt;br&gt;
&lt;input type="radio" name="ans14630.0.0" value="2" id="ans14630.2.0"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
&lt;/table&gt;
&lt;!-- /.grid --&gt;
&lt;/div&gt;
&lt;!-- /.answers --&gt;
&lt;/div&gt;
</t>
  </si>
  <si>
    <t xml:space="preserve">&lt;div id="question_R1B_PILL" class="question radio label_R1B_PILL   noRows sq-atmtable"&gt;
&lt;h1 title="question" class="question-text" id="question_text_R1B_PILL"&gt;Are you currently covered by any form of health insurance?&lt;/h1&gt;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colCount-3"&gt;
&lt;th id="R1B_PILL_c1" class="cell nonempty legend col-legend col-legend-top col-legend-basic  mobile border-collapse col-legend   col-legend-top" style="width: 33.3333%;"&gt;
    &lt;div class="force-width" style="width:276px"&gt;&lt;/div&gt;&lt;/th&gt;&lt;th id="R1B_PILL_c2" class="cell nonempty legend col-legend col-legend-top col-legend-basic  mobile border-collapse col-legend   col-legend-top" style="width: 33.3333%;"&gt;
    &lt;div class="force-width" style="width:276px"&gt;&lt;/div&gt;&lt;/th&gt;&lt;th id="R1B_PILL_c99" class="cell nonempty legend col-legend col-legend-top col-legend-basic  mobile border-collapse col-legend   col-legend-top" style="width: 33.3333%;"&gt;
    &lt;div class="force-width" style="width:276px"&gt;&lt;/div&gt;&lt;/th&gt;
&lt;/tr&gt;
&lt;tr class="row row-elements even colCount-3"&gt;
&lt;td headers="R1B_PILL_c1" class="sq-atmtable-btn cell nonempty element clickable  mobile border-collapse groupingRows   clickableCell" style="width: 33.3333%;"&gt;
          &lt;label class="clickable"&gt;
                    Yes (Insured)
        &lt;br&gt;
&lt;input type="radio" name="ans14659.0.0" value="0" id="ans14659.0.0"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headers="R1B_PILL_c2" class="sq-atmtable-btn cell nonempty element clickable  mobile border-collapse groupingRows   clickableCell" style="width: 33.3333%;"&gt;
          &lt;label class="clickable"&gt;
                    No (Uninsured)
        &lt;br&gt;
&lt;input type="radio" name="ans14659.0.0" value="1" id="ans14659.1.0"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headers="R1B_PILL_c99" class="sq-atmtable-btn cell nonempty element clickable  mobile border-collapse groupingRows   clickableCell" style="width: 33.3333%;"&gt;
          &lt;label class="clickable"&gt;
                    Prefer not to answer
        &lt;br&gt;
&lt;input type="radio" name="ans14659.0.0" value="2" id="ans14659.2.0"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
&lt;/table&gt;
&lt;!-- /.grid --&gt;
&lt;/div&gt;
&lt;!-- /.answers --&gt;
&lt;/div&gt;
</t>
  </si>
  <si>
    <t xml:space="preserve">  
&lt;div id="question_R1C_FULL" class="question radio label_R1C_FULL   noRows sq-atmtable"&gt;
&lt;h1 title="question" class="question-text" id="question_text_R1C_FULL"&gt;What is the main type of health insurance coverage that you currently have?&lt;/h1&gt;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colCount-7"&gt;
&lt;th id="R1C_FULL_c1" class="cell nonempty legend col-legend col-legend-top col-legend-basic  mobile border-collapse col-legend   col-legend-top" style="width: 14.2857%;"&gt;
    &lt;div class="force-width" style="width:112px"&gt;&lt;/div&gt;&lt;/th&gt;&lt;th id="R1C_FULL_c2" class="cell nonempty legend col-legend col-legend-top col-legend-basic  mobile border-collapse col-legend   col-legend-top" style="width: 14.2857%;"&gt;
    &lt;div class="force-width" style="width:112px"&gt;&lt;/div&gt;&lt;/th&gt;&lt;th id="R1C_FULL_c3" class="cell nonempty legend col-legend col-legend-top col-legend-basic  mobile border-collapse col-legend   col-legend-top" style="width: 14.2857%;"&gt;
    &lt;div class="force-width" style="width:112px"&gt;&lt;/div&gt;&lt;/th&gt;&lt;th id="R1C_FULL_c4" class="cell nonempty legend col-legend col-legend-top col-legend-basic  mobile border-collapse col-legend   col-legend-top" style="width: 14.2857%;"&gt;
    &lt;div class="force-width" style="width:112px"&gt;&lt;/div&gt;&lt;/th&gt;&lt;th id="R1C_FULL_c5" class="cell nonempty legend col-legend col-legend-top col-legend-basic  mobile border-collapse col-legend   col-legend-top" style="width: 14.2857%;"&gt;
    &lt;div class="force-width" style="width:112px"&gt;&lt;/div&gt;&lt;/th&gt;&lt;th id="R1C_FULL_c6" class="cell nonempty legend col-legend col-legend-top col-legend-basic  mobile border-collapse col-legend   col-legend-top" style="width: 14.2857%;"&gt;
    &lt;div class="force-width" style="width:112px"&gt;&lt;/div&gt;&lt;/th&gt;&lt;th id="R1C_FULL_c99" class="cell nonempty legend col-legend col-legend-top col-legend-basic  mobile border-collapse col-legend   col-legend-top" style="width: 14.2857%;"&gt;
    &lt;div class="force-width" style="width:112px"&gt;&lt;/div&gt;&lt;/th&gt;
&lt;/tr&gt;
&lt;tr class="row row-elements even colCount-7"&gt;
&lt;td headers="R1C_FULL_c1" class="sq-atmtable-btn cell nonempty element clickable  mobile border-collapse groupingRows   clickableCell" style="width: 14.2857%;"&gt;
          &lt;label class="clickable"&gt;
                    A plan through my employer
        &lt;br&gt;
&lt;input type="radio" name="ans14678.0.0" value="0" id="ans14678.0.0"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headers="R1C_FULL_c2" class="sq-atmtable-btn cell nonempty element clickable  mobile border-collapse groupingRows   clickableCell" style="width: 14.2857%;"&gt;
          &lt;label class="clickable"&gt;
                    A plan through my spouse's employer
        &lt;br&gt;
&lt;input type="radio" name="ans14678.0.0" value="1" id="ans14678.1.0"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headers="R1C_FULL_c3" class="sq-atmtable-btn cell nonempty element clickable  mobile border-collapse groupingRows   clickableCell" style="width: 14.2857%;"&gt;
          &lt;label class="clickable"&gt;
                    A plan purchased directly from an insurance company
        &lt;br&gt;
&lt;input type="radio" name="ans14678.0.0" value="2" id="ans14678.2.0"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headers="R1C_FULL_c4" class="sq-atmtable-btn cell nonempty element clickable  mobile border-collapse groupingRows   clickableCell" style="width: 14.2857%;"&gt;
          &lt;label class="clickable"&gt;
                    Medicare
        &lt;br&gt;
&lt;input type="radio" name="ans14678.0.0" value="3" id="ans14678.3.0"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headers="R1C_FULL_c5" class="sq-atmtable-btn cell nonempty element clickable  mobile border-collapse groupingRows   clickableCell" style="width: 14.2857%;"&gt;
          &lt;label class="clickable"&gt;
                    Medicaid
        &lt;br&gt;
&lt;input type="radio" name="ans14678.0.0" value="4" id="ans14678.4.0"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headers="R1C_FULL_c6" class="sq-atmtable-btn cell nonempty element clickable  mobile border-collapse groupingRows   clickableCell" style="width: 14.2857%;"&gt;
          &lt;label class="clickable"&gt;
                    Other
        &lt;br&gt;
&lt;input type="radio" name="ans14678.0.0" value="5" id="ans14678.5.0"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headers="R1C_FULL_c99" class="sq-atmtable-btn cell nonempty element clickable  mobile border-collapse groupingRows   clickableCell" style="width: 14.2857%;"&gt;
          &lt;label class="clickable"&gt;
                    Don't Know/Not sure
        &lt;br&gt;
&lt;input type="radio" name="ans14678.0.0" value="6" id="ans14678.6.0"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
&lt;/table&gt;
&lt;!-- /.grid --&gt;
&lt;/div&gt;
&lt;!-- /.answers --&gt;
&lt;/div&gt;
</t>
  </si>
  <si>
    <t xml:space="preserve">&lt;div id="question_R1D_DIVIDERS" class="question radio label_R1D_DIVIDERS   sq-atmtable"&gt;
&lt;h1 title="question" class="question-text" id="question_text_R1D_DIVIDERS"&gt;How often do you do each of the following on social media?&lt;/h1&gt;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colCount-5"&gt;
&lt;td class="cell empty empty-left empty-top unused mobile border-collapse"&gt;&lt;/td&gt;
&lt;th id="R1D_DIVIDERS_c1" class="cell nonempty legend col-legend col-legend-top col-legend-basic legend-level-1 mobile border-collapse col-legend   col-legend-top" style="width: 20%;"&gt;
    &lt;div class="force-width" style="width:146px"&gt;&lt;/div&gt;&lt;/th&gt;&lt;th id="R1D_DIVIDERS_c2" class="cell nonempty legend col-legend col-legend-top col-legend-basic legend-level-1 mobile border-collapse col-legend   col-legend-top" style="width: 20%;"&gt;
    &lt;div class="force-width" style="width:146px"&gt;&lt;/div&gt;&lt;/th&gt;&lt;th id="R1D_DIVIDERS_c3" class="cell nonempty legend col-legend col-legend-top col-legend-basic legend-level-1 mobile border-collapse col-legend   col-legend-top" style="width: 20%;"&gt;
    &lt;div class="force-width" style="width:146px"&gt;&lt;/div&gt;&lt;/th&gt;&lt;th id="R1D_DIVIDERS_c4" class="cell nonempty legend col-legend col-legend-top col-legend-basic legend-level-1 mobile border-collapse col-legend   col-legend-top" style="width: 20%;"&gt;
    &lt;div class="force-width" style="width:146px"&gt;&lt;/div&gt;&lt;/th&gt;&lt;th id="R1D_DIVIDERS_c5" class="cell nonempty legend col-legend col-legend-top col-legend-basic legend-level-1 mobile border-collapse col-legend   col-legend-top" style="width: 20%;"&gt;
    &lt;div class="force-width" style="width:146px"&gt;&lt;/div&gt;&lt;/th&gt;
&lt;/tr&gt;
&lt;tr class="row row-elements even colCount-5"&gt;
            &lt;th scope="row" class="cell nonempty legend row-legend row-legend-left row-legend-basic legend-level-1 mobile border-collapse  " style="width: 16.6667%;"&gt;
Share content from others
&lt;/th&gt;
&lt;td headers="R1D_DIVIDERS_c1" class="sq-atmtable-btn cell nonempty element clickable indent-1 mobile border-collapse groupingRows   clickableCell" style="width: 16.6667%;"&gt;
          &lt;label class="clickable"&gt;
                    Never
        &lt;br&gt;
&lt;input type="radio" name="ans14701.0.0" value="0" id="ans14701.0.0"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headers="R1D_DIVIDERS_c2" class="sq-atmtable-btn cell nonempty element clickable indent-1 mobile border-collapse groupingRows   clickableCell" style="width: 16.6667%;"&gt;
          &lt;label class="clickable"&gt;
                    Rarely
        &lt;br&gt;
&lt;input type="radio" name="ans14701.0.0" value="1" id="ans14701.1.0"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headers="R1D_DIVIDERS_c3" class="sq-atmtable-btn cell nonempty element clickable indent-1 mobile border-collapse groupingRows   clickableCell" style="width: 16.6667%;"&gt;
          &lt;label class="clickable"&gt;
                    Sometimes
        &lt;br&gt;
&lt;input type="radio" name="ans14701.0.0" value="2" id="ans14701.2.0"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headers="R1D_DIVIDERS_c4" class="sq-atmtable-btn cell nonempty element clickable indent-1 mobile border-collapse groupingRows   clickableCell" style="width: 16.6667%;"&gt;
          &lt;label class="clickable"&gt;
                    Often
        &lt;br&gt;
&lt;input type="radio" name="ans14701.0.0" value="3" id="ans14701.3.0"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headers="R1D_DIVIDERS_c5" class="sq-atmtable-btn cell nonempty element clickable indent-1 mobile border-collapse groupingRows   clickableCell" style="width: 16.6667%;"&gt;
          &lt;label class="clickable"&gt;
                    Always
        &lt;br&gt;
&lt;input type="radio" name="ans14701.0.0" value="4" id="ans14701.4.0"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&lt;/tr&gt;&lt;tr class="sq-atmtable-row-divider"&gt;&lt;td colspan="6"&gt;&lt;span class="hr"&gt;&lt;/span&gt;&lt;/td&gt;&lt;/tr&gt;&lt;tr class="row row-elements odd colCount-5"&gt;
            &lt;th scope="row" class="cell nonempty legend row-legend row-legend-left row-legend-basic legend-level-1 mobile border-collapse  " style="width: 16.6667%;"&gt;
Comment on posts
&lt;/th&gt;
&lt;td headers="R1D_DIVIDERS_c1" class="sq-atmtable-btn cell nonempty element clickable indent-1 mobile border-collapse groupingRows   clickableCell" style="width: 16.6667%;"&gt;
          &lt;label class="clickable"&gt;
                    Never
        &lt;br&gt;
&lt;input type="radio" name="ans14701.0.1" value="0" id="ans14701.0.1"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headers="R1D_DIVIDERS_c2" class="sq-atmtable-btn cell nonempty element clickable indent-1 mobile border-collapse groupingRows   clickableCell" style="width: 16.6667%;"&gt;
          &lt;label class="clickable"&gt;
                    Rarely
        &lt;br&gt;
&lt;input type="radio" name="ans14701.0.1" value="1" id="ans14701.1.1"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headers="R1D_DIVIDERS_c3" class="sq-atmtable-btn cell nonempty element clickable indent-1 mobile border-collapse groupingRows   clickableCell" style="width: 16.6667%;"&gt;
          &lt;label class="clickable"&gt;
                    Sometimes
        &lt;br&gt;
&lt;input type="radio" name="ans14701.0.1" value="2" id="ans14701.2.1"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headers="R1D_DIVIDERS_c4" class="sq-atmtable-btn cell nonempty element clickable indent-1 mobile border-collapse groupingRows   clickableCell" style="width: 16.6667%;"&gt;
          &lt;label class="clickable"&gt;
                    Often
        &lt;br&gt;
&lt;input type="radio" name="ans14701.0.1" value="3" id="ans14701.3.1"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headers="R1D_DIVIDERS_c5" class="sq-atmtable-btn cell nonempty element clickable indent-1 mobile border-collapse groupingRows   clickableCell" style="width: 16.6667%;"&gt;
          &lt;label class="clickable"&gt;
                    Always
        &lt;br&gt;
&lt;input type="radio" name="ans14701.0.1" value="4" id="ans14701.4.1"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&lt;/tr&gt;&lt;tr class="sq-atmtable-row-divider"&gt;&lt;td colspan="6"&gt;&lt;span class="hr"&gt;&lt;/span&gt;&lt;/td&gt;&lt;/tr&gt;&lt;tr class="row row-elements even colCount-5"&gt;
            &lt;th scope="row" class="cell nonempty legend row-legend row-legend-left row-legend-basic legend-level-1 mobile border-collapse  " style="width: 16.6667%;"&gt;
Create original content
&lt;/th&gt;
&lt;td headers="R1D_DIVIDERS_c1" class="sq-atmtable-btn cell nonempty element clickable indent-1 mobile border-collapse groupingRows   clickableCell" style="width: 16.6667%;"&gt;
          &lt;label class="clickable"&gt;
                    Never
        &lt;br&gt;
&lt;input type="radio" name="ans14701.0.2" value="0" id="ans14701.0.2"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headers="R1D_DIVIDERS_c2" class="sq-atmtable-btn cell nonempty element clickable indent-1 mobile border-collapse groupingRows   clickableCell" style="width: 16.6667%;"&gt;
          &lt;label class="clickable"&gt;
                    Rarely
        &lt;br&gt;
&lt;input type="radio" name="ans14701.0.2" value="1" id="ans14701.1.2"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headers="R1D_DIVIDERS_c3" class="sq-atmtable-btn cell nonempty element clickable indent-1 mobile border-collapse groupingRows   clickableCell" style="width: 16.6667%;"&gt;
          &lt;label class="clickable"&gt;
                    Sometimes
        &lt;br&gt;
&lt;input type="radio" name="ans14701.0.2" value="2" id="ans14701.2.2"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headers="R1D_DIVIDERS_c4" class="sq-atmtable-btn cell nonempty element clickable indent-1 mobile border-collapse groupingRows   clickableCell" style="width: 16.6667%;"&gt;
          &lt;label class="clickable"&gt;
                    Often
        &lt;br&gt;
&lt;input type="radio" name="ans14701.0.2" value="3" id="ans14701.3.2"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headers="R1D_DIVIDERS_c5" class="sq-atmtable-btn cell nonempty element clickable indent-1 mobile border-collapse groupingRows   clickableCell" style="width: 16.6667%;"&gt;
          &lt;label class="clickable"&gt;
                    Always
        &lt;br&gt;
&lt;input type="radio" name="ans14701.0.2" value="4" id="ans14701.4.2"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
&lt;/table&gt;
&lt;!-- /.grid --&gt;
&lt;/div&gt;
&lt;!-- /.answers --&gt;
&lt;/div&gt;
</t>
  </si>
  <si>
    <t xml:space="preserve">
&lt;div id="question_R1E_ANCHORS" class="question radio label_R1E_ANCHORS   sq-atmtable"&gt;
&lt;h1 title="question" class="question-text" id="question_text_R1E_ANCHORS"&gt;How much do you trust or distrust each of the following?&lt;/h1&gt;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colCount-7"&gt;
&lt;td class="cell empty empty-left empty-top unused mobile border-collapse"&gt;&lt;/td&gt;
&lt;th id="R1E_ANCHORS_c1" class="cell nonempty legend col-legend col-legend-top col-legend-basic legend-level-1 mobile border-collapse col-legend   col-legend-top" style="width: 14.2857%;"&gt;
            Distrust a great deal
    &lt;div class="force-width" style="width:97px"&gt;&lt;/div&gt;&lt;/th&gt;&lt;th id="R1E_ANCHORS_c2" class="cell nonempty legend col-legend col-legend-top col-legend-basic legend-level-1 mobile border-collapse col-legend   col-legend-top" style="width: 14.2857%;"&gt;
    &lt;div class="force-width" style="width:97px"&gt;&lt;/div&gt;&lt;/th&gt;&lt;th id="R1E_ANCHORS_c3" class="cell nonempty legend col-legend col-legend-top col-legend-basic legend-level-1 mobile border-collapse col-legend   col-legend-top" style="width: 14.2857%;"&gt;
    &lt;div class="force-width" style="width:97px"&gt;&lt;/div&gt;&lt;/th&gt;&lt;th id="R1E_ANCHORS_c4" class="cell nonempty legend col-legend col-legend-top col-legend-basic legend-level-1 mobile border-collapse col-legend   col-legend-top" style="width: 14.2857%;"&gt;
    &lt;div class="force-width" style="width:97px"&gt;&lt;/div&gt;&lt;/th&gt;&lt;th id="R1E_ANCHORS_c5" class="cell nonempty legend col-legend col-legend-top col-legend-basic legend-level-1 mobile border-collapse col-legend   col-legend-top" style="width: 14.2857%;"&gt;
    &lt;div class="force-width" style="width:97px"&gt;&lt;/div&gt;&lt;/th&gt;&lt;th id="R1E_ANCHORS_c6" class="cell nonempty legend col-legend col-legend-top col-legend-basic legend-level-1 mobile border-collapse col-legend   col-legend-top" style="width: 14.2857%;"&gt;
    &lt;div class="force-width" style="width:97px"&gt;&lt;/div&gt;&lt;/th&gt;&lt;th id="R1E_ANCHORS_c7" class="cell nonempty legend col-legend col-legend-top col-legend-basic legend-level-1 mobile border-collapse col-legend   col-legend-top" style="width: 14.2857%;"&gt;
            Trust a great deal
    &lt;div class="force-width" style="width:97px"&gt;&lt;/div&gt;&lt;/th&gt;
&lt;/tr&gt;
&lt;tr class="row row-elements even colCount-7"&gt;
            &lt;th scope="row" class="cell nonempty legend row-legend row-legend-left row-legend-basic legend-level-1 mobile border-collapse  " style="width: 12.5%;"&gt;
Hospitals
&lt;/th&gt;
&lt;td headers="R1E_ANCHORS_c1" class="sq-atmtable-btn cell nonempty element clickable indent-1 mobile border-collapse groupingRows   clickableCell" style="width: 12.5%;"&gt;
          &lt;label class="clickable"&gt;
                    1
        &lt;br&gt;
&lt;input type="radio" name="ans14724.0.0" value="0" id="ans14724.0.0"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headers="R1E_ANCHORS_c2" class="sq-atmtable-btn cell nonempty element clickable indent-1 mobile border-collapse groupingRows   clickableCell" style="width: 12.5%;"&gt;
          &lt;label class="clickable"&gt;
                    2
        &lt;br&gt;
&lt;input type="radio" name="ans14724.0.0" value="1" id="ans14724.1.0"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headers="R1E_ANCHORS_c3" class="sq-atmtable-btn cell nonempty element clickable indent-1 mobile border-collapse groupingRows   clickableCell" style="width: 12.5%;"&gt;
          &lt;label class="clickable"&gt;
                    3
        &lt;br&gt;
&lt;input type="radio" name="ans14724.0.0" value="2" id="ans14724.2.0"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headers="R1E_ANCHORS_c4" class="sq-atmtable-btn cell nonempty element clickable indent-1 mobile border-collapse groupingRows   clickableCell" style="width: 12.5%;"&gt;
          &lt;label class="clickable"&gt;
                    4
        &lt;br&gt;
&lt;input type="radio" name="ans14724.0.0" value="3" id="ans14724.3.0"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headers="R1E_ANCHORS_c5" class="sq-atmtable-btn cell nonempty element clickable indent-1 mobile border-collapse groupingRows   clickableCell" style="width: 12.5%;"&gt;
          &lt;label class="clickable"&gt;
                    5
        &lt;br&gt;
&lt;input type="radio" name="ans14724.0.0" value="4" id="ans14724.4.0"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headers="R1E_ANCHORS_c6" class="sq-atmtable-btn cell nonempty element clickable indent-1 mobile border-collapse groupingRows   clickableCell" style="width: 12.5%;"&gt;
          &lt;label class="clickable"&gt;
                    6
        &lt;br&gt;
&lt;input type="radio" name="ans14724.0.0" value="5" id="ans14724.5.0"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headers="R1E_ANCHORS_c7" class="sq-atmtable-btn cell nonempty element clickable indent-1 mobile border-collapse groupingRows   clickableCell" style="width: 12.5%;"&gt;
          &lt;label class="clickable"&gt;
                    7
        &lt;br&gt;
&lt;input type="radio" name="ans14724.0.0" value="6" id="ans14724.6.0"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&lt;/tr&gt;&lt;tr class="row row-elements odd colCount-7"&gt;
            &lt;th scope="row" class="cell nonempty legend row-legend row-legend-left row-legend-basic legend-level-1 mobile border-collapse  " style="width: 12.5%;"&gt;
Health care providers
&lt;/th&gt;
&lt;td headers="R1E_ANCHORS_c1" class="sq-atmtable-btn cell nonempty element clickable indent-1 mobile border-collapse groupingRows   clickableCell" style="width: 12.5%;"&gt;
          &lt;label class="clickable"&gt;
                    1
        &lt;br&gt;
&lt;input type="radio" name="ans14724.0.1" value="0" id="ans14724.0.1"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headers="R1E_ANCHORS_c2" class="sq-atmtable-btn cell nonempty element clickable indent-1 mobile border-collapse groupingRows   clickableCell" style="width: 12.5%;"&gt;
          &lt;label class="clickable"&gt;
                    2
        &lt;br&gt;
&lt;input type="radio" name="ans14724.0.1" value="1" id="ans14724.1.1"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headers="R1E_ANCHORS_c3" class="sq-atmtable-btn cell nonempty element clickable indent-1 mobile border-collapse groupingRows   clickableCell" style="width: 12.5%;"&gt;
          &lt;label class="clickable"&gt;
                    3
        &lt;br&gt;
&lt;input type="radio" name="ans14724.0.1" value="2" id="ans14724.2.1"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headers="R1E_ANCHORS_c4" class="sq-atmtable-btn cell nonempty element clickable indent-1 mobile border-collapse groupingRows   clickableCell" style="width: 12.5%;"&gt;
          &lt;label class="clickable"&gt;
                    4
        &lt;br&gt;
&lt;input type="radio" name="ans14724.0.1" value="3" id="ans14724.3.1"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headers="R1E_ANCHORS_c5" class="sq-atmtable-btn cell nonempty element clickable indent-1 mobile border-collapse groupingRows   clickableCell" style="width: 12.5%;"&gt;
          &lt;label class="clickable"&gt;
                    5
        &lt;br&gt;
&lt;input type="radio" name="ans14724.0.1" value="4" id="ans14724.4.1"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headers="R1E_ANCHORS_c6" class="sq-atmtable-btn cell nonempty element clickable indent-1 mobile border-collapse groupingRows   clickableCell" style="width: 12.5%;"&gt;
          &lt;label class="clickable"&gt;
                    6
        &lt;br&gt;
&lt;input type="radio" name="ans14724.0.1" value="5" id="ans14724.5.1"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headers="R1E_ANCHORS_c7" class="sq-atmtable-btn cell nonempty element clickable indent-1 mobile border-collapse groupingRows   clickableCell" style="width: 12.5%;"&gt;
          &lt;label class="clickable"&gt;
                    7
        &lt;br&gt;
&lt;input type="radio" name="ans14724.0.1" value="6" id="ans14724.6.1"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&lt;/tr&gt;&lt;tr class="row row-elements even colCount-7"&gt;
            &lt;th scope="row" class="cell nonempty legend row-legend row-legend-left row-legend-basic legend-level-1 mobile border-collapse  " style="width: 12.5%;"&gt;
National Institutes of Health (NIH)
&lt;/th&gt;
&lt;td headers="R1E_ANCHORS_c1" class="sq-atmtable-btn cell nonempty element clickable indent-1 mobile border-collapse groupingRows   clickableCell" style="width: 12.5%;"&gt;
          &lt;label class="clickable"&gt;
                    1
        &lt;br&gt;
&lt;input type="radio" name="ans14724.0.2" value="0" id="ans14724.0.2"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headers="R1E_ANCHORS_c2" class="sq-atmtable-btn cell nonempty element clickable indent-1 mobile border-collapse groupingRows   clickableCell" style="width: 12.5%;"&gt;
          &lt;label class="clickable"&gt;
                    2
        &lt;br&gt;
&lt;input type="radio" name="ans14724.0.2" value="1" id="ans14724.1.2"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headers="R1E_ANCHORS_c3" class="sq-atmtable-btn cell nonempty element clickable indent-1 mobile border-collapse groupingRows   clickableCell" style="width: 12.5%;"&gt;
          &lt;label class="clickable"&gt;
                    3
        &lt;br&gt;
&lt;input type="radio" name="ans14724.0.2" value="2" id="ans14724.2.2"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headers="R1E_ANCHORS_c4" class="sq-atmtable-btn cell nonempty element clickable indent-1 mobile border-collapse groupingRows   clickableCell" style="width: 12.5%;"&gt;
          &lt;label class="clickable"&gt;
                    4
        &lt;br&gt;
&lt;input type="radio" name="ans14724.0.2" value="3" id="ans14724.3.2"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headers="R1E_ANCHORS_c5" class="sq-atmtable-btn cell nonempty element clickable indent-1 mobile border-collapse groupingRows   clickableCell" style="width: 12.5%;"&gt;
          &lt;label class="clickable"&gt;
                    5
        &lt;br&gt;
&lt;input type="radio" name="ans14724.0.2" value="4" id="ans14724.4.2"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headers="R1E_ANCHORS_c6" class="sq-atmtable-btn cell nonempty element clickable indent-1 mobile border-collapse groupingRows   clickableCell" style="width: 12.5%;"&gt;
          &lt;label class="clickable"&gt;
                    6
        &lt;br&gt;
&lt;input type="radio" name="ans14724.0.2" value="5" id="ans14724.5.2"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headers="R1E_ANCHORS_c7" class="sq-atmtable-btn cell nonempty element clickable indent-1 mobile border-collapse groupingRows   clickableCell" style="width: 12.5%;"&gt;
          &lt;label class="clickable"&gt;
                    7
        &lt;br&gt;
&lt;input type="radio" name="ans14724.0.2" value="6" id="ans14724.6.2"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&lt;/tr&gt;&lt;tr class="row row-elements odd colCount-7"&gt;
            &lt;th scope="row" class="cell nonempty legend row-legend row-legend-left row-legend-basic legend-level-1 mobile border-collapse  " style="width: 12.5%;"&gt;
Pharmaceutical companies
&lt;/th&gt;
&lt;td headers="R1E_ANCHORS_c1" class="sq-atmtable-btn cell nonempty element clickable indent-1 mobile border-collapse groupingRows   clickableCell" style="width: 12.5%;"&gt;
          &lt;label class="clickable"&gt;
                    1
        &lt;br&gt;
&lt;input type="radio" name="ans14724.0.3" value="0" id="ans14724.0.3"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headers="R1E_ANCHORS_c2" class="sq-atmtable-btn cell nonempty element clickable indent-1 mobile border-collapse groupingRows   clickableCell" style="width: 12.5%;"&gt;
          &lt;label class="clickable"&gt;
                    2
        &lt;br&gt;
&lt;input type="radio" name="ans14724.0.3" value="1" id="ans14724.1.3"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headers="R1E_ANCHORS_c3" class="sq-atmtable-btn cell nonempty element clickable indent-1 mobile border-collapse groupingRows   clickableCell" style="width: 12.5%;"&gt;
          &lt;label class="clickable"&gt;
                    3
        &lt;br&gt;
&lt;input type="radio" name="ans14724.0.3" value="2" id="ans14724.2.3"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headers="R1E_ANCHORS_c4" class="sq-atmtable-btn cell nonempty element clickable indent-1 mobile border-collapse groupingRows   clickableCell" style="width: 12.5%;"&gt;
          &lt;label class="clickable"&gt;
                    4
        &lt;br&gt;
&lt;input type="radio" name="ans14724.0.3" value="3" id="ans14724.3.3"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headers="R1E_ANCHORS_c5" class="sq-atmtable-btn cell nonempty element clickable indent-1 mobile border-collapse groupingRows   clickableCell" style="width: 12.5%;"&gt;
          &lt;label class="clickable"&gt;
                    5
        &lt;br&gt;
&lt;input type="radio" name="ans14724.0.3" value="4" id="ans14724.4.3"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headers="R1E_ANCHORS_c6" class="sq-atmtable-btn cell nonempty element clickable indent-1 mobile border-collapse groupingRows   clickableCell" style="width: 12.5%;"&gt;
          &lt;label class="clickable"&gt;
                    6
        &lt;br&gt;
&lt;input type="radio" name="ans14724.0.3" value="5" id="ans14724.5.3"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headers="R1E_ANCHORS_c7" class="sq-atmtable-btn cell nonempty element clickable indent-1 mobile border-collapse groupingRows   clickableCell" style="width: 12.5%;"&gt;
          &lt;label class="clickable"&gt;
                    7
        &lt;br&gt;
&lt;input type="radio" name="ans14724.0.3" value="6" id="ans14724.6.3"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
&lt;/table&gt;
&lt;!-- /.grid --&gt;
&lt;/div&gt;
&lt;!-- /.answers --&gt;
&lt;/div&gt;
</t>
  </si>
  <si>
    <t>&lt;div id="question_R1F_IMAGES" class="question radio label_R1F_IMAGES   noRows sq-atmtable"&gt;
&lt;h1 title="question" class="question-text" id="question_text_R1F_IMAGES"&gt;In politics today, do you consider yourself a…?&lt;/h1&gt;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colCount-4"&gt;
&lt;th id="R1F_IMAGES_c1" class="cell nonempty legend col-legend col-legend-top col-legend-basic  mobile border-collapse col-legend   col-legend-top" style="width: 25%;"&gt;
    &lt;div class="force-width" style="width:128px"&gt;&lt;/div&gt;&lt;/th&gt;&lt;th id="R1F_IMAGES_c2" class="cell nonempty legend col-legend col-legend-top col-legend-basic  mobile border-collapse col-legend   col-legend-top" style="width: 25%;"&gt;
    &lt;div class="force-width" style="width:128px"&gt;&lt;/div&gt;&lt;/th&gt;&lt;th id="R1F_IMAGES_c3" class="cell nonempty legend col-legend col-legend-top col-legend-basic  mobile border-collapse col-legend   col-legend-top" style="width: 25%;"&gt;
    &lt;div class="force-width" style="width:128px"&gt;&lt;/div&gt;&lt;/th&gt;&lt;th id="R1F_IMAGES_c99" class="cell nonempty legend col-legend col-legend-top col-legend-basic  mobile border-collapse col-legend   col-legend-top" style="width: 25%;"&gt;
    &lt;div class="force-width" style="width:128px"&gt;&lt;/div&gt;&lt;/th&gt;
&lt;/tr&gt;
&lt;tr class="row row-elements even colCount-4"&gt;
&lt;td headers="R1F_IMAGES_c1" class="sq-atmtable-btn cell nonempty element clickable  mobile border-collapse groupingRows   clickableCell" style="width: 25%;"&gt;
          &lt;label class="clickable"&gt;
                    &lt;img src="/survey/selfserve/21a7/260129/republican_icon.png" style="width:40px;height:40px;"&gt;&lt;br&gt;Republican
        &lt;br&gt;
&lt;input type="radio" name="ans14750.0.0" value="0" id="ans14750.0.0"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headers="R1F_IMAGES_c2" class="sq-atmtable-btn cell nonempty element clickable  mobile border-collapse groupingRows   clickableCell" style="width: 25%;"&gt;
          &lt;label class="clickable"&gt;
                    &lt;img src="/survey/selfserve/21a7/260129/democrat_icon.png" style="width:40px;height:40px;"&gt;&lt;br&gt;Democrat
        &lt;br&gt;
&lt;input type="radio" name="ans14750.0.0" value="1" id="ans14750.1.0"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headers="R1F_IMAGES_c3" class="sq-atmtable-btn cell nonempty element clickable  mobile border-collapse groupingRows   clickableCell" style="width: 25%;"&gt;
          &lt;label class="clickable"&gt;
                    &lt;img src="/survey/selfserve/21a7/260129/independent_icon.png" style="width:40px;height:40px;"&gt;&lt;br&gt;Independent
        &lt;br&gt;
&lt;input type="radio" name="ans14750.0.0" value="2" id="ans14750.2.0"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headers="R1F_IMAGES_c99" class="sq-atmtable-btn cell nonempty element clickable  mobile border-collapse groupingRows   clickableCell" style="width: 25%;"&gt;
          &lt;label class="clickable"&gt;
                    Prefer not to respond
        &lt;br&gt;
&lt;input type="radio" name="ans14750.0.0" value="3" id="ans14750.3.0"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
&lt;/table&gt;
&lt;!-- /.grid --&gt;
&lt;/div&gt;
&lt;!-- /.answers --&gt;
&lt;/div&gt;</t>
  </si>
  <si>
    <t xml:space="preserve">&lt;div id="question_R2_CHECKBOX" class="question checkbox label_R2_CHECKBOX   noRows sq-atmtable"&gt;
&lt;h1 title="question" class="question-text" id="question_text_R2_CHECKBOX"&gt;How have you made your voice heard?&lt;/h1&gt;
&lt;!-- /.question-text --&gt;
&lt;h2 title="instructions" class="instruction-text"&gt;Select all that apply.&lt;/h2&gt;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colCount-6"&gt;
&lt;th id="R2_CHECKBOX_c1" class="cell nonempty legend col-legend col-legend-top col-legend-basic  mobile border-collapse col-legend   col-legend-top" style="width: 16.6667%;"&gt;
    &lt;div class="force-width" style="width:124px"&gt;&lt;/div&gt;&lt;/th&gt;&lt;th id="R2_CHECKBOX_c2" class="cell nonempty legend col-legend col-legend-top col-legend-basic  mobile border-collapse col-legend   col-legend-top" style="width: 16.6667%;"&gt;
    &lt;div class="force-width" style="width:124px"&gt;&lt;/div&gt;&lt;/th&gt;&lt;th id="R2_CHECKBOX_c3" class="cell nonempty legend col-legend col-legend-top col-legend-basic  mobile border-collapse col-legend   col-legend-top" style="width: 16.6667%;"&gt;
    &lt;div class="force-width" style="width:124px"&gt;&lt;/div&gt;&lt;/th&gt;&lt;th id="R2_CHECKBOX_c4" class="cell nonempty legend col-legend col-legend-top col-legend-basic  mobile border-collapse col-legend   col-legend-top" style="width: 16.6667%;"&gt;
    &lt;div class="force-width" style="width:124px"&gt;&lt;/div&gt;&lt;/th&gt;&lt;th id="R2_CHECKBOX_c5" class="cell nonempty legend col-legend col-legend-top col-legend-basic  mobile border-collapse col-legend   col-legend-top" style="width: 16.6667%;"&gt;
    &lt;div class="force-width" style="width:124px"&gt;&lt;/div&gt;&lt;/th&gt;&lt;th id="R2_CHECKBOX_c99" class="cell nonempty legend col-legend col-legend-top col-legend-basic  mobile border-collapse col-legend   col-legend-top" style="width: 16.6667%;"&gt;
    &lt;div class="force-width" style="width:124px"&gt;&lt;/div&gt;&lt;/th&gt;
&lt;/tr&gt;
&lt;tr class="row row-elements even colCount-6"&gt;
&lt;td headers="R2_CHECKBOX_c1" class="sq-atmtable-btn cell nonempty element clickable  mobile border-collapse groupingRows   clickableCell" style="width: 16.6667%;"&gt;
          &lt;label class="clickable"&gt;
                    I've worked inside government, held office, or staffed those who do
        &lt;br&gt;
&lt;input type="checkbox" name="ans14770.0.0" id="ans14770.0.0" value="1" class="input checkbox fir-hidden"&gt;&lt;span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&lt;/label&gt;
        &lt;/td&gt;&lt;td headers="R2_CHECKBOX_c2" class="sq-atmtable-btn cell nonempty element clickable  mobile border-collapse groupingRows   clickableCell" style="width: 16.6667%;"&gt;
          &lt;label class="clickable"&gt;
                    I've helped decide who runs for office or who gets hired in political roles
        &lt;br&gt;
&lt;input type="checkbox" name="ans14770.1.0" id="ans14770.1.0" value="1" class="input checkbox fir-hidden"&gt;&lt;span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&lt;/label&gt;
        &lt;/td&gt;&lt;td headers="R2_CHECKBOX_c3" class="sq-atmtable-btn cell nonempty element clickable  mobile border-collapse groupingRows   clickableCell" style="width: 16.6667%;"&gt;
          &lt;label class="clickable"&gt;
                    I advise organizations, sit on boards, or have testified on policy matters
        &lt;br&gt;
&lt;input type="checkbox" name="ans14770.2.0" id="ans14770.2.0" value="1" class="input checkbox fir-hidden"&gt;&lt;span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&lt;/label&gt;
        &lt;/td&gt;&lt;td headers="R2_CHECKBOX_c4" class="sq-atmtable-btn cell nonempty element clickable  mobile border-collapse groupingRows   clickableCell" style="width: 16.6667%;"&gt;
          &lt;label class="clickable"&gt;
                    I've written, spoken publicly, or published on issues
        &lt;br&gt;
&lt;input type="checkbox" name="ans14770.3.0" id="ans14770.3.0" value="1" class="input checkbox fir-hidden"&gt;&lt;span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&lt;/label&gt;
        &lt;/td&gt;&lt;td headers="R2_CHECKBOX_c5" class="sq-atmtable-btn cell nonempty element clickable  mobile border-collapse groupingRows   clickableCell" style="width: 16.6667%;"&gt;
          &lt;label class="clickable"&gt;
                    I vote, follow current events, and stay involved in my community
        &lt;br&gt;
&lt;input type="checkbox" name="ans14770.4.0" id="ans14770.4.0" value="1" class="input checkbox fir-hidden"&gt;&lt;span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&lt;/label&gt;
        &lt;/td&gt;&lt;td headers="R2_CHECKBOX_c99" class="sq-atmtable-btn cell nonempty element clickable  mobile border-collapse groupingRows   clickableCell" style="width: 16.6667%;"&gt;
          &lt;label class="clickable"&gt;
                    None of these
        &lt;br&gt;
&lt;input type="checkbox" name="ans14770.5.0" id="ans14770.5.0" value="1" class="exclusive input checkbox fir-hidden"&gt;&lt;span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&lt;/label&gt;
        &lt;/td&gt;
&lt;/tr&gt;
&lt;/table&gt;
&lt;!-- /.grid --&gt;
&lt;/div&gt;
&lt;!-- /.answers --&gt;
&lt;/div&gt;
</t>
  </si>
  <si>
    <t>&lt;div id="question_R3_MAXDIFF" class="question radio label_R3_MAXDIFF maxdiff_question "&gt;
&lt;h1 title="question" class="question-text" id="question_text_R3_MAXDIFF"&gt;Select the one statement that sounds MOST like your own point of view (on the left), and the statement that sounds LEAST like you (on the right)&lt;/h1&gt;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grid-table-mode setWidth" data-settings="auto-optimize desktop-mode group-by-col table-mode" data-height="" summary="This table contains form elements to answer the survey question" id="-grid-table-1"&gt;
&lt;tbody id="-grid-tbody-1-1"&gt;
&lt;tr class="row mobile-top-border-row"&gt;
&lt;td colspan="3" class="cell nonempty mobile-top-border-cell" id="-grid-row-1-top"&gt;&lt;/td&gt;
&lt;/tr&gt;&lt;tr class="row row-col-legends row-col-legends-top colCount-2" id="-grid-row-1-1"&gt;
&lt;td class="cell empty empty-left empty-top unused desktop border-collapse" id="-grid-cell-1-1-1"&gt;&lt;/td&gt;
&lt;th scope="col" id="-grid-cell-1-1-2" class="cell nonempty legend col-legend col-legend-top col-legend-basic legend-level-1 desktop border-collapse   " style="width: 202px; min-width: 202px;"&gt;
&lt;strong&gt;MOST like me&lt;/strong&gt;
&lt;/th&gt;&lt;th scope="col" id="-grid-cell-1-1-3" class="cell nonempty legend col-legend col-legend-top col-legend-basic legend-level-1 desktop border-collapse   " style="width: 202px; min-width: 202px;"&gt;
&lt;strong&gt;LEAST like me&lt;/strong&gt;
&lt;/th&gt;
&lt;/tr&gt;
&lt;/tbody&gt;
&lt;tbody id="-grid-tbody-1-2"&gt;&lt;tr class="row row-elements even colCount-2" id="-grid-row-1-2"&gt;
&lt;th scope="row" class="cell nonempty legend row-legend row-legend-left row-legend-basic legend-level-1 desktop border-collapse  " id="-grid-cell-1-2-1"&gt;
Drug and hospital prices are crushing people. I don't care who fixes it—just bring costs down.
&lt;/th&gt;
&lt;td headers="R3_MAXDIFF_best" class="cell nonempty element indent-1 desktop border-collapse groupingCols    clickableCell" id="-grid-cell-1-2-2"&gt;
&lt;span class="cell-sub-wrapper cell-legend-right"&gt;
&lt;span class="cell-input cell-sub-column"&gt;
&lt;input type="radio" name="ans14793.0.0" value="3" id="ans14793.0.3"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for="ans14793.0.3" class="clickable"&gt;Drug and hospital prices are crushing people. I don't care who fixes it—just bring costs down.&lt;/label&gt; &lt;/span&gt;
&lt;/span&gt;
&lt;/td&gt;&lt;td headers="R3_MAXDIFF_worst" class="cell nonempty element indent-1 desktop border-collapse groupingCols    clickableCell" id="-grid-cell-1-2-3"&gt;
&lt;span class="cell-sub-wrapper cell-legend-right"&gt;
&lt;span class="cell-input cell-sub-column"&gt;
&lt;input type="radio" name="ans14793.1.0" value="3" id="ans14793.1.3"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for="ans14793.1.3" class="clickable"&gt;Drug and hospital prices are crushing people. I don't care who fixes it—just bring costs down.&lt;/label&gt; &lt;/span&gt;
&lt;/span&gt;
&lt;/td&gt;
&lt;/tr&gt;&lt;tr class="row row-elements odd colCount-2" id="-grid-row-1-3"&gt;
&lt;th scope="row" class="cell nonempty legend row-legend row-legend-left row-legend-basic legend-level-1 desktop border-collapse  " id="-grid-cell-1-3-1"&gt;
Healthcare is a human right. We need Medicare-for-All or something very close to it.
&lt;/th&gt;
&lt;td headers="R3_MAXDIFF_best" class="cell nonempty element indent-1 desktop border-collapse groupingCols    clickableCell" id="-grid-cell-1-3-2"&gt;
&lt;span class="cell-sub-wrapper cell-legend-right"&gt;
&lt;span class="cell-input cell-sub-column"&gt;
&lt;input type="radio" name="ans14793.0.0" value="0" id="ans14793.0.0"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for="ans14793.0.0" class="clickable"&gt;Healthcare is a human right. We need Medicare-for-All or something very close to it.&lt;/label&gt; &lt;/span&gt;
&lt;/span&gt;
&lt;/td&gt;&lt;td headers="R3_MAXDIFF_worst" class="cell nonempty element indent-1 desktop border-collapse groupingCols    clickableCell" id="-grid-cell-1-3-3"&gt;
&lt;span class="cell-sub-wrapper cell-legend-right"&gt;
&lt;span class="cell-input cell-sub-column"&gt;
&lt;input type="radio" name="ans14793.1.0" value="0" id="ans14793.1.0"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for="ans14793.1.0" class="clickable"&gt;Healthcare is a human right. We need Medicare-for-All or something very close to it.&lt;/label&gt; &lt;/span&gt;
&lt;/span&gt;
&lt;/td&gt;
&lt;/tr&gt;&lt;tr class="row row-elements even colCount-2" id="-grid-row-1-4"&gt;
&lt;th scope="row" class="cell nonempty legend row-legend row-legend-left row-legend-basic legend-level-1 desktop border-collapse  " id="-grid-cell-1-4-1"&gt;
Free markets work best, but I defer to FDA and CDC experts on safety and innovation.
&lt;/th&gt;
&lt;td headers="R3_MAXDIFF_best" class="cell nonempty element indent-1 desktop border-collapse groupingCols    clickableCell" id="-grid-cell-1-4-2"&gt;
&lt;span class="cell-sub-wrapper cell-legend-right"&gt;
&lt;span class="cell-input cell-sub-column"&gt;
&lt;input type="radio" name="ans14793.0.0" value="1" id="ans14793.0.1"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for="ans14793.0.1" class="clickable"&gt;Free markets work best, but I defer to FDA and CDC experts on safety and innovation.&lt;/label&gt; &lt;/span&gt;
&lt;/span&gt;
&lt;/td&gt;&lt;td headers="R3_MAXDIFF_worst" class="cell nonempty element indent-1 desktop border-collapse groupingCols    clickableCell" id="-grid-cell-1-4-3"&gt;
&lt;span class="cell-sub-wrapper cell-legend-right"&gt;
&lt;span class="cell-input cell-sub-column"&gt;
&lt;input type="radio" name="ans14793.1.0" value="1" id="ans14793.1.1"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for="ans14793.1.1" class="clickable"&gt;Free markets work best, but I defer to FDA and CDC experts on safety and innovation.&lt;/label&gt; &lt;/span&gt;
&lt;/span&gt;
&lt;/td&gt;
&lt;/tr&gt;&lt;tr class="row row-elements odd colCount-2" id="-grid-row-1-5"&gt;
&lt;th scope="row" class="cell nonempty legend row-legend row-legend-left row-legend-basic legend-level-1 desktop border-collapse  " id="-grid-cell-1-5-1"&gt;
Vaccines are unsafe, full stop. No one should be forced or pressured to take them.
&lt;/th&gt;
&lt;td headers="R3_MAXDIFF_best" class="cell nonempty element indent-1 desktop border-collapse groupingCols    clickableCell" id="-grid-cell-1-5-2"&gt;
&lt;span class="cell-sub-wrapper cell-legend-right"&gt;
&lt;span class="cell-input cell-sub-column"&gt;
&lt;input type="radio" name="ans14793.0.0" value="2" id="ans14793.0.2"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for="ans14793.0.2" class="clickable"&gt;Vaccines are unsafe, full stop. No one should be forced or pressured to take them.&lt;/label&gt; &lt;/span&gt;
&lt;/span&gt;
&lt;/td&gt;&lt;td headers="R3_MAXDIFF_worst" class="cell nonempty element indent-1 desktop border-collapse groupingCols    clickableCell" id="-grid-cell-1-5-3"&gt;
&lt;span class="cell-sub-wrapper cell-legend-right"&gt;
&lt;span class="cell-input cell-sub-column"&gt;
&lt;input type="radio" name="ans14793.1.0" value="2" id="ans14793.1.2"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for="ans14793.1.2" class="clickable"&gt;Vaccines are unsafe, full stop. No one should be forced or pressured to take them.&lt;/label&gt; &lt;/span&gt;
&lt;/span&gt;
&lt;/td&gt;
&lt;/tr&gt;&lt;/tbody&gt;
&lt;/table&gt;
&lt;!-- /.grid --&gt;
&lt;/div&gt;
&lt;!-- /.answers --&gt;
&lt;/div&gt;</t>
  </si>
  <si>
    <t>&lt;div id="question_R4_BALLOT" class="question radio label_R4_BALLOT   noRows sq-atmtable"&gt;
&lt;h1 title="question" class="question-text" id="question_text_R4_BALLOT"&gt;Who did you vote for in the 2024 Presidential election?&lt;/h1&gt;
&lt;!-- /.question-text --&gt;
&lt;h2 title="instructions" class="instruction-text"&gt;&lt;/h2&gt;
&lt;!-- /.instruction-text --&gt;
&lt;div class="answers answers-table"&gt;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
&lt;table class="grid setWidth grid-table-mode" data-settings="force-desktop mobile-mode group-by-row table-mode" data-height="" summary="This table contains form elements to answer the survey question" cellspacing="13"&gt;
&lt;tr class="row row-col-legends row-col-legends-top colCount-5"&gt;
&lt;th id="R4_BALLOT_c1" class="cell nonempty legend col-legend col-legend-top col-legend-basic  mobile border-collapse col-legend   col-legend-top" style="width: 20%;"&gt;
    &lt;div class="force-width" style="width:155px"&gt;&lt;/div&gt;&lt;/th&gt;&lt;th id="R4_BALLOT_c2" class="cell nonempty legend col-legend col-legend-top col-legend-basic  mobile border-collapse col-legend   col-legend-top" style="width: 20%;"&gt;
    &lt;div class="force-width" style="width:155px"&gt;&lt;/div&gt;&lt;/th&gt;&lt;th id="R4_BALLOT_c3" class="cell nonempty legend col-legend col-legend-top col-legend-basic  mobile border-collapse col-legend   col-legend-top" style="width: 20%;"&gt;
    &lt;div class="force-width" style="width:155px"&gt;&lt;/div&gt;&lt;/th&gt;&lt;th id="R4_BALLOT_c4" class="cell nonempty legend col-legend col-legend-top col-legend-basic  mobile border-collapse col-legend   col-legend-top" style="width: 20%;"&gt;
    &lt;div class="force-width" style="width:155px"&gt;&lt;/div&gt;&lt;/th&gt;&lt;th id="R4_BALLOT_c99" class="cell nonempty legend col-legend col-legend-top col-legend-basic  mobile border-collapse col-legend   col-legend-top" style="width: 20%;"&gt;
    &lt;div class="force-width" style="width:155px"&gt;&lt;/div&gt;&lt;/th&gt;
&lt;/tr&gt;
&lt;tr class="row row-elements even colCount-5"&gt;
&lt;td headers="R4_BALLOT_c1" class="sq-atmtable-btn cell nonempty element clickable  mobile border-collapse groupingRows   clickableCell sq-atmtable-btn-selected" style="width: 20%;"&gt;
          &lt;label class="clickable"&gt;
                    &lt;span style="color:#E91D0E;font-weight:600;"&gt;Donald J Trump&lt;/span&gt; &lt;span style="color:#888;"&gt;(Republican)&lt;/span&gt;
        &lt;br&gt;
&lt;input type="radio" name="ans14803.0.0" value="0" id="ans14803.0.0" class="input radio fir-hidden clickable"&gt;&lt;span class="fir-icon selected"&gt;
&lt;svg xmlns="http://www.w3.org/2000/svg" viewBox="-1 -1 22 22" class="rounded"&gt;
&lt;circle cx="10" cy="10" r="10" class="fir-base"&gt;&lt;/circle&gt;
&lt;circle cx="10" cy="10" r="9" class="fir-bg"&gt;&lt;/circle&gt;
&lt;circle cx="10" cy="10" r="7" class="fir-selected"&gt;&lt;/circle&gt;
&lt;/svg&gt;
&lt;/span&gt;
          &lt;/label&gt;
        &lt;/td&gt;&lt;td headers="R4_BALLOT_c2" class="sq-atmtable-btn cell nonempty element clickable  mobile border-collapse groupingRows   clickableCell" style="width: 20%;"&gt;
          &lt;label class="clickable"&gt;
                    &lt;span style="color:#232066;font-weight:600;"&gt;Kamala Harris&lt;/span&gt; &lt;span style="color:#888;"&gt;(Democrat)&lt;/span&gt;
        &lt;br&gt;
&lt;input type="radio" name="ans14803.0.0" value="1" id="ans14803.1.0"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headers="R4_BALLOT_c3" class="sq-atmtable-btn cell nonempty element clickable  mobile border-collapse groupingRows   clickableCell" style="width: 20%;"&gt;
          &lt;label class="clickable"&gt;
                    Another Candidate
        &lt;br&gt;
&lt;input type="radio" name="ans14803.0.0" value="2" id="ans14803.2.0"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headers="R4_BALLOT_c4" class="sq-atmtable-btn cell nonempty element clickable  mobile border-collapse groupingRows   clickableCell" style="width: 20%;"&gt;
          &lt;label class="clickable"&gt;
                    I didn't have the chance to vote in this election
        &lt;br&gt;
&lt;input type="radio" name="ans14803.0.0" value="3" id="ans14803.3.0"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&lt;/td&gt;&lt;td headers="R4_BALLOT_c99" class="sq-atmtable-btn cell nonempty element clickable  mobile border-collapse groupingRows   clickableCell" style="width: 20%;"&gt;
          &lt;label class="clickable"&gt;
                    Prefer not to respond
        &lt;br&gt;
&lt;input type="radio" name="ans14803.0.0" value="4" id="ans14803.4.0" class="input radio fir-hidden clickable"&gt;&lt;span class="fir-icon"&gt;
&lt;svg xmlns="http://www.w3.org/2000/svg" viewBox="-1 -1 22 22" class="rounded"&gt;
&lt;circle cx="10" cy="10" r="10" class="fir-base"&gt;&lt;/circle&gt;
&lt;circle cx="10" cy="10" r="9" class="fir-bg"&gt;&lt;/circle&gt;
&lt;circle cx="10" cy="10" r="7" class="fir-selected"&gt;&lt;/circle&gt;
&lt;/svg&gt;
&lt;/span&gt;
          &lt;/label&gt;
        &lt;/td&gt;
&lt;/tr&gt;
&lt;/table&gt;
&lt;!-- /.grid --&gt;
&lt;/div&gt;
&lt;!-- /.answers --&gt;
&lt;/div&gt;</t>
  </si>
  <si>
    <t>&lt;div id="question_R5A_ZIP" class="question text label_R5A_ZIP   noRows noCols" role="radiogroup"&gt;
&lt;h1 title="question" class="question-text" id="question_text_R5A_ZIP"&gt;Please enter your 5-digit ZIP Code&lt;/h1&gt;
&lt;!-- /.question-text --&gt;
&lt;h2 title="instructions" class="instruction-text"&gt;The ZIP Code of your primary residence&lt;/h2&gt;
&lt;!-- /.instruction-text --&gt;
&lt;div class="answers answers-list"&gt;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&lt;/div&gt;&lt;div class="element even  groupingRows OneColumnEl    "&gt;
&lt;input type="text" name="ans14824.0.0" id="ans14824.0.0" value="" size="5" class="input text-input"&gt;
&lt;/div&gt;&lt;!-- /.grid --&gt;
&lt;/div&gt;
&lt;!-- /.answers --&gt;
&lt;/div&gt;</t>
  </si>
  <si>
    <t>&lt;div id="comment_R6B_CALLOUT" class="html comment label_R6B_CALLOUT None"&gt;
&lt;h1 class="comment-text"&gt;&lt;div style="background:#F0F7EE;border-left:4px solid #4A8C3F;padding:20px;margin:20px 0;border-radius:0 8px 8px 0;"&gt;
  &lt;h3 style="font-family:'Libre Baskerville',serif;color:#2D2D2D;margin:0 0 10px 0;font-size:16px;"&gt;Why do we ask these questions?&lt;/h3&gt;
  &lt;p style="font-family:'Inter',sans-serif;color:#555555;line-height:1.6;margin:0;font-size:14px;"&gt;
    Your responses help us understand the diversity of perspectives across the country. All data is anonymized and used only for research purposes.
  &lt;/p&gt;
&lt;/div&gt;&lt;/h1&gt;
&lt;/div&gt;</t>
  </si>
  <si>
    <t>&lt;div id="comment_R6C_HEADER" class="html comment label_R6C_HEADER None"&gt;
&lt;h1 class="comment-text"&gt;&lt;div style="display:flex;justify-content:space-between;align-items:center;padding:15px 20px;background:#FFFFFF;border-bottom:2px solid #4A8C3F;margin-bottom:20px;"&gt;
  &lt;div style="display:flex;align-items:center;gap:10px;"&gt;
    &lt;img src="/survey/selfserve/21a7/260129/prism_glyph.png" alt="PRISM" style="width:32px;height:32px;"&gt;
    &lt;span style="font-family:'Inter',sans-serif;font-weight:600;color:#4A8C3F;font-size:16px;"&gt;PRISM&lt;/span&gt;
  &lt;/div&gt;
  &lt;div style="font-family:'Inter',sans-serif;font-size:12px;color:#888888;"&gt;
    Section 1 of 6
  &lt;/div&gt;
&lt;/div&gt;&lt;/h1&gt;
&lt;/div&gt;</t>
  </si>
  <si>
    <t>&lt;body class="survey-page touch" data-device="smartphone"&gt;
&lt;div id="survey" class="survey-container"&gt;
&lt;div class="survey-section"&gt;&lt;div class="page-header"&gt;&lt;/div&gt;
&lt;!-- /.page-header --&gt;&lt;/div&gt;
&lt;div class="survey-section"&gt;
&lt;div class="survey-body"&gt;
&lt;div class="survey-header"&gt;
&lt;div class="progress-bar progress-top" title="progress bar - 22% complete"&gt;
&lt;div class="progress-box-outer"&gt;&lt;span class="progress-box-completed" style="width: 22%;"&gt;&lt;/span&gt;&lt;/div&gt;
&lt;div class="progress-text"&gt;&lt;span class="screen-readers-only"&gt;progress bar &lt;/span&gt;22%&lt;/div&gt;
&lt;/div&gt;
&lt;!-- /.progress-bar --&gt;
&lt;/div&gt;
&lt;!-- /.survey-header --&gt;
&lt;form id="primary" name="primary" method="post" action="/survey/selfserve/21a7/260129" enctype="application/x-www-form-urlencoded"&gt;
&lt;input type="hidden" name="_v2_counter" value="3"&gt;
&lt;!-- @@XYZZY@@ --&gt;
&lt;div class="survey-error"&gt;
&lt;h1 class="survey-error-text"&gt;There were problems with some of the data you entered in the survey. You will find the questions with errors below; please follow the instructions attached to each question.&lt;/h1&gt;
&lt;/div&gt;
&lt;!-- /.survey-error --&gt;&lt;div id="question_Q3_AGE" class="question radio label_Q3_AGE  hasError pr-hide noCols" role="radiogroup"&gt;
&lt;h1 title="question" class="question-text" id="question_text_Q3_AGE"&gt;Q3: What is your age group?&lt;/h1&gt;
&lt;!-- /.question-text --&gt;
&lt;div class="question-error"&gt;
&lt;h2 class="question-error-text"&gt;Please select an answer.&lt;/h2&gt;
&lt;/div&gt;
&lt;!-- /.question-error --&gt;
&lt;h2 title="instructions" class="instruction-text"&gt;&lt;/h2&gt;
&lt;!-- /.instruction-text --&gt;
&lt;div class="answers answers-list"&gt;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&lt;/div&gt;&lt;div class="element even  groupingCols OneColumnEl hasError    clickableCell"&gt;
&lt;span class="cell-sub-wrapper cell-legend-right"&gt;
&lt;span class="cell-input cell-sub-column"&gt;
&lt;input type="radio" name="ans14940.0.0" value="0" id="ans14940.0.0" class="input radio fir-hidden" aria-invalid="true"&gt;&lt;span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for="ans14940.0.0"&gt;18-29&lt;/label&gt; &lt;/span&gt;
&lt;/span&gt;
&lt;/div&gt;&lt;div class="element odd  groupingCols OneColumnEl hasError    clickableCell"&gt;
&lt;span class="cell-sub-wrapper cell-legend-right"&gt;
&lt;span class="cell-input cell-sub-column"&gt;
&lt;input type="radio" name="ans14940.0.0" value="1" id="ans14940.0.1" class="input radio fir-hidden" aria-invalid="true"&gt;&lt;span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for="ans14940.0.1"&gt;30-44&lt;/label&gt; &lt;/span&gt;
&lt;/span&gt;
&lt;/div&gt;&lt;div class="element even  groupingCols OneColumnEl hasError    clickableCell"&gt;
&lt;span class="cell-sub-wrapper cell-legend-right"&gt;
&lt;span class="cell-input cell-sub-column"&gt;
&lt;input type="radio" name="ans14940.0.0" value="2" id="ans14940.0.2" class="input radio fir-hidden" aria-invalid="true"&gt;&lt;span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for="ans14940.0.2"&gt;45-59&lt;/label&gt; &lt;/span&gt;
&lt;/span&gt;
&lt;/div&gt;&lt;div class="element odd  groupingCols OneColumnEl hasError    clickableCell"&gt;
&lt;span class="cell-sub-wrapper cell-legend-right"&gt;
&lt;span class="cell-input cell-sub-column"&gt;
&lt;input type="radio" name="ans14940.0.0" value="3" id="ans14940.0.3" class="input radio fir-hidden" aria-invalid="true"&gt;&lt;span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for="ans14940.0.3"&gt;60+&lt;/label&gt; &lt;/span&gt;
&lt;/span&gt;
&lt;/div&gt;&lt;!-- /.grid --&gt;
&lt;/div&gt;
&lt;!-- /.answers --&gt;
&lt;/div&gt;
&lt;!-- /.question --&gt;&lt;div id="question_Q4_GENDER" class="question radio label_Q4_GENDER  hasError pr-hide noCols" role="radiogroup"&gt;
&lt;h1 title="question" class="question-text" id="question_text_Q4_GENDER"&gt;Q4: How do you identify?&lt;/h1&gt;
&lt;!-- /.question-text --&gt;
&lt;div class="question-error"&gt;
&lt;h2 class="question-error-text"&gt;Please select an answer.&lt;/h2&gt;
&lt;/div&gt;
&lt;!-- /.question-error --&gt;
&lt;h2 title="instructions" class="instruction-text"&gt;&lt;/h2&gt;
&lt;!-- /.instruction-text --&gt;
&lt;div class="answers answers-list"&gt;
&lt;div class="fir fir-checkbox" style="display: none;"&gt;
&lt;span class="fir-icon"&gt;
&lt;svg xmlns="http://www.w3.org/2000/svg" viewBox="-1 -1 22 22" class="rounded"&gt;
&lt;path d="M15.8,0H3.9C1.8,0,0,2,0,4.1V16c0,2.2,1.8,4,3.9,4h11.8c2.2,0,4.2-1.8,4.2-4V4.1C20,2,18,0,15.8,0z M19,16 c0,1.6-1.6,3-3.2,3H3.9C2.3,19,1,17.7,1,16V4.1C1,2.5,2.3,1,3.9,1h11.8C17.4,1,19,2.5,19,4.1V16z" class="fir-base"&gt;&lt;/path&gt;
&lt;path d="M19,16c0,1.6-1.6,3-3.2,3H3.9C2.3,19,1,17.7,1,16V4.1C1,2.5,2.3,1,3.9,1h11.8C17.4,1,19,2.5,19,4.1V16z" class="fir-bg"&gt;&lt;/path&gt;
&lt;polygon points="9.1,16.3 2.5,11 4.1,9 8.7,12.6 15.6,3.7 17.7,5.2 " class="fir-selected"&gt;&lt;/polygon&gt;
&lt;/svg&gt;
&lt;/span&gt;
&lt;/div&gt;
&lt;div class="fir fir-radio" style="display: none;"&gt;
&lt;span class="fir-icon"&gt;
&lt;svg xmlns="http://www.w3.org/2000/svg" viewBox="-1 -1 22 22" class="rounded"&gt;
&lt;circle cx="10" cy="10" r="10" class="fir-base"&gt;&lt;/circle&gt;
&lt;circle cx="10" cy="10" r="9" class="fir-bg"&gt;&lt;/circle&gt;
&lt;circle cx="10" cy="10" r="7" class="fir-selected"&gt;&lt;/circle&gt;
&lt;/svg&gt;
&lt;/span&gt;
&lt;/div&gt;&lt;div class="element even  groupingCols OneColumnEl hasError    clickableCell"&gt;
&lt;span class="cell-sub-wrapper cell-legend-right"&gt;
&lt;span class="cell-input cell-sub-column"&gt;
&lt;input type="radio" name="ans14961.0.0" value="0" id="ans14961.0.0" class="input radio fir-hidden" aria-invalid="true"&gt;&lt;span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for="ans14961.0.0"&gt;Male&lt;/label&gt; &lt;/span&gt;
&lt;/span&gt;
&lt;/div&gt;&lt;div class="element odd  groupingCols OneColumnEl hasError    clickableCell"&gt;
&lt;span class="cell-sub-wrapper cell-legend-right"&gt;
&lt;span class="cell-input cell-sub-column"&gt;
&lt;input type="radio" name="ans14961.0.0" value="1" id="ans14961.0.1" class="input radio fir-hidden" aria-invalid="true"&gt;&lt;span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for="ans14961.0.1"&gt;Female&lt;/label&gt; &lt;/span&gt;
&lt;/span&gt;
&lt;/div&gt;&lt;div class="element even  groupingCols OneColumnEl hasError    clickableCell"&gt;
&lt;span class="cell-sub-wrapper cell-legend-right"&gt;
&lt;span class="cell-input cell-sub-column"&gt;
&lt;input type="radio" name="ans14961.0.0" value="2" id="ans14961.0.2" class="input radio fir-hidden" aria-invalid="true"&gt;&lt;span class="fir-icon"&gt;
&lt;svg xmlns="http://www.w3.org/2000/svg" viewBox="-1 -1 22 22" class="rounded"&gt;
&lt;circle cx="10" cy="10" r="10" class="fir-base"&gt;&lt;/circle&gt;
&lt;circle cx="10" cy="10" r="9" class="fir-bg"&gt;&lt;/circle&gt;
&lt;circle cx="10" cy="10" r="7" class="fir-selected"&gt;&lt;/circle&gt;
&lt;/svg&gt;
&lt;/span&gt;
&lt;/span&gt;
&lt;span class="cell-text cell-sub-column"&gt;&lt;label for="ans14961.0.2"&gt;Other&lt;/label&gt; &lt;/span&gt;
&lt;/span&gt;
&lt;/div&gt;&lt;!-- /.grid --&gt;
&lt;/div&gt;
&lt;!-- /.answers --&gt;
&lt;/div&gt;
&lt;!-- /.question --&gt;&lt;div class="survey-buttons"&gt;
&lt;input type="submit" name="continue" id="btn_continue" class="button continue" value="Continue »" onclick="var i = document.createElement('input'); i.setAttribute('type', 'hidden');i.setAttribute('value', '1');i.setAttribute('name', '__has_javascript');document.forms.primary.appendChild(i);"&gt;
&lt;/div&gt;
&lt;!-- #surveyButtons --&gt;&lt;input type="hidden" name="state" value="20a086ceb8adcecd2e54d5ea6b929c3d256defdbQ0000L7O0000025d"&gt;
&lt;input type="hidden" name="start_time" value="1771138498"&gt;
&lt;script&gt;
$ (window).on("load", function() { setTimeout(function() { Survey.recordPageTiming("selfserve/21a7/260129", "t9kwrgz9xjxzsg9n", "3yhvawz4jtxnsfhx");}, 100); });
&lt;/script&gt;
&lt;/form&gt;
&lt;/div&gt;
&lt;!-- /.survey-body --&gt;
&lt;/div&gt;
&lt;div class="survey-section"&gt;&lt;div class="footer"&gt;&lt;a href="/s/accessibility.html" target="_blank"&gt;Accessibility Statement&lt;/a&gt; - &lt;a href="https://emea.focusvision.com/support?decLang=english&amp;amp;state=20a086ceb8adcecd2e54d5ea6b929c3d256defdbQ0000L7O0000025d" target="_blank"&gt;Help&lt;/a&gt;&lt;/div&gt;
&lt;!-- /.footer --&gt;&lt;/div&gt;
&lt;/div&gt;
&lt;div id="detectBreakpoint"&gt;&lt;/div&gt;
&lt;!-- /.survey-container --&gt;
&lt;/body&gt;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</si>
</sst>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0.0"/>
    <numFmt numFmtId="167" formatCode="0.0%"/>
  </numFmts>
  <fonts count="76" x14ac:knownFonts="1">
    <font>
      <sz val="11"/>
      <color theme="1"/>
      <name val="Calibri"/>
      <family val="2"/>
      <scheme val="minor"/>
    </font>
    <font>
      <b/>
      <sz val="10"/>
      <color rgb="FFFFFFFF"/>
      <name val="Arial"/>
      <family val="2"/>
    </font>
    <font>
      <b/>
      <sz val="11"/>
      <color rgb="FF2D6A4F"/>
      <name val="Arial"/>
      <family val="2"/>
    </font>
    <font>
      <sz val="9"/>
      <name val="Arial"/>
      <family val="2"/>
    </font>
    <font>
      <sz val="9"/>
      <name val="Arial"/>
      <family val="2"/>
    </font>
    <font>
      <sz val="9"/>
      <name val="Fraunces 72pt"/>
    </font>
    <font>
      <sz val="10"/>
      <name val="Fraunces 72pt"/>
    </font>
    <font>
      <sz val="12"/>
      <name val="Fraunces 72pt"/>
    </font>
    <font>
      <sz val="10"/>
      <color theme="1"/>
      <name val="Fraunces 72pt"/>
    </font>
    <font>
      <sz val="12"/>
      <color theme="1"/>
      <name val="Fraunces 72pt"/>
    </font>
    <font>
      <sz val="9"/>
      <name val="Inter"/>
      <family val="2"/>
    </font>
    <font>
      <sz val="11"/>
      <color theme="1"/>
      <name val="Inter"/>
      <family val="2"/>
    </font>
    <font>
      <sz val="9"/>
      <color theme="1"/>
      <name val="Inter"/>
      <family val="2"/>
    </font>
    <font>
      <sz val="10"/>
      <name val="Inter"/>
      <family val="2"/>
    </font>
    <font>
      <sz val="10"/>
      <color theme="1"/>
      <name val="Inter"/>
      <family val="2"/>
    </font>
    <font>
      <b/>
      <sz val="10"/>
      <color rgb="FFFFFFFF"/>
      <name val="Arial"/>
      <family val="2"/>
    </font>
    <font>
      <u/>
      <sz val="11"/>
      <color theme="10"/>
      <name val="Calibri"/>
      <family val="2"/>
      <scheme val="minor"/>
    </font>
    <font>
      <b/>
      <sz val="10"/>
      <color rgb="FFFFFFFF"/>
      <name val="Inter"/>
      <family val="2"/>
    </font>
    <font>
      <sz val="8"/>
      <color theme="1"/>
      <name val="Calibri"/>
      <family val="2"/>
      <scheme val="minor"/>
    </font>
    <font>
      <sz val="8"/>
      <name val="Arial"/>
      <family val="2"/>
    </font>
    <font>
      <sz val="8"/>
      <name val="Fraunces 72pt"/>
    </font>
    <font>
      <sz val="9"/>
      <color theme="1"/>
      <name val="Fraunces 72pt"/>
    </font>
    <font>
      <b/>
      <sz val="9"/>
      <name val="Arial"/>
      <family val="2"/>
    </font>
    <font>
      <b/>
      <sz val="11"/>
      <color rgb="FF2D6A4F"/>
      <name val="Arial"/>
      <family val="2"/>
    </font>
    <font>
      <sz val="12"/>
      <color theme="9"/>
      <name val="Fraunces 72pt"/>
    </font>
    <font>
      <sz val="9"/>
      <color theme="9"/>
      <name val="Arial"/>
      <family val="2"/>
    </font>
    <font>
      <sz val="11"/>
      <color theme="9"/>
      <name val="Calibri"/>
      <family val="2"/>
      <scheme val="minor"/>
    </font>
    <font>
      <b/>
      <sz val="8"/>
      <color rgb="FFFFFFFF"/>
      <name val="Arial Nova Light"/>
      <family val="2"/>
    </font>
    <font>
      <sz val="8"/>
      <color theme="1"/>
      <name val="Arial Nova Light"/>
      <family val="2"/>
    </font>
    <font>
      <sz val="8"/>
      <name val="Arial Nova Light"/>
      <family val="2"/>
    </font>
    <font>
      <b/>
      <sz val="9"/>
      <color theme="1"/>
      <name val="Calibri Light"/>
      <family val="2"/>
    </font>
    <font>
      <sz val="9"/>
      <color theme="9"/>
      <name val="Inter"/>
      <family val="2"/>
    </font>
    <font>
      <b/>
      <sz val="8"/>
      <name val="Arial Nova Light"/>
      <family val="2"/>
    </font>
    <font>
      <b/>
      <sz val="8"/>
      <color rgb="FFC0392B"/>
      <name val="Arial Nova Light"/>
      <family val="2"/>
    </font>
    <font>
      <u/>
      <sz val="8"/>
      <color theme="10"/>
      <name val="Arial Nova Light"/>
      <family val="2"/>
    </font>
    <font>
      <sz val="8"/>
      <color theme="9"/>
      <name val="Arial Nova Light"/>
      <family val="2"/>
    </font>
    <font>
      <sz val="10"/>
      <color theme="9"/>
      <name val="Inter"/>
      <family val="2"/>
    </font>
    <font>
      <sz val="10"/>
      <color theme="9"/>
      <name val="Fraunces 72pt"/>
    </font>
    <font>
      <sz val="11"/>
      <color theme="1"/>
      <name val="Calibri"/>
      <family val="2"/>
      <scheme val="minor"/>
    </font>
    <font>
      <sz val="18"/>
      <color theme="3"/>
      <name val="Cambria"/>
      <family val="2"/>
      <scheme val="major"/>
    </font>
    <font>
      <b/>
      <sz val="13"/>
      <color theme="3"/>
      <name val="Arial Nova Light"/>
      <family val="2"/>
    </font>
    <font>
      <b/>
      <sz val="11"/>
      <color theme="3"/>
      <name val="Arial Nova Light"/>
      <family val="2"/>
    </font>
    <font>
      <b/>
      <sz val="11"/>
      <color rgb="FF3F3F3F"/>
      <name val="Arial Nova Light"/>
      <family val="2"/>
    </font>
    <font>
      <b/>
      <sz val="11"/>
      <color theme="0"/>
      <name val="Arial Nova Light"/>
      <family val="2"/>
    </font>
    <font>
      <b/>
      <sz val="11"/>
      <color theme="1"/>
      <name val="Arial Nova Light"/>
      <family val="2"/>
    </font>
    <font>
      <sz val="11"/>
      <color theme="0"/>
      <name val="Arial Nova Light"/>
      <family val="2"/>
    </font>
    <font>
      <sz val="9"/>
      <color theme="1"/>
      <name val="Arial Nova Light"/>
      <family val="2"/>
    </font>
    <font>
      <sz val="9"/>
      <name val="Arial Nova Light"/>
      <family val="2"/>
    </font>
    <font>
      <sz val="11"/>
      <name val="Fraunces 72pt"/>
    </font>
    <font>
      <b/>
      <sz val="9"/>
      <name val="Arial Nova Light"/>
      <family val="2"/>
    </font>
    <font>
      <sz val="10"/>
      <color theme="1"/>
      <name val="Arial Nova Light"/>
      <family val="2"/>
    </font>
    <font>
      <sz val="8"/>
      <color theme="1" tint="0.499984740745262"/>
      <name val="Arial Nova Light"/>
      <family val="2"/>
    </font>
    <font>
      <b/>
      <sz val="18"/>
      <color theme="1"/>
      <name val="Arial Nova Light"/>
      <family val="2"/>
    </font>
    <font>
      <b/>
      <sz val="11"/>
      <color theme="3" tint="0.499984740745262"/>
      <name val="Arial Nova Light"/>
      <family val="2"/>
    </font>
    <font>
      <sz val="9"/>
      <color theme="1" tint="0.499984740745262"/>
      <name val="Arial Nova Light"/>
      <family val="2"/>
    </font>
    <font>
      <sz val="11"/>
      <color theme="6"/>
      <name val="Arial Nova Light"/>
      <family val="2"/>
    </font>
    <font>
      <b/>
      <sz val="22"/>
      <color theme="1"/>
      <name val="Arial Nova Light"/>
      <family val="2"/>
    </font>
    <font>
      <sz val="11"/>
      <color theme="3"/>
      <name val="Arial Nova Light"/>
      <family val="2"/>
    </font>
    <font>
      <sz val="12"/>
      <color theme="1"/>
      <name val="Arial Nova Light"/>
      <family val="2"/>
    </font>
    <font>
      <b/>
      <sz val="12"/>
      <color theme="4" tint="0.59999389629810485"/>
      <name val="Arial Nova Light"/>
      <family val="2"/>
    </font>
    <font>
      <b/>
      <sz val="12"/>
      <color rgb="FFFF0000"/>
      <name val="Arial Nova Light"/>
      <family val="2"/>
    </font>
    <font>
      <sz val="10"/>
      <color theme="3"/>
      <name val="Arial Nova Light"/>
      <family val="2"/>
    </font>
    <font>
      <b/>
      <sz val="13"/>
      <color rgb="FFFF0000"/>
      <name val="Arial Nova Light"/>
      <family val="2"/>
    </font>
    <font>
      <sz val="18"/>
      <color rgb="FFFF0000"/>
      <name val="Cambria"/>
      <family val="2"/>
      <scheme val="major"/>
    </font>
    <font>
      <sz val="9"/>
      <color rgb="FF00B0F0"/>
      <name val="Arial Nova Light"/>
      <family val="2"/>
    </font>
    <font>
      <b/>
      <sz val="11"/>
      <name val="Arial"/>
      <family val="2"/>
    </font>
    <font>
      <sz val="10"/>
      <name val="Consolas"/>
      <family val="3"/>
    </font>
    <font>
      <b/>
      <sz val="10"/>
      <name val="Arial"/>
      <family val="2"/>
    </font>
    <font>
      <i/>
      <sz val="9"/>
      <color rgb="FF666666"/>
      <name val="Arial"/>
      <family val="2"/>
    </font>
    <font>
      <b/>
      <sz val="10"/>
      <color rgb="FFFFFFFF"/>
      <name val="Arial"/>
      <family val="2"/>
    </font>
    <font>
      <b/>
      <sz val="10"/>
      <color rgb="FF1A237E"/>
      <name val="Arial"/>
      <family val="2"/>
    </font>
    <font>
      <sz val="8.5"/>
      <name val="Consolas"/>
      <family val="3"/>
    </font>
    <font>
      <b/>
      <sz val="12"/>
      <color rgb="FFFFFFFF"/>
      <name val="Arial"/>
      <family val="2"/>
    </font>
    <font>
      <b/>
      <sz val="9"/>
      <color rgb="FFFFFFFF"/>
      <name val="Consolas"/>
      <family val="3"/>
    </font>
    <font>
      <b/>
      <sz val="9"/>
      <color rgb="FF333333"/>
      <name val="Consolas"/>
      <family val="3"/>
    </font>
    <font>
      <b/>
      <sz val="9"/>
      <color rgb="FF37474F"/>
      <name val="Arial"/>
      <family val="2"/>
    </font>
  </fonts>
  <fills count="51">
    <fill>
      <patternFill patternType="none"/>
    </fill>
    <fill>
      <patternFill patternType="gray125"/>
    </fill>
    <fill>
      <patternFill patternType="solid">
        <fgColor rgb="FF2D6A4F"/>
      </patternFill>
    </fill>
    <fill>
      <patternFill patternType="solid">
        <fgColor rgb="FFD8F3DC"/>
      </patternFill>
    </fill>
    <fill>
      <patternFill patternType="solid">
        <fgColor rgb="FFFDEBD0"/>
      </patternFill>
    </fill>
    <fill>
      <patternFill patternType="solid">
        <fgColor rgb="FFFADBD8"/>
      </patternFill>
    </fill>
    <fill>
      <patternFill patternType="solid">
        <fgColor rgb="FFD5F5E3"/>
      </patternFill>
    </fill>
    <fill>
      <patternFill patternType="solid">
        <fgColor theme="9"/>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A8E2C5"/>
        <bgColor indexed="64"/>
      </patternFill>
    </fill>
    <fill>
      <patternFill patternType="solid">
        <fgColor rgb="FFF2F2F2"/>
      </patternFill>
    </fill>
    <fill>
      <patternFill patternType="solid">
        <fgColor rgb="FFA5A5A5"/>
      </patternFill>
    </fill>
    <fill>
      <patternFill patternType="solid">
        <fgColor theme="4"/>
      </patternFill>
    </fill>
    <fill>
      <patternFill patternType="solid">
        <fgColor theme="7"/>
      </patternFill>
    </fill>
    <fill>
      <patternFill patternType="solid">
        <fgColor theme="4" tint="0.79998168889431442"/>
        <bgColor indexed="64"/>
      </patternFill>
    </fill>
    <fill>
      <patternFill patternType="solid">
        <fgColor rgb="FF002060"/>
        <bgColor indexed="64"/>
      </patternFill>
    </fill>
    <fill>
      <patternFill patternType="solid">
        <fgColor rgb="FFFF0000"/>
        <bgColor indexed="64"/>
      </patternFill>
    </fill>
    <fill>
      <patternFill patternType="solid">
        <fgColor rgb="FFC00000"/>
        <bgColor indexed="64"/>
      </patternFill>
    </fill>
    <fill>
      <patternFill patternType="solid">
        <fgColor theme="7" tint="0.79998168889431442"/>
        <bgColor indexed="64"/>
      </patternFill>
    </fill>
    <fill>
      <patternFill patternType="solid">
        <fgColor rgb="FFFF7C80"/>
        <bgColor indexed="64"/>
      </patternFill>
    </fill>
    <fill>
      <patternFill patternType="solid">
        <fgColor rgb="FFE8F5E9"/>
      </patternFill>
    </fill>
    <fill>
      <patternFill patternType="solid">
        <fgColor rgb="FFD5E8D4"/>
      </patternFill>
    </fill>
    <fill>
      <patternFill patternType="solid">
        <fgColor rgb="FFFFF3E0"/>
      </patternFill>
    </fill>
    <fill>
      <patternFill patternType="solid">
        <fgColor rgb="FFE3F2FD"/>
      </patternFill>
    </fill>
    <fill>
      <patternFill patternType="solid">
        <fgColor rgb="FFFFF9C4"/>
      </patternFill>
    </fill>
    <fill>
      <patternFill patternType="solid">
        <fgColor rgb="FFFCE4EC"/>
      </patternFill>
    </fill>
    <fill>
      <patternFill patternType="solid">
        <fgColor rgb="FFF5F5F5"/>
      </patternFill>
    </fill>
    <fill>
      <patternFill patternType="solid">
        <fgColor rgb="FFE8EAF6"/>
      </patternFill>
    </fill>
    <fill>
      <patternFill patternType="solid">
        <fgColor rgb="FF2C3E50"/>
      </patternFill>
    </fill>
    <fill>
      <patternFill patternType="solid">
        <fgColor rgb="FFC5CAE9"/>
      </patternFill>
    </fill>
    <fill>
      <patternFill patternType="solid">
        <fgColor rgb="FFF3E5F5"/>
      </patternFill>
    </fill>
    <fill>
      <patternFill patternType="solid">
        <fgColor rgb="FF6B7F4E"/>
      </patternFill>
    </fill>
    <fill>
      <patternFill patternType="solid">
        <fgColor rgb="FF5A6B42"/>
      </patternFill>
    </fill>
    <fill>
      <patternFill patternType="solid">
        <fgColor rgb="FFF5F2ED"/>
      </patternFill>
    </fill>
    <fill>
      <patternFill patternType="solid">
        <fgColor rgb="FFFFFFFF"/>
      </patternFill>
    </fill>
    <fill>
      <patternFill patternType="solid">
        <fgColor rgb="FFF8F5F0"/>
      </patternFill>
    </fill>
    <fill>
      <patternFill patternType="solid">
        <fgColor rgb="FFE8E4DE"/>
      </patternFill>
    </fill>
    <fill>
      <patternFill patternType="solid">
        <fgColor rgb="FF333333"/>
      </patternFill>
    </fill>
    <fill>
      <patternFill patternType="solid">
        <fgColor rgb="FF888888"/>
      </patternFill>
    </fill>
    <fill>
      <patternFill patternType="solid">
        <fgColor rgb="FFC62828"/>
      </patternFill>
    </fill>
    <fill>
      <patternFill patternType="solid">
        <fgColor rgb="FF2E7D32"/>
      </patternFill>
    </fill>
    <fill>
      <patternFill patternType="solid">
        <fgColor rgb="FF4CAF50"/>
      </patternFill>
    </fill>
    <fill>
      <patternFill patternType="solid">
        <fgColor rgb="FFD5D0C8"/>
      </patternFill>
    </fill>
    <fill>
      <patternFill patternType="solid">
        <fgColor rgb="FFFFEBEE"/>
      </patternFill>
    </fill>
    <fill>
      <patternFill patternType="solid">
        <fgColor rgb="FFE0DCD6"/>
      </patternFill>
    </fill>
    <fill>
      <patternFill patternType="solid">
        <fgColor rgb="FF1565C0"/>
      </patternFill>
    </fill>
    <fill>
      <patternFill patternType="solid">
        <fgColor rgb="FFE0E0E0"/>
      </patternFill>
    </fill>
    <fill>
      <patternFill patternType="solid">
        <fgColor rgb="FF999999"/>
      </patternFill>
    </fill>
    <fill>
      <patternFill patternType="solid">
        <fgColor rgb="FF555555"/>
      </patternFill>
    </fill>
    <fill>
      <patternFill patternType="solid">
        <fgColor rgb="FFAAAAAA"/>
      </patternFill>
    </fill>
  </fills>
  <borders count="29">
    <border>
      <left/>
      <right/>
      <top/>
      <bottom/>
      <diagonal/>
    </border>
    <border>
      <left/>
      <right/>
      <top/>
      <bottom style="thin">
        <color rgb="FFCCCCCC"/>
      </bottom>
      <diagonal/>
    </border>
    <border>
      <left style="dotted">
        <color rgb="FFD9D9D9"/>
      </left>
      <right style="dotted">
        <color rgb="FFD9D9D9"/>
      </right>
      <top style="dotted">
        <color rgb="FFD9D9D9"/>
      </top>
      <bottom style="dotted">
        <color rgb="FFD9D9D9"/>
      </bottom>
      <diagonal/>
    </border>
    <border>
      <left style="dotted">
        <color rgb="FFD9D9D9"/>
      </left>
      <right style="dotted">
        <color rgb="FFD9D9D9"/>
      </right>
      <top/>
      <bottom style="dotted">
        <color rgb="FFD9D9D9"/>
      </bottom>
      <diagonal/>
    </border>
    <border>
      <left style="dotted">
        <color rgb="FFD9D9D9"/>
      </left>
      <right style="dotted">
        <color rgb="FFD9D9D9"/>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right/>
      <top/>
      <bottom style="thick">
        <color rgb="FFFF0000"/>
      </bottom>
      <diagonal/>
    </border>
    <border>
      <left/>
      <right/>
      <top style="thick">
        <color rgb="FFFF0000"/>
      </top>
      <bottom style="thick">
        <color rgb="FFFF0000"/>
      </bottom>
      <diagonal/>
    </border>
    <border>
      <left style="thin">
        <color auto="1"/>
      </left>
      <right style="thin">
        <color auto="1"/>
      </right>
      <top style="thin">
        <color auto="1"/>
      </top>
      <bottom style="thin">
        <color auto="1"/>
      </bottom>
      <diagonal/>
    </border>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xf numFmtId="0" fontId="16" fillId="0" borderId="0"/>
    <xf numFmtId="9" fontId="38" fillId="0" borderId="0"/>
    <xf numFmtId="0" fontId="39" fillId="0" borderId="0"/>
    <xf numFmtId="0" fontId="40" fillId="0" borderId="10"/>
    <xf numFmtId="0" fontId="41" fillId="0" borderId="11"/>
    <xf numFmtId="0" fontId="42" fillId="11" borderId="12"/>
    <xf numFmtId="0" fontId="43" fillId="12" borderId="13"/>
    <xf numFmtId="0" fontId="45" fillId="13" borderId="0"/>
    <xf numFmtId="0" fontId="45" fillId="14" borderId="0"/>
  </cellStyleXfs>
  <cellXfs count="245">
    <xf numFmtId="0" fontId="0" fillId="0" borderId="0" xfId="0"/>
    <xf numFmtId="0" fontId="1" fillId="2" borderId="0" xfId="0" applyFont="1" applyFill="1" applyAlignment="1">
      <alignment horizontal="center"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2" fillId="3" borderId="0" xfId="0" applyFont="1" applyFill="1" applyAlignment="1">
      <alignment vertical="center"/>
    </xf>
    <xf numFmtId="0" fontId="3" fillId="0" borderId="0" xfId="0" applyFont="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10" fillId="0" borderId="1" xfId="0" applyFont="1" applyBorder="1" applyAlignment="1">
      <alignment vertical="top" wrapText="1"/>
    </xf>
    <xf numFmtId="0" fontId="13" fillId="0" borderId="1" xfId="0" applyFont="1" applyBorder="1" applyAlignment="1">
      <alignment vertical="top" wrapText="1"/>
    </xf>
    <xf numFmtId="0" fontId="0" fillId="0" borderId="0" xfId="0" applyAlignment="1">
      <alignment vertical="top"/>
    </xf>
    <xf numFmtId="0" fontId="14" fillId="0" borderId="0" xfId="0" applyFont="1" applyAlignment="1">
      <alignment vertical="top" wrapText="1"/>
    </xf>
    <xf numFmtId="0" fontId="15" fillId="2" borderId="0" xfId="0" applyFont="1" applyFill="1" applyAlignment="1">
      <alignment horizontal="center" vertical="top" wrapText="1"/>
    </xf>
    <xf numFmtId="0" fontId="17" fillId="2" borderId="0" xfId="0" applyFont="1" applyFill="1" applyAlignment="1">
      <alignment horizontal="center" vertical="top" wrapText="1"/>
    </xf>
    <xf numFmtId="0" fontId="11" fillId="0" borderId="0" xfId="0" applyFont="1" applyAlignment="1">
      <alignment vertical="top"/>
    </xf>
    <xf numFmtId="0" fontId="11" fillId="0" borderId="0" xfId="0" applyFont="1" applyAlignment="1">
      <alignment vertical="top" wrapText="1"/>
    </xf>
    <xf numFmtId="0" fontId="0" fillId="0" borderId="0" xfId="0" applyAlignment="1">
      <alignment wrapText="1"/>
    </xf>
    <xf numFmtId="0" fontId="18" fillId="0" borderId="0" xfId="0" applyFont="1"/>
    <xf numFmtId="0" fontId="19" fillId="0" borderId="1" xfId="0" applyFont="1" applyBorder="1" applyAlignment="1">
      <alignment vertical="top" wrapText="1"/>
    </xf>
    <xf numFmtId="0" fontId="18" fillId="0" borderId="0" xfId="0" applyFont="1" applyAlignment="1">
      <alignment wrapText="1"/>
    </xf>
    <xf numFmtId="0" fontId="7" fillId="0" borderId="0" xfId="0" applyFont="1" applyAlignment="1">
      <alignment vertical="top" wrapText="1"/>
    </xf>
    <xf numFmtId="0" fontId="19" fillId="0" borderId="0" xfId="0" applyFont="1" applyAlignment="1">
      <alignment vertical="top" wrapText="1"/>
    </xf>
    <xf numFmtId="0" fontId="11" fillId="0" borderId="0" xfId="0" applyFont="1" applyAlignment="1">
      <alignment wrapText="1"/>
    </xf>
    <xf numFmtId="0" fontId="7" fillId="0" borderId="1" xfId="0" applyFont="1" applyBorder="1" applyAlignment="1">
      <alignment wrapText="1"/>
    </xf>
    <xf numFmtId="0" fontId="10" fillId="0" borderId="1" xfId="0" applyFont="1" applyBorder="1" applyAlignment="1">
      <alignment wrapText="1"/>
    </xf>
    <xf numFmtId="0" fontId="20" fillId="0" borderId="1" xfId="0" applyFont="1" applyBorder="1" applyAlignment="1">
      <alignment vertical="top" wrapText="1"/>
    </xf>
    <xf numFmtId="0" fontId="4" fillId="0" borderId="0" xfId="0" applyFont="1" applyAlignment="1">
      <alignment vertical="top" wrapText="1"/>
    </xf>
    <xf numFmtId="0" fontId="10" fillId="0" borderId="0" xfId="0" applyFont="1" applyAlignment="1">
      <alignment vertical="top" wrapText="1"/>
    </xf>
    <xf numFmtId="0" fontId="3" fillId="6" borderId="0" xfId="0" applyFont="1" applyFill="1" applyAlignment="1">
      <alignment vertical="top" wrapText="1"/>
    </xf>
    <xf numFmtId="0" fontId="5" fillId="0" borderId="0" xfId="0" applyFont="1" applyAlignment="1">
      <alignment vertical="top" wrapText="1"/>
    </xf>
    <xf numFmtId="0" fontId="9" fillId="0" borderId="0" xfId="0" applyFont="1" applyAlignment="1">
      <alignment wrapText="1"/>
    </xf>
    <xf numFmtId="0" fontId="21" fillId="0" borderId="0" xfId="0" applyFont="1" applyAlignment="1">
      <alignment vertical="top"/>
    </xf>
    <xf numFmtId="0" fontId="12" fillId="0" borderId="0" xfId="0" applyFont="1" applyAlignment="1">
      <alignment vertical="top" wrapText="1"/>
    </xf>
    <xf numFmtId="0" fontId="3" fillId="4" borderId="0" xfId="0" applyFont="1" applyFill="1" applyAlignment="1">
      <alignment vertical="top" wrapText="1"/>
    </xf>
    <xf numFmtId="0" fontId="0" fillId="7" borderId="0" xfId="0" applyFill="1"/>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0" fontId="26" fillId="0" borderId="0" xfId="0" applyFont="1" applyAlignment="1">
      <alignment vertical="top"/>
    </xf>
    <xf numFmtId="0" fontId="24" fillId="0" borderId="0" xfId="0" applyFont="1" applyAlignment="1">
      <alignment vertical="top" wrapText="1"/>
    </xf>
    <xf numFmtId="0" fontId="24" fillId="0" borderId="0" xfId="0" applyFont="1" applyAlignment="1">
      <alignment vertical="top"/>
    </xf>
    <xf numFmtId="0" fontId="27" fillId="2" borderId="0" xfId="0" applyFont="1" applyFill="1" applyAlignment="1">
      <alignment horizontal="center" vertical="top" wrapText="1"/>
    </xf>
    <xf numFmtId="0" fontId="28" fillId="0" borderId="0" xfId="0" applyFont="1"/>
    <xf numFmtId="0" fontId="29" fillId="0" borderId="1" xfId="0" applyFont="1" applyBorder="1" applyAlignment="1">
      <alignment vertical="top" wrapText="1"/>
    </xf>
    <xf numFmtId="0" fontId="29" fillId="0" borderId="0" xfId="0" applyFont="1" applyAlignment="1">
      <alignment vertical="top" wrapText="1"/>
    </xf>
    <xf numFmtId="0" fontId="28" fillId="0" borderId="0" xfId="0" applyFont="1" applyAlignment="1">
      <alignment vertical="top"/>
    </xf>
    <xf numFmtId="0" fontId="0" fillId="0" borderId="8" xfId="0" applyBorder="1"/>
    <xf numFmtId="0" fontId="10" fillId="9" borderId="1" xfId="0" applyFont="1" applyFill="1" applyBorder="1" applyAlignment="1">
      <alignment vertical="top" wrapText="1"/>
    </xf>
    <xf numFmtId="0" fontId="5" fillId="9" borderId="1" xfId="0" applyFont="1" applyFill="1" applyBorder="1" applyAlignment="1">
      <alignment vertical="top" wrapText="1"/>
    </xf>
    <xf numFmtId="0" fontId="9" fillId="0" borderId="0" xfId="0" applyFont="1" applyAlignment="1">
      <alignment vertical="top" wrapText="1"/>
    </xf>
    <xf numFmtId="0" fontId="31" fillId="0" borderId="1" xfId="0" applyFont="1" applyBorder="1" applyAlignment="1">
      <alignment vertical="top" wrapText="1"/>
    </xf>
    <xf numFmtId="0" fontId="3" fillId="9" borderId="0" xfId="0" applyFont="1" applyFill="1" applyAlignment="1">
      <alignment vertical="top" wrapText="1"/>
    </xf>
    <xf numFmtId="0" fontId="31" fillId="0" borderId="0" xfId="0" applyFont="1" applyAlignment="1">
      <alignment vertical="top" wrapText="1"/>
    </xf>
    <xf numFmtId="0" fontId="10" fillId="9" borderId="0" xfId="0" applyFont="1" applyFill="1" applyAlignment="1">
      <alignment horizontal="right" vertical="top" wrapText="1"/>
    </xf>
    <xf numFmtId="0" fontId="5" fillId="9" borderId="0" xfId="0" applyFont="1" applyFill="1" applyAlignment="1">
      <alignment vertical="top" wrapText="1"/>
    </xf>
    <xf numFmtId="0" fontId="32" fillId="4" borderId="1" xfId="0" applyFont="1" applyFill="1" applyBorder="1" applyAlignment="1">
      <alignment vertical="top" wrapText="1"/>
    </xf>
    <xf numFmtId="0" fontId="33" fillId="5" borderId="1" xfId="0" applyFont="1" applyFill="1" applyBorder="1" applyAlignment="1">
      <alignment vertical="top" wrapText="1"/>
    </xf>
    <xf numFmtId="0" fontId="34" fillId="0" borderId="0" xfId="1" applyFont="1"/>
    <xf numFmtId="0" fontId="35" fillId="0" borderId="1" xfId="0" applyFont="1" applyBorder="1" applyAlignment="1">
      <alignment vertical="top" wrapText="1"/>
    </xf>
    <xf numFmtId="0" fontId="0" fillId="10" borderId="0" xfId="0" applyFill="1"/>
    <xf numFmtId="0" fontId="2" fillId="10" borderId="0" xfId="0" applyFont="1" applyFill="1" applyAlignment="1">
      <alignment vertical="center"/>
    </xf>
    <xf numFmtId="0" fontId="11" fillId="10" borderId="0" xfId="0" applyFont="1" applyFill="1" applyAlignment="1">
      <alignment wrapText="1"/>
    </xf>
    <xf numFmtId="0" fontId="11" fillId="10" borderId="0" xfId="0" applyFont="1" applyFill="1" applyAlignment="1">
      <alignment vertical="top"/>
    </xf>
    <xf numFmtId="0" fontId="28" fillId="10" borderId="0" xfId="0" applyFont="1" applyFill="1"/>
    <xf numFmtId="0" fontId="18" fillId="10" borderId="0" xfId="0" applyFont="1" applyFill="1"/>
    <xf numFmtId="0" fontId="23" fillId="10" borderId="0" xfId="0" applyFont="1" applyFill="1" applyAlignment="1">
      <alignment vertical="center"/>
    </xf>
    <xf numFmtId="0" fontId="14" fillId="10" borderId="0" xfId="0" applyFont="1" applyFill="1" applyAlignment="1">
      <alignment vertical="top" wrapText="1"/>
    </xf>
    <xf numFmtId="0" fontId="11" fillId="10" borderId="0" xfId="0" applyFont="1" applyFill="1" applyAlignment="1">
      <alignment vertical="top" wrapText="1"/>
    </xf>
    <xf numFmtId="0" fontId="22" fillId="0" borderId="1" xfId="0" applyFont="1" applyBorder="1" applyAlignment="1">
      <alignment vertical="top" wrapText="1"/>
    </xf>
    <xf numFmtId="0" fontId="4" fillId="9" borderId="1" xfId="0" applyFont="1" applyFill="1" applyBorder="1" applyAlignment="1">
      <alignment vertical="top" wrapText="1"/>
    </xf>
    <xf numFmtId="0" fontId="36" fillId="0" borderId="0" xfId="0" applyFont="1" applyAlignment="1">
      <alignment vertical="top" wrapText="1"/>
    </xf>
    <xf numFmtId="0" fontId="37" fillId="0" borderId="1" xfId="0" applyFont="1" applyBorder="1" applyAlignment="1">
      <alignment vertical="top" wrapText="1"/>
    </xf>
    <xf numFmtId="0" fontId="8" fillId="0" borderId="0" xfId="0" applyFont="1" applyAlignment="1">
      <alignment vertical="top"/>
    </xf>
    <xf numFmtId="16" fontId="4" fillId="0" borderId="0" xfId="0" applyNumberFormat="1" applyFont="1" applyAlignment="1">
      <alignment vertical="top" wrapText="1"/>
    </xf>
    <xf numFmtId="0" fontId="16" fillId="0" borderId="0" xfId="1" applyAlignment="1">
      <alignment vertical="top" wrapText="1"/>
    </xf>
    <xf numFmtId="0" fontId="4" fillId="4" borderId="1" xfId="0" applyFont="1" applyFill="1" applyBorder="1" applyAlignment="1">
      <alignment vertical="top" wrapText="1"/>
    </xf>
    <xf numFmtId="0" fontId="12" fillId="0" borderId="0" xfId="0" applyFont="1" applyAlignment="1">
      <alignment wrapText="1"/>
    </xf>
    <xf numFmtId="0" fontId="29" fillId="0" borderId="0" xfId="0" applyFont="1" applyAlignment="1">
      <alignment horizontal="left" vertical="top" wrapText="1"/>
    </xf>
    <xf numFmtId="0" fontId="46" fillId="0" borderId="0" xfId="0" applyFont="1"/>
    <xf numFmtId="0" fontId="47" fillId="0" borderId="1" xfId="0" applyFont="1" applyBorder="1" applyAlignment="1">
      <alignment vertical="top" wrapText="1"/>
    </xf>
    <xf numFmtId="0" fontId="3" fillId="8" borderId="0" xfId="0" applyFont="1" applyFill="1" applyAlignment="1">
      <alignment vertical="top" wrapText="1"/>
    </xf>
    <xf numFmtId="0" fontId="37" fillId="0" borderId="2" xfId="0" applyFont="1" applyBorder="1" applyAlignment="1">
      <alignment vertical="center" wrapText="1"/>
    </xf>
    <xf numFmtId="0" fontId="37" fillId="0" borderId="3" xfId="0" applyFont="1" applyBorder="1" applyAlignment="1">
      <alignment vertical="center" wrapText="1"/>
    </xf>
    <xf numFmtId="0" fontId="37" fillId="0" borderId="4" xfId="0" applyFont="1" applyBorder="1" applyAlignment="1">
      <alignment vertical="center" wrapText="1"/>
    </xf>
    <xf numFmtId="0" fontId="32" fillId="7" borderId="0" xfId="0" applyFont="1" applyFill="1" applyAlignment="1">
      <alignment horizontal="right" vertical="top" wrapText="1"/>
    </xf>
    <xf numFmtId="0" fontId="47" fillId="0" borderId="0" xfId="0" applyFont="1" applyAlignment="1">
      <alignment vertical="top" wrapText="1"/>
    </xf>
    <xf numFmtId="0" fontId="49" fillId="0" borderId="0" xfId="0" applyFont="1" applyAlignment="1">
      <alignment vertical="top" wrapText="1"/>
    </xf>
    <xf numFmtId="0" fontId="48" fillId="0" borderId="1" xfId="0" applyFont="1" applyBorder="1" applyAlignment="1">
      <alignment vertical="top" wrapText="1"/>
    </xf>
    <xf numFmtId="0" fontId="9" fillId="0" borderId="0" xfId="0" applyFont="1"/>
    <xf numFmtId="0" fontId="0" fillId="0" borderId="0" xfId="0" applyProtection="1">
      <protection locked="0"/>
    </xf>
    <xf numFmtId="0" fontId="30" fillId="15" borderId="0" xfId="0" applyFont="1" applyFill="1"/>
    <xf numFmtId="0" fontId="44" fillId="0" borderId="0" xfId="0" applyFont="1" applyAlignment="1">
      <alignment horizontal="center" vertical="center" wrapText="1"/>
    </xf>
    <xf numFmtId="0" fontId="0" fillId="15" borderId="0" xfId="0" applyFill="1"/>
    <xf numFmtId="0" fontId="50" fillId="0" borderId="0" xfId="0" applyFont="1"/>
    <xf numFmtId="0" fontId="51" fillId="0" borderId="0" xfId="0" applyFont="1"/>
    <xf numFmtId="0" fontId="42" fillId="11" borderId="12" xfId="6"/>
    <xf numFmtId="0" fontId="42" fillId="11" borderId="12" xfId="6" applyProtection="1">
      <protection locked="0"/>
    </xf>
    <xf numFmtId="0" fontId="45" fillId="16" borderId="0" xfId="8" applyFill="1"/>
    <xf numFmtId="0" fontId="30" fillId="17" borderId="0" xfId="0" applyFont="1" applyFill="1"/>
    <xf numFmtId="0" fontId="0" fillId="17" borderId="0" xfId="0" applyFill="1"/>
    <xf numFmtId="0" fontId="45" fillId="18" borderId="0" xfId="8" applyFill="1"/>
    <xf numFmtId="0" fontId="52" fillId="0" borderId="0" xfId="0" applyFont="1"/>
    <xf numFmtId="0" fontId="43" fillId="12" borderId="14" xfId="7" applyBorder="1" applyProtection="1">
      <protection locked="0"/>
    </xf>
    <xf numFmtId="0" fontId="45" fillId="16" borderId="0" xfId="9" applyFill="1"/>
    <xf numFmtId="0" fontId="53" fillId="0" borderId="5" xfId="0" applyFont="1" applyBorder="1" applyAlignment="1">
      <alignment horizontal="left" vertical="top"/>
    </xf>
    <xf numFmtId="0" fontId="50" fillId="0" borderId="0" xfId="0" applyFont="1" applyAlignment="1">
      <alignment horizontal="left" vertical="top"/>
    </xf>
    <xf numFmtId="0" fontId="54" fillId="0" borderId="0" xfId="0" applyFont="1" applyAlignment="1">
      <alignment horizontal="left" vertical="top"/>
    </xf>
    <xf numFmtId="0" fontId="0" fillId="0" borderId="0" xfId="0" applyAlignment="1">
      <alignment horizontal="left" vertical="top"/>
    </xf>
    <xf numFmtId="0" fontId="46" fillId="0" borderId="0" xfId="0" applyFont="1" applyAlignment="1">
      <alignment horizontal="left" vertical="top"/>
    </xf>
    <xf numFmtId="0" fontId="55" fillId="0" borderId="6" xfId="0" applyFont="1" applyBorder="1"/>
    <xf numFmtId="0" fontId="53" fillId="0" borderId="7" xfId="0" applyFont="1" applyBorder="1" applyAlignment="1">
      <alignment horizontal="left" vertical="top"/>
    </xf>
    <xf numFmtId="0" fontId="50" fillId="0" borderId="8" xfId="0" applyFont="1" applyBorder="1" applyAlignment="1">
      <alignment horizontal="left" vertical="top"/>
    </xf>
    <xf numFmtId="0" fontId="54" fillId="0" borderId="8" xfId="0" applyFont="1" applyBorder="1" applyAlignment="1">
      <alignment horizontal="left" vertical="top"/>
    </xf>
    <xf numFmtId="0" fontId="0" fillId="0" borderId="8" xfId="0" quotePrefix="1" applyBorder="1" applyAlignment="1">
      <alignment horizontal="left" vertical="top"/>
    </xf>
    <xf numFmtId="0" fontId="46" fillId="0" borderId="8" xfId="0" applyFont="1" applyBorder="1" applyAlignment="1">
      <alignment horizontal="left" vertical="top"/>
    </xf>
    <xf numFmtId="0" fontId="55" fillId="0" borderId="9" xfId="0" applyFont="1" applyBorder="1"/>
    <xf numFmtId="0" fontId="53" fillId="0" borderId="0" xfId="0" applyFont="1" applyAlignment="1">
      <alignment horizontal="left" vertical="top"/>
    </xf>
    <xf numFmtId="0" fontId="0" fillId="0" borderId="0" xfId="0" quotePrefix="1" applyAlignment="1">
      <alignment horizontal="left" vertical="top"/>
    </xf>
    <xf numFmtId="0" fontId="55" fillId="0" borderId="0" xfId="0" applyFont="1"/>
    <xf numFmtId="0" fontId="55" fillId="0" borderId="0" xfId="0" applyFont="1" applyProtection="1">
      <protection locked="0"/>
    </xf>
    <xf numFmtId="0" fontId="56" fillId="19" borderId="15" xfId="0" applyFont="1" applyFill="1" applyBorder="1"/>
    <xf numFmtId="0" fontId="0" fillId="19" borderId="16" xfId="0" applyFill="1" applyBorder="1"/>
    <xf numFmtId="2" fontId="44" fillId="0" borderId="0" xfId="0" applyNumberFormat="1" applyFont="1"/>
    <xf numFmtId="164" fontId="44" fillId="0" borderId="0" xfId="0" applyNumberFormat="1" applyFont="1"/>
    <xf numFmtId="0" fontId="0" fillId="19" borderId="18" xfId="0" applyFill="1" applyBorder="1"/>
    <xf numFmtId="0" fontId="0" fillId="19" borderId="0" xfId="0" applyFill="1"/>
    <xf numFmtId="0" fontId="44" fillId="19" borderId="0" xfId="0" applyFont="1" applyFill="1"/>
    <xf numFmtId="0" fontId="44" fillId="19" borderId="19" xfId="0" applyFont="1" applyFill="1" applyBorder="1"/>
    <xf numFmtId="0" fontId="44" fillId="0" borderId="0" xfId="0" applyFont="1"/>
    <xf numFmtId="0" fontId="50" fillId="19" borderId="0" xfId="0" applyFont="1" applyFill="1"/>
    <xf numFmtId="0" fontId="0" fillId="19" borderId="19" xfId="0" applyFill="1" applyBorder="1"/>
    <xf numFmtId="165" fontId="43" fillId="12" borderId="13" xfId="7" applyNumberFormat="1"/>
    <xf numFmtId="2" fontId="0" fillId="0" borderId="0" xfId="0" applyNumberFormat="1"/>
    <xf numFmtId="2" fontId="55" fillId="0" borderId="0" xfId="0" applyNumberFormat="1" applyFont="1"/>
    <xf numFmtId="0" fontId="43" fillId="12" borderId="13" xfId="7"/>
    <xf numFmtId="0" fontId="0" fillId="19" borderId="20" xfId="0" applyFill="1" applyBorder="1"/>
    <xf numFmtId="0" fontId="0" fillId="19" borderId="21" xfId="0" applyFill="1" applyBorder="1"/>
    <xf numFmtId="0" fontId="0" fillId="19" borderId="22" xfId="0" applyFill="1" applyBorder="1"/>
    <xf numFmtId="2" fontId="57" fillId="0" borderId="11" xfId="5" applyNumberFormat="1" applyFont="1"/>
    <xf numFmtId="0" fontId="58" fillId="0" borderId="0" xfId="0" applyFont="1" applyAlignment="1">
      <alignment horizontal="right"/>
    </xf>
    <xf numFmtId="166" fontId="40" fillId="0" borderId="10" xfId="4" applyNumberFormat="1"/>
    <xf numFmtId="0" fontId="59" fillId="0" borderId="0" xfId="0" applyFont="1" applyAlignment="1">
      <alignment horizontal="center"/>
    </xf>
    <xf numFmtId="0" fontId="40" fillId="0" borderId="10" xfId="4"/>
    <xf numFmtId="166" fontId="44" fillId="0" borderId="0" xfId="0" applyNumberFormat="1" applyFont="1"/>
    <xf numFmtId="0" fontId="39" fillId="0" borderId="10" xfId="3" applyBorder="1" applyAlignment="1">
      <alignment horizontal="center"/>
    </xf>
    <xf numFmtId="166" fontId="39" fillId="0" borderId="10" xfId="3" applyNumberFormat="1" applyBorder="1"/>
    <xf numFmtId="0" fontId="0" fillId="20" borderId="15" xfId="0" applyFill="1" applyBorder="1"/>
    <xf numFmtId="0" fontId="0" fillId="20" borderId="16" xfId="0" applyFill="1" applyBorder="1"/>
    <xf numFmtId="0" fontId="58" fillId="20" borderId="16" xfId="0" applyFont="1" applyFill="1" applyBorder="1" applyAlignment="1">
      <alignment horizontal="right"/>
    </xf>
    <xf numFmtId="0" fontId="39" fillId="0" borderId="0" xfId="3" applyAlignment="1">
      <alignment horizontal="center"/>
    </xf>
    <xf numFmtId="166" fontId="39" fillId="0" borderId="0" xfId="3" applyNumberFormat="1"/>
    <xf numFmtId="0" fontId="56" fillId="20" borderId="18" xfId="0" applyFont="1" applyFill="1" applyBorder="1"/>
    <xf numFmtId="0" fontId="0" fillId="20" borderId="0" xfId="0" applyFill="1"/>
    <xf numFmtId="0" fontId="44" fillId="20" borderId="0" xfId="0" applyFont="1" applyFill="1"/>
    <xf numFmtId="0" fontId="44" fillId="20" borderId="19" xfId="0" applyFont="1" applyFill="1" applyBorder="1"/>
    <xf numFmtId="0" fontId="0" fillId="20" borderId="18" xfId="0" applyFill="1" applyBorder="1"/>
    <xf numFmtId="0" fontId="0" fillId="20" borderId="19" xfId="0" applyFill="1" applyBorder="1"/>
    <xf numFmtId="0" fontId="50" fillId="20" borderId="0" xfId="0" applyFont="1" applyFill="1"/>
    <xf numFmtId="0" fontId="0" fillId="20" borderId="21" xfId="0" applyFill="1" applyBorder="1"/>
    <xf numFmtId="0" fontId="0" fillId="20" borderId="22" xfId="0" applyFill="1" applyBorder="1"/>
    <xf numFmtId="166" fontId="40" fillId="0" borderId="23" xfId="4" applyNumberFormat="1" applyBorder="1"/>
    <xf numFmtId="0" fontId="60" fillId="0" borderId="0" xfId="0" applyFont="1" applyAlignment="1">
      <alignment horizontal="center"/>
    </xf>
    <xf numFmtId="0" fontId="61" fillId="0" borderId="0" xfId="4" applyFont="1" applyBorder="1"/>
    <xf numFmtId="164" fontId="61" fillId="0" borderId="0" xfId="4" applyNumberFormat="1" applyFont="1" applyBorder="1"/>
    <xf numFmtId="164" fontId="50" fillId="0" borderId="0" xfId="0" applyNumberFormat="1" applyFont="1"/>
    <xf numFmtId="0" fontId="62" fillId="0" borderId="0" xfId="4" applyFont="1" applyBorder="1"/>
    <xf numFmtId="0" fontId="40" fillId="0" borderId="0" xfId="4" applyBorder="1"/>
    <xf numFmtId="167" fontId="62" fillId="0" borderId="0" xfId="2" applyNumberFormat="1" applyFont="1"/>
    <xf numFmtId="164" fontId="40" fillId="0" borderId="0" xfId="4" applyNumberFormat="1" applyBorder="1"/>
    <xf numFmtId="0" fontId="63" fillId="0" borderId="24" xfId="3" applyFont="1" applyBorder="1" applyAlignment="1">
      <alignment horizontal="center"/>
    </xf>
    <xf numFmtId="167" fontId="63" fillId="0" borderId="24" xfId="2" applyNumberFormat="1" applyFont="1" applyBorder="1"/>
    <xf numFmtId="166" fontId="63" fillId="0" borderId="24" xfId="3" applyNumberFormat="1" applyFont="1" applyBorder="1"/>
    <xf numFmtId="166" fontId="39" fillId="0" borderId="24" xfId="3" applyNumberFormat="1" applyBorder="1"/>
    <xf numFmtId="0" fontId="63" fillId="0" borderId="23" xfId="3" applyFont="1" applyBorder="1" applyAlignment="1">
      <alignment horizontal="center"/>
    </xf>
    <xf numFmtId="167" fontId="63" fillId="0" borderId="23" xfId="2" applyNumberFormat="1" applyFont="1" applyBorder="1"/>
    <xf numFmtId="0" fontId="64" fillId="0" borderId="0" xfId="0" applyFont="1" applyAlignment="1">
      <alignment horizontal="left" vertical="top"/>
    </xf>
    <xf numFmtId="0" fontId="45" fillId="13" borderId="12" xfId="8" applyBorder="1"/>
    <xf numFmtId="0" fontId="65" fillId="0" borderId="0" xfId="0" applyFont="1"/>
    <xf numFmtId="0" fontId="67" fillId="22" borderId="25" xfId="0" applyFont="1" applyFill="1" applyBorder="1"/>
    <xf numFmtId="0" fontId="66" fillId="0" borderId="25" xfId="0" applyFont="1" applyBorder="1"/>
    <xf numFmtId="0" fontId="68" fillId="27" borderId="25" xfId="0" applyFont="1" applyFill="1" applyBorder="1" applyAlignment="1">
      <alignment vertical="top" wrapText="1"/>
    </xf>
    <xf numFmtId="0" fontId="3" fillId="28" borderId="25" xfId="0" applyFont="1" applyFill="1" applyBorder="1" applyAlignment="1">
      <alignment vertical="top" wrapText="1"/>
    </xf>
    <xf numFmtId="0" fontId="3" fillId="21" borderId="25" xfId="0" applyFont="1" applyFill="1" applyBorder="1" applyAlignment="1">
      <alignment vertical="top" wrapText="1"/>
    </xf>
    <xf numFmtId="0" fontId="3" fillId="23" borderId="25" xfId="0" applyFont="1" applyFill="1" applyBorder="1" applyAlignment="1">
      <alignment vertical="top" wrapText="1"/>
    </xf>
    <xf numFmtId="0" fontId="69" fillId="29" borderId="25" xfId="0" applyFont="1" applyFill="1" applyBorder="1" applyAlignment="1">
      <alignment horizontal="center" vertical="center" wrapText="1"/>
    </xf>
    <xf numFmtId="0" fontId="0" fillId="30" borderId="25" xfId="0" applyFill="1" applyBorder="1"/>
    <xf numFmtId="0" fontId="0" fillId="0" borderId="27" xfId="0" applyBorder="1"/>
    <xf numFmtId="0" fontId="0" fillId="0" borderId="28" xfId="0" applyBorder="1"/>
    <xf numFmtId="0" fontId="3" fillId="24" borderId="25" xfId="0" applyFont="1" applyFill="1" applyBorder="1" applyAlignment="1">
      <alignment horizontal="center" vertical="top" wrapText="1"/>
    </xf>
    <xf numFmtId="0" fontId="71" fillId="24" borderId="25" xfId="0" applyFont="1" applyFill="1" applyBorder="1" applyAlignment="1">
      <alignment vertical="top" wrapText="1"/>
    </xf>
    <xf numFmtId="0" fontId="3" fillId="24" borderId="25" xfId="0" applyFont="1" applyFill="1" applyBorder="1" applyAlignment="1">
      <alignment vertical="top" wrapText="1"/>
    </xf>
    <xf numFmtId="0" fontId="3" fillId="28" borderId="25" xfId="0" applyFont="1" applyFill="1" applyBorder="1" applyAlignment="1">
      <alignment horizontal="center" vertical="top" wrapText="1"/>
    </xf>
    <xf numFmtId="0" fontId="71" fillId="28" borderId="25" xfId="0" applyFont="1" applyFill="1" applyBorder="1" applyAlignment="1">
      <alignment vertical="top" wrapText="1"/>
    </xf>
    <xf numFmtId="0" fontId="3" fillId="31" borderId="25" xfId="0" applyFont="1" applyFill="1" applyBorder="1" applyAlignment="1">
      <alignment horizontal="center" vertical="top" wrapText="1"/>
    </xf>
    <xf numFmtId="0" fontId="71" fillId="31" borderId="25" xfId="0" applyFont="1" applyFill="1" applyBorder="1" applyAlignment="1">
      <alignment vertical="top" wrapText="1"/>
    </xf>
    <xf numFmtId="0" fontId="3" fillId="31" borderId="25" xfId="0" applyFont="1" applyFill="1" applyBorder="1" applyAlignment="1">
      <alignment vertical="top" wrapText="1"/>
    </xf>
    <xf numFmtId="0" fontId="3" fillId="23" borderId="25" xfId="0" applyFont="1" applyFill="1" applyBorder="1" applyAlignment="1">
      <alignment horizontal="center" vertical="top" wrapText="1"/>
    </xf>
    <xf numFmtId="0" fontId="71" fillId="23" borderId="25" xfId="0" applyFont="1" applyFill="1" applyBorder="1" applyAlignment="1">
      <alignment vertical="top" wrapText="1"/>
    </xf>
    <xf numFmtId="0" fontId="3" fillId="21" borderId="25" xfId="0" applyFont="1" applyFill="1" applyBorder="1" applyAlignment="1">
      <alignment horizontal="center" vertical="top" wrapText="1"/>
    </xf>
    <xf numFmtId="0" fontId="71" fillId="21" borderId="25" xfId="0" applyFont="1" applyFill="1" applyBorder="1" applyAlignment="1">
      <alignment vertical="top" wrapText="1"/>
    </xf>
    <xf numFmtId="0" fontId="3" fillId="26" borderId="25" xfId="0" applyFont="1" applyFill="1" applyBorder="1" applyAlignment="1">
      <alignment horizontal="center" vertical="top" wrapText="1"/>
    </xf>
    <xf numFmtId="0" fontId="71" fillId="26" borderId="25" xfId="0" applyFont="1" applyFill="1" applyBorder="1" applyAlignment="1">
      <alignment vertical="top" wrapText="1"/>
    </xf>
    <xf numFmtId="0" fontId="3" fillId="26" borderId="25" xfId="0" applyFont="1" applyFill="1" applyBorder="1" applyAlignment="1">
      <alignment vertical="top" wrapText="1"/>
    </xf>
    <xf numFmtId="0" fontId="72" fillId="29" borderId="25" xfId="0" applyFont="1" applyFill="1" applyBorder="1"/>
    <xf numFmtId="0" fontId="71" fillId="0" borderId="25" xfId="0" applyFont="1" applyBorder="1" applyAlignment="1">
      <alignment vertical="top" wrapText="1"/>
    </xf>
    <xf numFmtId="0" fontId="3" fillId="0" borderId="25" xfId="0" applyFont="1" applyBorder="1" applyAlignment="1">
      <alignment vertical="top" wrapText="1"/>
    </xf>
    <xf numFmtId="0" fontId="73" fillId="32" borderId="25" xfId="0" applyFont="1" applyFill="1" applyBorder="1" applyAlignment="1">
      <alignment vertical="top" wrapText="1"/>
    </xf>
    <xf numFmtId="0" fontId="68" fillId="0" borderId="25" xfId="0" applyFont="1" applyBorder="1" applyAlignment="1">
      <alignment vertical="top" wrapText="1"/>
    </xf>
    <xf numFmtId="0" fontId="73" fillId="33" borderId="25" xfId="0" applyFont="1" applyFill="1" applyBorder="1" applyAlignment="1">
      <alignment vertical="top" wrapText="1"/>
    </xf>
    <xf numFmtId="0" fontId="74" fillId="34" borderId="25" xfId="0" applyFont="1" applyFill="1" applyBorder="1" applyAlignment="1">
      <alignment vertical="top" wrapText="1"/>
    </xf>
    <xf numFmtId="0" fontId="74" fillId="35" borderId="25" xfId="0" applyFont="1" applyFill="1" applyBorder="1" applyAlignment="1">
      <alignment vertical="top" wrapText="1"/>
    </xf>
    <xf numFmtId="0" fontId="74" fillId="36" borderId="25" xfId="0" applyFont="1" applyFill="1" applyBorder="1" applyAlignment="1">
      <alignment vertical="top" wrapText="1"/>
    </xf>
    <xf numFmtId="0" fontId="74" fillId="37" borderId="25" xfId="0" applyFont="1" applyFill="1" applyBorder="1" applyAlignment="1">
      <alignment vertical="top" wrapText="1"/>
    </xf>
    <xf numFmtId="0" fontId="73" fillId="38" borderId="25" xfId="0" applyFont="1" applyFill="1" applyBorder="1" applyAlignment="1">
      <alignment vertical="top" wrapText="1"/>
    </xf>
    <xf numFmtId="0" fontId="73" fillId="39" borderId="25" xfId="0" applyFont="1" applyFill="1" applyBorder="1" applyAlignment="1">
      <alignment vertical="top" wrapText="1"/>
    </xf>
    <xf numFmtId="0" fontId="73" fillId="40" borderId="25" xfId="0" applyFont="1" applyFill="1" applyBorder="1" applyAlignment="1">
      <alignment vertical="top" wrapText="1"/>
    </xf>
    <xf numFmtId="0" fontId="73" fillId="41" borderId="25" xfId="0" applyFont="1" applyFill="1" applyBorder="1" applyAlignment="1">
      <alignment vertical="top" wrapText="1"/>
    </xf>
    <xf numFmtId="0" fontId="73" fillId="42" borderId="25" xfId="0" applyFont="1" applyFill="1" applyBorder="1" applyAlignment="1">
      <alignment vertical="top" wrapText="1"/>
    </xf>
    <xf numFmtId="0" fontId="73" fillId="43" borderId="25" xfId="0" applyFont="1" applyFill="1" applyBorder="1" applyAlignment="1">
      <alignment vertical="top" wrapText="1"/>
    </xf>
    <xf numFmtId="0" fontId="73" fillId="21" borderId="25" xfId="0" applyFont="1" applyFill="1" applyBorder="1" applyAlignment="1">
      <alignment vertical="top" wrapText="1"/>
    </xf>
    <xf numFmtId="0" fontId="73" fillId="44" borderId="25" xfId="0" applyFont="1" applyFill="1" applyBorder="1" applyAlignment="1">
      <alignment vertical="top" wrapText="1"/>
    </xf>
    <xf numFmtId="0" fontId="73" fillId="45" borderId="25" xfId="0" applyFont="1" applyFill="1" applyBorder="1" applyAlignment="1">
      <alignment vertical="top" wrapText="1"/>
    </xf>
    <xf numFmtId="0" fontId="73" fillId="46" borderId="25" xfId="0" applyFont="1" applyFill="1" applyBorder="1" applyAlignment="1">
      <alignment vertical="top" wrapText="1"/>
    </xf>
    <xf numFmtId="0" fontId="73" fillId="47" borderId="25" xfId="0" applyFont="1" applyFill="1" applyBorder="1" applyAlignment="1">
      <alignment vertical="top" wrapText="1"/>
    </xf>
    <xf numFmtId="0" fontId="73" fillId="48" borderId="25" xfId="0" applyFont="1" applyFill="1" applyBorder="1" applyAlignment="1">
      <alignment vertical="top" wrapText="1"/>
    </xf>
    <xf numFmtId="0" fontId="73" fillId="49" borderId="25" xfId="0" applyFont="1" applyFill="1" applyBorder="1" applyAlignment="1">
      <alignment vertical="top" wrapText="1"/>
    </xf>
    <xf numFmtId="0" fontId="73" fillId="50" borderId="25" xfId="0" applyFont="1" applyFill="1" applyBorder="1" applyAlignment="1">
      <alignment vertical="top" wrapText="1"/>
    </xf>
    <xf numFmtId="0" fontId="73" fillId="25" borderId="25" xfId="0" applyFont="1" applyFill="1" applyBorder="1" applyAlignment="1">
      <alignment vertical="top" wrapText="1"/>
    </xf>
    <xf numFmtId="0" fontId="75" fillId="0" borderId="25" xfId="0" applyFont="1" applyBorder="1" applyAlignment="1">
      <alignment vertical="top" wrapText="1"/>
    </xf>
    <xf numFmtId="0" fontId="22" fillId="0" borderId="25" xfId="0" applyFont="1" applyBorder="1" applyAlignment="1">
      <alignment vertical="top" wrapText="1"/>
    </xf>
    <xf numFmtId="0" fontId="3" fillId="0" borderId="26" xfId="0" applyFont="1" applyBorder="1" applyAlignment="1">
      <alignment vertical="top" wrapText="1"/>
    </xf>
    <xf numFmtId="0" fontId="70" fillId="30" borderId="25" xfId="0" applyFont="1" applyFill="1" applyBorder="1"/>
    <xf numFmtId="0" fontId="0" fillId="0" borderId="27" xfId="0" applyBorder="1"/>
    <xf numFmtId="0" fontId="0" fillId="0" borderId="28" xfId="0" applyBorder="1"/>
    <xf numFmtId="0" fontId="3" fillId="0" borderId="25" xfId="0" applyFont="1" applyBorder="1" applyAlignment="1">
      <alignment vertical="top" wrapText="1"/>
    </xf>
    <xf numFmtId="0" fontId="0" fillId="20" borderId="17" xfId="0" applyFill="1" applyBorder="1" applyAlignment="1">
      <alignment horizontal="center"/>
    </xf>
    <xf numFmtId="0" fontId="0" fillId="0" borderId="16" xfId="0" applyBorder="1"/>
    <xf numFmtId="0" fontId="0" fillId="0" borderId="17" xfId="0" applyBorder="1"/>
    <xf numFmtId="0" fontId="0" fillId="19" borderId="17" xfId="0" applyFill="1" applyBorder="1" applyAlignment="1">
      <alignment horizontal="center"/>
    </xf>
    <xf numFmtId="0" fontId="72" fillId="29" borderId="25" xfId="0" applyFont="1" applyFill="1" applyBorder="1"/>
    <xf numFmtId="0" fontId="71" fillId="0" borderId="25" xfId="0" applyFont="1" applyBorder="1" applyAlignment="1">
      <alignment vertical="top" wrapText="1"/>
    </xf>
  </cellXfs>
  <cellStyles count="10">
    <cellStyle name="Accent1" xfId="8" builtinId="29"/>
    <cellStyle name="Accent4" xfId="9" builtinId="41"/>
    <cellStyle name="Check Cell" xfId="7" builtinId="23"/>
    <cellStyle name="Heading 2" xfId="4" builtinId="17"/>
    <cellStyle name="Heading 3" xfId="5" builtinId="18"/>
    <cellStyle name="Hyperlink" xfId="1" builtinId="8"/>
    <cellStyle name="Normal" xfId="0" builtinId="0"/>
    <cellStyle name="Output" xfId="6" builtinId="21"/>
    <cellStyle name="Percent" xfId="2"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1drv.ms/x/c/e2777c86b94f1aa8/IQAaju0jmbrzRrLuI-xO2AVIAe8OcJeSUyCbiEov6JxTDV4?e=Rn2nFx&amp;nav=MTVfezA0QkEwQ0UyLTgxNEUtNDE3NS1BQkYyLTAwN0IzOENGNEM1NX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9"/>
  <sheetViews>
    <sheetView zoomScaleNormal="100" workbookViewId="0">
      <pane ySplit="1" topLeftCell="A40" activePane="bottomLeft" state="frozen"/>
      <selection pane="bottomLeft" activeCell="F86" sqref="F86"/>
    </sheetView>
  </sheetViews>
  <sheetFormatPr defaultRowHeight="15" x14ac:dyDescent="0.25"/>
  <cols>
    <col min="1" max="1" width="5" customWidth="1"/>
    <col min="2" max="2" width="28" customWidth="1"/>
    <col min="3" max="3" width="25" customWidth="1"/>
    <col min="4" max="4" width="12" customWidth="1"/>
    <col min="5" max="5" width="10" customWidth="1"/>
    <col min="6" max="6" width="12" customWidth="1"/>
    <col min="7" max="7" width="8" customWidth="1"/>
    <col min="8" max="8" width="22" customWidth="1"/>
    <col min="9" max="12" width="8" customWidth="1"/>
    <col min="13" max="13" width="30" customWidth="1"/>
    <col min="14" max="14" width="8" customWidth="1"/>
    <col min="15" max="15" width="35" customWidth="1"/>
    <col min="16" max="16" width="30" customWidth="1"/>
    <col min="17" max="17" width="8" customWidth="1"/>
  </cols>
  <sheetData>
    <row r="1" spans="1:17" ht="39.950000000000003" customHeight="1" x14ac:dyDescent="0.25">
      <c r="A1" s="188" t="s">
        <v>0</v>
      </c>
      <c r="B1" s="188" t="s">
        <v>1</v>
      </c>
      <c r="C1" s="188" t="s">
        <v>2</v>
      </c>
      <c r="D1" s="188" t="s">
        <v>3</v>
      </c>
      <c r="E1" s="188" t="s">
        <v>4</v>
      </c>
      <c r="F1" s="188" t="s">
        <v>5</v>
      </c>
      <c r="G1" s="188" t="s">
        <v>6</v>
      </c>
      <c r="H1" s="188" t="s">
        <v>7</v>
      </c>
      <c r="I1" s="188" t="s">
        <v>8</v>
      </c>
      <c r="J1" s="188" t="s">
        <v>9</v>
      </c>
      <c r="K1" s="188" t="s">
        <v>10</v>
      </c>
      <c r="L1" s="188" t="s">
        <v>11</v>
      </c>
      <c r="M1" s="188" t="s">
        <v>12</v>
      </c>
      <c r="N1" s="188" t="s">
        <v>13</v>
      </c>
      <c r="O1" s="188" t="s">
        <v>14</v>
      </c>
      <c r="P1" s="188" t="s">
        <v>15</v>
      </c>
      <c r="Q1" s="188" t="s">
        <v>16</v>
      </c>
    </row>
    <row r="2" spans="1:17" ht="21.95" customHeight="1" x14ac:dyDescent="0.25">
      <c r="A2" s="189"/>
      <c r="B2" s="235" t="s">
        <v>17</v>
      </c>
      <c r="C2" s="236"/>
      <c r="D2" s="236"/>
      <c r="E2" s="236"/>
      <c r="F2" s="236"/>
      <c r="G2" s="236"/>
      <c r="H2" s="236"/>
      <c r="I2" s="236"/>
      <c r="J2" s="236"/>
      <c r="K2" s="236"/>
      <c r="L2" s="236"/>
      <c r="M2" s="236"/>
      <c r="N2" s="236"/>
      <c r="O2" s="236"/>
      <c r="P2" s="236"/>
      <c r="Q2" s="237"/>
    </row>
    <row r="3" spans="1:17" ht="48" customHeight="1" x14ac:dyDescent="0.25">
      <c r="A3" s="192">
        <v>1</v>
      </c>
      <c r="B3" s="193" t="s">
        <v>18</v>
      </c>
      <c r="C3" s="193" t="s">
        <v>18</v>
      </c>
      <c r="D3" s="194" t="s">
        <v>19</v>
      </c>
      <c r="E3" s="192" t="s">
        <v>20</v>
      </c>
      <c r="F3" s="192" t="s">
        <v>21</v>
      </c>
      <c r="G3" s="192" t="s">
        <v>22</v>
      </c>
      <c r="H3" s="193" t="s">
        <v>23</v>
      </c>
      <c r="I3" s="192" t="s">
        <v>23</v>
      </c>
      <c r="J3" s="192" t="s">
        <v>23</v>
      </c>
      <c r="K3" s="192" t="s">
        <v>24</v>
      </c>
      <c r="L3" s="192" t="s">
        <v>24</v>
      </c>
      <c r="M3" s="194" t="s">
        <v>23</v>
      </c>
      <c r="N3" s="192" t="s">
        <v>25</v>
      </c>
      <c r="O3" s="194" t="s">
        <v>26</v>
      </c>
      <c r="P3" s="194" t="s">
        <v>27</v>
      </c>
      <c r="Q3" s="192">
        <v>16</v>
      </c>
    </row>
    <row r="4" spans="1:17" ht="48" customHeight="1" x14ac:dyDescent="0.25">
      <c r="A4" s="192">
        <v>2</v>
      </c>
      <c r="B4" s="193" t="s">
        <v>28</v>
      </c>
      <c r="C4" s="193" t="s">
        <v>28</v>
      </c>
      <c r="D4" s="194" t="s">
        <v>19</v>
      </c>
      <c r="E4" s="192" t="s">
        <v>29</v>
      </c>
      <c r="F4" s="192" t="s">
        <v>30</v>
      </c>
      <c r="G4" s="192" t="s">
        <v>22</v>
      </c>
      <c r="H4" s="193" t="s">
        <v>23</v>
      </c>
      <c r="I4" s="192" t="s">
        <v>23</v>
      </c>
      <c r="J4" s="192" t="s">
        <v>23</v>
      </c>
      <c r="K4" s="192" t="s">
        <v>24</v>
      </c>
      <c r="L4" s="192" t="s">
        <v>24</v>
      </c>
      <c r="M4" s="194" t="s">
        <v>23</v>
      </c>
      <c r="N4" s="192" t="s">
        <v>25</v>
      </c>
      <c r="O4" s="194" t="s">
        <v>31</v>
      </c>
      <c r="P4" s="194" t="s">
        <v>32</v>
      </c>
      <c r="Q4" s="192">
        <v>17</v>
      </c>
    </row>
    <row r="5" spans="1:17" ht="48" customHeight="1" x14ac:dyDescent="0.25">
      <c r="A5" s="192">
        <v>3</v>
      </c>
      <c r="B5" s="193" t="s">
        <v>33</v>
      </c>
      <c r="C5" s="193" t="s">
        <v>33</v>
      </c>
      <c r="D5" s="194" t="s">
        <v>19</v>
      </c>
      <c r="E5" s="192" t="s">
        <v>34</v>
      </c>
      <c r="F5" s="192" t="s">
        <v>35</v>
      </c>
      <c r="G5" s="192" t="s">
        <v>22</v>
      </c>
      <c r="H5" s="193" t="s">
        <v>23</v>
      </c>
      <c r="I5" s="192" t="s">
        <v>23</v>
      </c>
      <c r="J5" s="192" t="s">
        <v>23</v>
      </c>
      <c r="K5" s="192" t="s">
        <v>24</v>
      </c>
      <c r="L5" s="192" t="s">
        <v>24</v>
      </c>
      <c r="M5" s="194" t="s">
        <v>23</v>
      </c>
      <c r="N5" s="192" t="s">
        <v>25</v>
      </c>
      <c r="O5" s="194" t="s">
        <v>36</v>
      </c>
      <c r="P5" s="194" t="s">
        <v>37</v>
      </c>
      <c r="Q5" s="192">
        <v>18</v>
      </c>
    </row>
    <row r="6" spans="1:17" ht="48" customHeight="1" x14ac:dyDescent="0.25">
      <c r="A6" s="192">
        <v>4</v>
      </c>
      <c r="B6" s="193" t="s">
        <v>38</v>
      </c>
      <c r="C6" s="193" t="s">
        <v>38</v>
      </c>
      <c r="D6" s="194" t="s">
        <v>19</v>
      </c>
      <c r="E6" s="192" t="s">
        <v>20</v>
      </c>
      <c r="F6" s="192" t="s">
        <v>21</v>
      </c>
      <c r="G6" s="192" t="s">
        <v>22</v>
      </c>
      <c r="H6" s="193" t="s">
        <v>23</v>
      </c>
      <c r="I6" s="192" t="s">
        <v>23</v>
      </c>
      <c r="J6" s="192" t="s">
        <v>23</v>
      </c>
      <c r="K6" s="192" t="s">
        <v>24</v>
      </c>
      <c r="L6" s="192" t="s">
        <v>24</v>
      </c>
      <c r="M6" s="194" t="s">
        <v>23</v>
      </c>
      <c r="N6" s="192" t="s">
        <v>25</v>
      </c>
      <c r="O6" s="194" t="s">
        <v>39</v>
      </c>
      <c r="P6" s="194" t="s">
        <v>40</v>
      </c>
      <c r="Q6" s="192">
        <v>19</v>
      </c>
    </row>
    <row r="7" spans="1:17" ht="48" customHeight="1" x14ac:dyDescent="0.25">
      <c r="A7" s="192">
        <v>5</v>
      </c>
      <c r="B7" s="193" t="s">
        <v>41</v>
      </c>
      <c r="C7" s="193" t="s">
        <v>41</v>
      </c>
      <c r="D7" s="194" t="s">
        <v>19</v>
      </c>
      <c r="E7" s="192" t="s">
        <v>20</v>
      </c>
      <c r="F7" s="192" t="s">
        <v>42</v>
      </c>
      <c r="G7" s="192" t="s">
        <v>22</v>
      </c>
      <c r="H7" s="193" t="s">
        <v>23</v>
      </c>
      <c r="I7" s="192" t="s">
        <v>24</v>
      </c>
      <c r="J7" s="192" t="s">
        <v>23</v>
      </c>
      <c r="K7" s="192" t="s">
        <v>24</v>
      </c>
      <c r="L7" s="192" t="s">
        <v>24</v>
      </c>
      <c r="M7" s="194" t="s">
        <v>23</v>
      </c>
      <c r="N7" s="192" t="s">
        <v>25</v>
      </c>
      <c r="O7" s="194" t="s">
        <v>43</v>
      </c>
      <c r="P7" s="194" t="s">
        <v>44</v>
      </c>
      <c r="Q7" s="192">
        <v>20</v>
      </c>
    </row>
    <row r="8" spans="1:17" ht="48" customHeight="1" x14ac:dyDescent="0.25">
      <c r="A8" s="192">
        <v>6</v>
      </c>
      <c r="B8" s="193" t="s">
        <v>45</v>
      </c>
      <c r="C8" s="193" t="s">
        <v>45</v>
      </c>
      <c r="D8" s="194" t="s">
        <v>19</v>
      </c>
      <c r="E8" s="192" t="s">
        <v>20</v>
      </c>
      <c r="F8" s="192" t="s">
        <v>21</v>
      </c>
      <c r="G8" s="192" t="s">
        <v>22</v>
      </c>
      <c r="H8" s="193" t="s">
        <v>23</v>
      </c>
      <c r="I8" s="192" t="s">
        <v>24</v>
      </c>
      <c r="J8" s="192" t="s">
        <v>23</v>
      </c>
      <c r="K8" s="192" t="s">
        <v>23</v>
      </c>
      <c r="L8" s="192" t="s">
        <v>24</v>
      </c>
      <c r="M8" s="194" t="s">
        <v>23</v>
      </c>
      <c r="N8" s="192" t="s">
        <v>25</v>
      </c>
      <c r="O8" s="194" t="s">
        <v>46</v>
      </c>
      <c r="P8" s="194" t="s">
        <v>47</v>
      </c>
      <c r="Q8" s="192">
        <v>21</v>
      </c>
    </row>
    <row r="9" spans="1:17" ht="48" customHeight="1" x14ac:dyDescent="0.25">
      <c r="A9" s="192">
        <v>7</v>
      </c>
      <c r="B9" s="193" t="s">
        <v>48</v>
      </c>
      <c r="C9" s="193" t="s">
        <v>48</v>
      </c>
      <c r="D9" s="194" t="s">
        <v>19</v>
      </c>
      <c r="E9" s="192" t="s">
        <v>20</v>
      </c>
      <c r="F9" s="192" t="s">
        <v>49</v>
      </c>
      <c r="G9" s="192" t="s">
        <v>22</v>
      </c>
      <c r="H9" s="193" t="s">
        <v>23</v>
      </c>
      <c r="I9" s="192" t="s">
        <v>23</v>
      </c>
      <c r="J9" s="192" t="s">
        <v>23</v>
      </c>
      <c r="K9" s="192" t="s">
        <v>23</v>
      </c>
      <c r="L9" s="192" t="s">
        <v>24</v>
      </c>
      <c r="M9" s="194" t="s">
        <v>23</v>
      </c>
      <c r="N9" s="192" t="s">
        <v>25</v>
      </c>
      <c r="O9" s="194" t="s">
        <v>50</v>
      </c>
      <c r="P9" s="194" t="s">
        <v>51</v>
      </c>
      <c r="Q9" s="192">
        <v>22</v>
      </c>
    </row>
    <row r="10" spans="1:17" ht="48" customHeight="1" x14ac:dyDescent="0.25">
      <c r="A10" s="192">
        <v>8</v>
      </c>
      <c r="B10" s="193" t="s">
        <v>52</v>
      </c>
      <c r="C10" s="193" t="s">
        <v>52</v>
      </c>
      <c r="D10" s="194" t="s">
        <v>19</v>
      </c>
      <c r="E10" s="192" t="s">
        <v>20</v>
      </c>
      <c r="F10" s="192" t="s">
        <v>21</v>
      </c>
      <c r="G10" s="192" t="s">
        <v>22</v>
      </c>
      <c r="H10" s="193" t="s">
        <v>23</v>
      </c>
      <c r="I10" s="192" t="s">
        <v>24</v>
      </c>
      <c r="J10" s="192" t="s">
        <v>23</v>
      </c>
      <c r="K10" s="192" t="s">
        <v>23</v>
      </c>
      <c r="L10" s="192" t="s">
        <v>24</v>
      </c>
      <c r="M10" s="194" t="s">
        <v>23</v>
      </c>
      <c r="N10" s="192" t="s">
        <v>53</v>
      </c>
      <c r="O10" s="194" t="s">
        <v>54</v>
      </c>
      <c r="P10" s="194" t="s">
        <v>55</v>
      </c>
      <c r="Q10" s="192">
        <v>23</v>
      </c>
    </row>
    <row r="11" spans="1:17" ht="48" customHeight="1" x14ac:dyDescent="0.25">
      <c r="A11" s="192">
        <v>9</v>
      </c>
      <c r="B11" s="193" t="s">
        <v>56</v>
      </c>
      <c r="C11" s="193" t="s">
        <v>57</v>
      </c>
      <c r="D11" s="194" t="s">
        <v>19</v>
      </c>
      <c r="E11" s="192" t="s">
        <v>34</v>
      </c>
      <c r="F11" s="192" t="s">
        <v>58</v>
      </c>
      <c r="G11" s="192" t="s">
        <v>22</v>
      </c>
      <c r="H11" s="193" t="s">
        <v>23</v>
      </c>
      <c r="I11" s="192" t="s">
        <v>24</v>
      </c>
      <c r="J11" s="192" t="s">
        <v>23</v>
      </c>
      <c r="K11" s="192" t="s">
        <v>23</v>
      </c>
      <c r="L11" s="192" t="s">
        <v>24</v>
      </c>
      <c r="M11" s="194" t="s">
        <v>23</v>
      </c>
      <c r="N11" s="192" t="s">
        <v>25</v>
      </c>
      <c r="O11" s="194" t="s">
        <v>59</v>
      </c>
      <c r="P11" s="194" t="s">
        <v>60</v>
      </c>
      <c r="Q11" s="192">
        <v>63</v>
      </c>
    </row>
    <row r="12" spans="1:17" ht="48" customHeight="1" x14ac:dyDescent="0.25">
      <c r="A12" s="192">
        <v>10</v>
      </c>
      <c r="B12" s="193" t="s">
        <v>61</v>
      </c>
      <c r="C12" s="193" t="s">
        <v>62</v>
      </c>
      <c r="D12" s="194" t="s">
        <v>19</v>
      </c>
      <c r="E12" s="192" t="s">
        <v>34</v>
      </c>
      <c r="F12" s="192" t="s">
        <v>58</v>
      </c>
      <c r="G12" s="192" t="s">
        <v>22</v>
      </c>
      <c r="H12" s="193" t="s">
        <v>23</v>
      </c>
      <c r="I12" s="192" t="s">
        <v>24</v>
      </c>
      <c r="J12" s="192" t="s">
        <v>23</v>
      </c>
      <c r="K12" s="192" t="s">
        <v>23</v>
      </c>
      <c r="L12" s="192" t="s">
        <v>24</v>
      </c>
      <c r="M12" s="194" t="s">
        <v>23</v>
      </c>
      <c r="N12" s="192" t="s">
        <v>25</v>
      </c>
      <c r="O12" s="194" t="s">
        <v>63</v>
      </c>
      <c r="P12" s="194" t="s">
        <v>64</v>
      </c>
      <c r="Q12" s="192">
        <v>64</v>
      </c>
    </row>
    <row r="13" spans="1:17" ht="48" customHeight="1" x14ac:dyDescent="0.25">
      <c r="A13" s="195">
        <v>11</v>
      </c>
      <c r="B13" s="196" t="s">
        <v>65</v>
      </c>
      <c r="C13" s="196" t="s">
        <v>66</v>
      </c>
      <c r="D13" s="185" t="s">
        <v>67</v>
      </c>
      <c r="E13" s="195" t="s">
        <v>34</v>
      </c>
      <c r="F13" s="195" t="s">
        <v>58</v>
      </c>
      <c r="G13" s="195" t="s">
        <v>22</v>
      </c>
      <c r="H13" s="196" t="s">
        <v>23</v>
      </c>
      <c r="I13" s="195" t="s">
        <v>24</v>
      </c>
      <c r="J13" s="195" t="s">
        <v>23</v>
      </c>
      <c r="K13" s="195" t="s">
        <v>23</v>
      </c>
      <c r="L13" s="195" t="s">
        <v>23</v>
      </c>
      <c r="M13" s="185" t="s">
        <v>23</v>
      </c>
      <c r="N13" s="195" t="s">
        <v>25</v>
      </c>
      <c r="O13" s="185" t="s">
        <v>68</v>
      </c>
      <c r="P13" s="185" t="s">
        <v>69</v>
      </c>
      <c r="Q13" s="195" t="s">
        <v>70</v>
      </c>
    </row>
    <row r="14" spans="1:17" ht="48" customHeight="1" x14ac:dyDescent="0.25">
      <c r="A14" s="192">
        <v>12</v>
      </c>
      <c r="B14" s="193" t="s">
        <v>71</v>
      </c>
      <c r="C14" s="193" t="s">
        <v>72</v>
      </c>
      <c r="D14" s="194" t="s">
        <v>19</v>
      </c>
      <c r="E14" s="192" t="s">
        <v>34</v>
      </c>
      <c r="F14" s="192" t="s">
        <v>58</v>
      </c>
      <c r="G14" s="192" t="s">
        <v>22</v>
      </c>
      <c r="H14" s="193" t="s">
        <v>23</v>
      </c>
      <c r="I14" s="192" t="s">
        <v>24</v>
      </c>
      <c r="J14" s="192" t="s">
        <v>23</v>
      </c>
      <c r="K14" s="192" t="s">
        <v>23</v>
      </c>
      <c r="L14" s="192" t="s">
        <v>24</v>
      </c>
      <c r="M14" s="194" t="s">
        <v>23</v>
      </c>
      <c r="N14" s="192" t="s">
        <v>25</v>
      </c>
      <c r="O14" s="194" t="s">
        <v>73</v>
      </c>
      <c r="P14" s="194" t="s">
        <v>74</v>
      </c>
      <c r="Q14" s="192">
        <v>37</v>
      </c>
    </row>
    <row r="15" spans="1:17" ht="48" customHeight="1" x14ac:dyDescent="0.25">
      <c r="A15" s="192">
        <v>13</v>
      </c>
      <c r="B15" s="193" t="s">
        <v>75</v>
      </c>
      <c r="C15" s="193" t="s">
        <v>76</v>
      </c>
      <c r="D15" s="194" t="s">
        <v>19</v>
      </c>
      <c r="E15" s="192" t="s">
        <v>34</v>
      </c>
      <c r="F15" s="192" t="s">
        <v>58</v>
      </c>
      <c r="G15" s="192" t="s">
        <v>22</v>
      </c>
      <c r="H15" s="193" t="s">
        <v>23</v>
      </c>
      <c r="I15" s="192" t="s">
        <v>24</v>
      </c>
      <c r="J15" s="192" t="s">
        <v>23</v>
      </c>
      <c r="K15" s="192" t="s">
        <v>23</v>
      </c>
      <c r="L15" s="192" t="s">
        <v>24</v>
      </c>
      <c r="M15" s="194" t="s">
        <v>23</v>
      </c>
      <c r="N15" s="192" t="s">
        <v>25</v>
      </c>
      <c r="O15" s="194" t="s">
        <v>77</v>
      </c>
      <c r="P15" s="194" t="s">
        <v>74</v>
      </c>
      <c r="Q15" s="192">
        <v>39</v>
      </c>
    </row>
    <row r="16" spans="1:17" ht="48" customHeight="1" x14ac:dyDescent="0.25">
      <c r="A16" s="192">
        <v>14</v>
      </c>
      <c r="B16" s="193" t="s">
        <v>78</v>
      </c>
      <c r="C16" s="193" t="s">
        <v>79</v>
      </c>
      <c r="D16" s="194" t="s">
        <v>19</v>
      </c>
      <c r="E16" s="192" t="s">
        <v>34</v>
      </c>
      <c r="F16" s="192" t="s">
        <v>58</v>
      </c>
      <c r="G16" s="192" t="s">
        <v>22</v>
      </c>
      <c r="H16" s="193" t="s">
        <v>23</v>
      </c>
      <c r="I16" s="192" t="s">
        <v>24</v>
      </c>
      <c r="J16" s="192" t="s">
        <v>23</v>
      </c>
      <c r="K16" s="192" t="s">
        <v>23</v>
      </c>
      <c r="L16" s="192" t="s">
        <v>24</v>
      </c>
      <c r="M16" s="194" t="s">
        <v>23</v>
      </c>
      <c r="N16" s="192" t="s">
        <v>25</v>
      </c>
      <c r="O16" s="194" t="s">
        <v>80</v>
      </c>
      <c r="P16" s="194" t="s">
        <v>74</v>
      </c>
      <c r="Q16" s="192">
        <v>40</v>
      </c>
    </row>
    <row r="17" spans="1:17" ht="48" customHeight="1" x14ac:dyDescent="0.25">
      <c r="A17" s="192">
        <v>15</v>
      </c>
      <c r="B17" s="193" t="s">
        <v>81</v>
      </c>
      <c r="C17" s="193" t="s">
        <v>81</v>
      </c>
      <c r="D17" s="194" t="s">
        <v>19</v>
      </c>
      <c r="E17" s="192" t="s">
        <v>82</v>
      </c>
      <c r="F17" s="192" t="s">
        <v>83</v>
      </c>
      <c r="G17" s="192" t="s">
        <v>22</v>
      </c>
      <c r="H17" s="193" t="s">
        <v>23</v>
      </c>
      <c r="I17" s="192" t="s">
        <v>24</v>
      </c>
      <c r="J17" s="192" t="s">
        <v>23</v>
      </c>
      <c r="K17" s="192" t="s">
        <v>23</v>
      </c>
      <c r="L17" s="192" t="s">
        <v>23</v>
      </c>
      <c r="M17" s="194" t="s">
        <v>23</v>
      </c>
      <c r="N17" s="192" t="s">
        <v>53</v>
      </c>
      <c r="O17" s="194" t="s">
        <v>84</v>
      </c>
      <c r="P17" s="194" t="s">
        <v>85</v>
      </c>
      <c r="Q17" s="192">
        <v>42</v>
      </c>
    </row>
    <row r="18" spans="1:17" ht="48" customHeight="1" x14ac:dyDescent="0.25">
      <c r="A18" s="192">
        <v>16</v>
      </c>
      <c r="B18" s="193" t="s">
        <v>86</v>
      </c>
      <c r="C18" s="193" t="s">
        <v>86</v>
      </c>
      <c r="D18" s="194" t="s">
        <v>19</v>
      </c>
      <c r="E18" s="192" t="s">
        <v>82</v>
      </c>
      <c r="F18" s="192" t="s">
        <v>87</v>
      </c>
      <c r="G18" s="192" t="s">
        <v>22</v>
      </c>
      <c r="H18" s="193" t="s">
        <v>23</v>
      </c>
      <c r="I18" s="192" t="s">
        <v>24</v>
      </c>
      <c r="J18" s="192" t="s">
        <v>23</v>
      </c>
      <c r="K18" s="192" t="s">
        <v>23</v>
      </c>
      <c r="L18" s="192" t="s">
        <v>23</v>
      </c>
      <c r="M18" s="194" t="s">
        <v>23</v>
      </c>
      <c r="N18" s="192" t="s">
        <v>53</v>
      </c>
      <c r="O18" s="194" t="s">
        <v>88</v>
      </c>
      <c r="P18" s="194" t="s">
        <v>89</v>
      </c>
      <c r="Q18" s="192">
        <v>51</v>
      </c>
    </row>
    <row r="19" spans="1:17" ht="48" customHeight="1" x14ac:dyDescent="0.25">
      <c r="A19" s="192">
        <v>17</v>
      </c>
      <c r="B19" s="193" t="s">
        <v>90</v>
      </c>
      <c r="C19" s="193" t="s">
        <v>90</v>
      </c>
      <c r="D19" s="194" t="s">
        <v>19</v>
      </c>
      <c r="E19" s="192" t="s">
        <v>91</v>
      </c>
      <c r="F19" s="192" t="s">
        <v>42</v>
      </c>
      <c r="G19" s="192" t="s">
        <v>22</v>
      </c>
      <c r="H19" s="193" t="s">
        <v>23</v>
      </c>
      <c r="I19" s="192" t="s">
        <v>23</v>
      </c>
      <c r="J19" s="192" t="s">
        <v>24</v>
      </c>
      <c r="K19" s="192" t="s">
        <v>23</v>
      </c>
      <c r="L19" s="192" t="s">
        <v>24</v>
      </c>
      <c r="M19" s="194" t="s">
        <v>92</v>
      </c>
      <c r="N19" s="192" t="s">
        <v>25</v>
      </c>
      <c r="O19" s="194" t="s">
        <v>93</v>
      </c>
      <c r="P19" s="194" t="s">
        <v>94</v>
      </c>
      <c r="Q19" s="192">
        <v>71</v>
      </c>
    </row>
    <row r="20" spans="1:17" ht="48" customHeight="1" x14ac:dyDescent="0.25">
      <c r="A20" s="192">
        <v>18</v>
      </c>
      <c r="B20" s="193" t="s">
        <v>95</v>
      </c>
      <c r="C20" s="193" t="s">
        <v>95</v>
      </c>
      <c r="D20" s="194" t="s">
        <v>19</v>
      </c>
      <c r="E20" s="192" t="s">
        <v>91</v>
      </c>
      <c r="F20" s="192" t="s">
        <v>96</v>
      </c>
      <c r="G20" s="192" t="s">
        <v>22</v>
      </c>
      <c r="H20" s="193" t="s">
        <v>23</v>
      </c>
      <c r="I20" s="192" t="s">
        <v>23</v>
      </c>
      <c r="J20" s="192" t="s">
        <v>24</v>
      </c>
      <c r="K20" s="192" t="s">
        <v>23</v>
      </c>
      <c r="L20" s="192" t="s">
        <v>24</v>
      </c>
      <c r="M20" s="194" t="s">
        <v>97</v>
      </c>
      <c r="N20" s="192" t="s">
        <v>53</v>
      </c>
      <c r="O20" s="194" t="s">
        <v>98</v>
      </c>
      <c r="P20" s="194" t="s">
        <v>99</v>
      </c>
      <c r="Q20" s="192">
        <v>72</v>
      </c>
    </row>
    <row r="21" spans="1:17" ht="48" customHeight="1" x14ac:dyDescent="0.25">
      <c r="A21" s="192">
        <v>19</v>
      </c>
      <c r="B21" s="193" t="s">
        <v>100</v>
      </c>
      <c r="C21" s="193" t="s">
        <v>100</v>
      </c>
      <c r="D21" s="194" t="s">
        <v>19</v>
      </c>
      <c r="E21" s="192" t="s">
        <v>91</v>
      </c>
      <c r="F21" s="192" t="s">
        <v>49</v>
      </c>
      <c r="G21" s="192" t="s">
        <v>22</v>
      </c>
      <c r="H21" s="193" t="s">
        <v>23</v>
      </c>
      <c r="I21" s="192" t="s">
        <v>23</v>
      </c>
      <c r="J21" s="192" t="s">
        <v>24</v>
      </c>
      <c r="K21" s="192" t="s">
        <v>23</v>
      </c>
      <c r="L21" s="192" t="s">
        <v>24</v>
      </c>
      <c r="M21" s="194" t="s">
        <v>101</v>
      </c>
      <c r="N21" s="192" t="s">
        <v>53</v>
      </c>
      <c r="O21" s="194" t="s">
        <v>102</v>
      </c>
      <c r="P21" s="194" t="s">
        <v>103</v>
      </c>
      <c r="Q21" s="192">
        <v>73</v>
      </c>
    </row>
    <row r="22" spans="1:17" ht="48" customHeight="1" x14ac:dyDescent="0.25">
      <c r="A22" s="192">
        <v>20</v>
      </c>
      <c r="B22" s="193" t="s">
        <v>104</v>
      </c>
      <c r="C22" s="193" t="s">
        <v>104</v>
      </c>
      <c r="D22" s="194" t="s">
        <v>19</v>
      </c>
      <c r="E22" s="192" t="s">
        <v>91</v>
      </c>
      <c r="F22" s="192" t="s">
        <v>96</v>
      </c>
      <c r="G22" s="192" t="s">
        <v>22</v>
      </c>
      <c r="H22" s="193" t="s">
        <v>23</v>
      </c>
      <c r="I22" s="192" t="s">
        <v>23</v>
      </c>
      <c r="J22" s="192" t="s">
        <v>24</v>
      </c>
      <c r="K22" s="192" t="s">
        <v>23</v>
      </c>
      <c r="L22" s="192" t="s">
        <v>24</v>
      </c>
      <c r="M22" s="194" t="s">
        <v>97</v>
      </c>
      <c r="N22" s="192" t="s">
        <v>53</v>
      </c>
      <c r="O22" s="194" t="s">
        <v>105</v>
      </c>
      <c r="P22" s="194" t="s">
        <v>106</v>
      </c>
      <c r="Q22" s="192">
        <v>74</v>
      </c>
    </row>
    <row r="23" spans="1:17" ht="48" customHeight="1" x14ac:dyDescent="0.25">
      <c r="A23" s="192">
        <v>21</v>
      </c>
      <c r="B23" s="193" t="s">
        <v>107</v>
      </c>
      <c r="C23" s="193" t="s">
        <v>107</v>
      </c>
      <c r="D23" s="194" t="s">
        <v>19</v>
      </c>
      <c r="E23" s="192" t="s">
        <v>91</v>
      </c>
      <c r="F23" s="192" t="s">
        <v>49</v>
      </c>
      <c r="G23" s="192" t="s">
        <v>22</v>
      </c>
      <c r="H23" s="193" t="s">
        <v>23</v>
      </c>
      <c r="I23" s="192" t="s">
        <v>23</v>
      </c>
      <c r="J23" s="192" t="s">
        <v>24</v>
      </c>
      <c r="K23" s="192" t="s">
        <v>23</v>
      </c>
      <c r="L23" s="192" t="s">
        <v>24</v>
      </c>
      <c r="M23" s="194" t="s">
        <v>101</v>
      </c>
      <c r="N23" s="192" t="s">
        <v>53</v>
      </c>
      <c r="O23" s="194" t="s">
        <v>108</v>
      </c>
      <c r="P23" s="194" t="s">
        <v>103</v>
      </c>
      <c r="Q23" s="192">
        <v>75</v>
      </c>
    </row>
    <row r="24" spans="1:17" ht="48" customHeight="1" x14ac:dyDescent="0.25">
      <c r="A24" s="192">
        <v>22</v>
      </c>
      <c r="B24" s="193" t="s">
        <v>109</v>
      </c>
      <c r="C24" s="193" t="s">
        <v>109</v>
      </c>
      <c r="D24" s="194" t="s">
        <v>19</v>
      </c>
      <c r="E24" s="192" t="s">
        <v>91</v>
      </c>
      <c r="F24" s="192" t="s">
        <v>49</v>
      </c>
      <c r="G24" s="192" t="s">
        <v>22</v>
      </c>
      <c r="H24" s="193" t="s">
        <v>23</v>
      </c>
      <c r="I24" s="192" t="s">
        <v>23</v>
      </c>
      <c r="J24" s="192" t="s">
        <v>24</v>
      </c>
      <c r="K24" s="192" t="s">
        <v>23</v>
      </c>
      <c r="L24" s="192" t="s">
        <v>24</v>
      </c>
      <c r="M24" s="194" t="s">
        <v>97</v>
      </c>
      <c r="N24" s="192" t="s">
        <v>53</v>
      </c>
      <c r="O24" s="194" t="s">
        <v>110</v>
      </c>
      <c r="P24" s="194" t="s">
        <v>111</v>
      </c>
      <c r="Q24" s="192">
        <v>76</v>
      </c>
    </row>
    <row r="25" spans="1:17" ht="48" customHeight="1" x14ac:dyDescent="0.25">
      <c r="A25" s="192">
        <v>23</v>
      </c>
      <c r="B25" s="193" t="s">
        <v>112</v>
      </c>
      <c r="C25" s="193" t="s">
        <v>112</v>
      </c>
      <c r="D25" s="194" t="s">
        <v>19</v>
      </c>
      <c r="E25" s="192" t="s">
        <v>91</v>
      </c>
      <c r="F25" s="192" t="s">
        <v>21</v>
      </c>
      <c r="G25" s="192" t="s">
        <v>22</v>
      </c>
      <c r="H25" s="193" t="s">
        <v>23</v>
      </c>
      <c r="I25" s="192" t="s">
        <v>23</v>
      </c>
      <c r="J25" s="192" t="s">
        <v>24</v>
      </c>
      <c r="K25" s="192" t="s">
        <v>23</v>
      </c>
      <c r="L25" s="192" t="s">
        <v>24</v>
      </c>
      <c r="M25" s="194" t="s">
        <v>113</v>
      </c>
      <c r="N25" s="192" t="s">
        <v>114</v>
      </c>
      <c r="O25" s="194" t="s">
        <v>115</v>
      </c>
      <c r="P25" s="194" t="s">
        <v>116</v>
      </c>
      <c r="Q25" s="192">
        <v>77</v>
      </c>
    </row>
    <row r="26" spans="1:17" ht="48" customHeight="1" x14ac:dyDescent="0.25">
      <c r="A26" s="192">
        <v>24</v>
      </c>
      <c r="B26" s="193" t="s">
        <v>117</v>
      </c>
      <c r="C26" s="193" t="s">
        <v>117</v>
      </c>
      <c r="D26" s="194" t="s">
        <v>19</v>
      </c>
      <c r="E26" s="192" t="s">
        <v>118</v>
      </c>
      <c r="F26" s="192" t="s">
        <v>119</v>
      </c>
      <c r="G26" s="192" t="s">
        <v>22</v>
      </c>
      <c r="H26" s="193" t="s">
        <v>23</v>
      </c>
      <c r="I26" s="192" t="s">
        <v>23</v>
      </c>
      <c r="J26" s="192" t="s">
        <v>24</v>
      </c>
      <c r="K26" s="192" t="s">
        <v>23</v>
      </c>
      <c r="L26" s="192" t="s">
        <v>24</v>
      </c>
      <c r="M26" s="194" t="s">
        <v>120</v>
      </c>
      <c r="N26" s="192" t="s">
        <v>25</v>
      </c>
      <c r="O26" s="194" t="s">
        <v>121</v>
      </c>
      <c r="P26" s="194" t="e">
        <f>0 + high SOCIALINF → flag</f>
        <v>#NAME?</v>
      </c>
      <c r="Q26" s="192">
        <v>78</v>
      </c>
    </row>
    <row r="27" spans="1:17" ht="48" customHeight="1" x14ac:dyDescent="0.25">
      <c r="A27" s="192">
        <v>25</v>
      </c>
      <c r="B27" s="193" t="s">
        <v>122</v>
      </c>
      <c r="C27" s="193" t="s">
        <v>122</v>
      </c>
      <c r="D27" s="194" t="s">
        <v>19</v>
      </c>
      <c r="E27" s="192" t="s">
        <v>123</v>
      </c>
      <c r="F27" s="192" t="s">
        <v>96</v>
      </c>
      <c r="G27" s="192" t="s">
        <v>22</v>
      </c>
      <c r="H27" s="193" t="s">
        <v>23</v>
      </c>
      <c r="I27" s="192" t="s">
        <v>23</v>
      </c>
      <c r="J27" s="192" t="s">
        <v>24</v>
      </c>
      <c r="K27" s="192" t="s">
        <v>23</v>
      </c>
      <c r="L27" s="192" t="s">
        <v>24</v>
      </c>
      <c r="M27" s="194" t="s">
        <v>124</v>
      </c>
      <c r="N27" s="192" t="s">
        <v>114</v>
      </c>
      <c r="O27" s="194" t="s">
        <v>125</v>
      </c>
      <c r="P27" s="194" t="s">
        <v>126</v>
      </c>
      <c r="Q27" s="192">
        <v>79</v>
      </c>
    </row>
    <row r="28" spans="1:17" ht="48" customHeight="1" x14ac:dyDescent="0.25">
      <c r="A28" s="192">
        <v>26</v>
      </c>
      <c r="B28" s="193" t="s">
        <v>127</v>
      </c>
      <c r="C28" s="193" t="s">
        <v>128</v>
      </c>
      <c r="D28" s="194" t="s">
        <v>19</v>
      </c>
      <c r="E28" s="192" t="s">
        <v>129</v>
      </c>
      <c r="F28" s="192" t="s">
        <v>49</v>
      </c>
      <c r="G28" s="192" t="s">
        <v>22</v>
      </c>
      <c r="H28" s="193" t="s">
        <v>23</v>
      </c>
      <c r="I28" s="192" t="s">
        <v>23</v>
      </c>
      <c r="J28" s="192" t="s">
        <v>23</v>
      </c>
      <c r="K28" s="192" t="s">
        <v>24</v>
      </c>
      <c r="L28" s="192" t="s">
        <v>24</v>
      </c>
      <c r="M28" s="194" t="s">
        <v>23</v>
      </c>
      <c r="N28" s="192" t="s">
        <v>25</v>
      </c>
      <c r="O28" s="194" t="s">
        <v>130</v>
      </c>
      <c r="P28" s="194" t="s">
        <v>131</v>
      </c>
      <c r="Q28" s="192">
        <v>147</v>
      </c>
    </row>
    <row r="29" spans="1:17" ht="48" customHeight="1" x14ac:dyDescent="0.25">
      <c r="A29" s="192">
        <v>27</v>
      </c>
      <c r="B29" s="193" t="s">
        <v>132</v>
      </c>
      <c r="C29" s="193" t="s">
        <v>133</v>
      </c>
      <c r="D29" s="194" t="s">
        <v>19</v>
      </c>
      <c r="E29" s="192" t="s">
        <v>20</v>
      </c>
      <c r="F29" s="192" t="s">
        <v>96</v>
      </c>
      <c r="G29" s="192" t="s">
        <v>22</v>
      </c>
      <c r="H29" s="193" t="s">
        <v>23</v>
      </c>
      <c r="I29" s="192" t="s">
        <v>23</v>
      </c>
      <c r="J29" s="192" t="s">
        <v>23</v>
      </c>
      <c r="K29" s="192" t="s">
        <v>24</v>
      </c>
      <c r="L29" s="192" t="s">
        <v>24</v>
      </c>
      <c r="M29" s="194" t="s">
        <v>23</v>
      </c>
      <c r="N29" s="192" t="s">
        <v>25</v>
      </c>
      <c r="O29" s="194" t="s">
        <v>134</v>
      </c>
      <c r="P29" s="194" t="s">
        <v>135</v>
      </c>
      <c r="Q29" s="192">
        <v>148</v>
      </c>
    </row>
    <row r="30" spans="1:17" ht="48" customHeight="1" x14ac:dyDescent="0.25">
      <c r="A30" s="192">
        <v>28</v>
      </c>
      <c r="B30" s="193" t="s">
        <v>136</v>
      </c>
      <c r="C30" s="193" t="s">
        <v>136</v>
      </c>
      <c r="D30" s="194" t="s">
        <v>19</v>
      </c>
      <c r="E30" s="192" t="s">
        <v>118</v>
      </c>
      <c r="F30" s="192" t="s">
        <v>137</v>
      </c>
      <c r="G30" s="192" t="s">
        <v>22</v>
      </c>
      <c r="H30" s="193" t="s">
        <v>23</v>
      </c>
      <c r="I30" s="192" t="s">
        <v>23</v>
      </c>
      <c r="J30" s="192" t="s">
        <v>23</v>
      </c>
      <c r="K30" s="192" t="s">
        <v>24</v>
      </c>
      <c r="L30" s="192" t="s">
        <v>24</v>
      </c>
      <c r="M30" s="194" t="s">
        <v>23</v>
      </c>
      <c r="N30" s="192" t="s">
        <v>25</v>
      </c>
      <c r="O30" s="194" t="s">
        <v>138</v>
      </c>
      <c r="P30" s="194" t="s">
        <v>139</v>
      </c>
      <c r="Q30" s="192">
        <v>151</v>
      </c>
    </row>
    <row r="31" spans="1:17" ht="48" customHeight="1" x14ac:dyDescent="0.25">
      <c r="A31" s="192">
        <v>29</v>
      </c>
      <c r="B31" s="193" t="s">
        <v>140</v>
      </c>
      <c r="C31" s="193" t="s">
        <v>140</v>
      </c>
      <c r="D31" s="194" t="s">
        <v>19</v>
      </c>
      <c r="E31" s="192" t="s">
        <v>118</v>
      </c>
      <c r="F31" s="192" t="s">
        <v>141</v>
      </c>
      <c r="G31" s="192" t="s">
        <v>22</v>
      </c>
      <c r="H31" s="193" t="s">
        <v>23</v>
      </c>
      <c r="I31" s="192" t="s">
        <v>23</v>
      </c>
      <c r="J31" s="192" t="s">
        <v>23</v>
      </c>
      <c r="K31" s="192" t="s">
        <v>24</v>
      </c>
      <c r="L31" s="192" t="s">
        <v>24</v>
      </c>
      <c r="M31" s="194" t="s">
        <v>23</v>
      </c>
      <c r="N31" s="192" t="s">
        <v>25</v>
      </c>
      <c r="O31" s="194" t="s">
        <v>142</v>
      </c>
      <c r="P31" s="194" t="s">
        <v>143</v>
      </c>
      <c r="Q31" s="192">
        <v>154</v>
      </c>
    </row>
    <row r="32" spans="1:17" ht="48" customHeight="1" x14ac:dyDescent="0.25">
      <c r="A32" s="192">
        <v>30</v>
      </c>
      <c r="B32" s="193" t="s">
        <v>144</v>
      </c>
      <c r="C32" s="193" t="s">
        <v>144</v>
      </c>
      <c r="D32" s="194" t="s">
        <v>19</v>
      </c>
      <c r="E32" s="192" t="s">
        <v>20</v>
      </c>
      <c r="F32" s="192" t="s">
        <v>96</v>
      </c>
      <c r="G32" s="192" t="s">
        <v>22</v>
      </c>
      <c r="H32" s="193" t="s">
        <v>23</v>
      </c>
      <c r="I32" s="192" t="s">
        <v>23</v>
      </c>
      <c r="J32" s="192" t="s">
        <v>24</v>
      </c>
      <c r="K32" s="192" t="s">
        <v>23</v>
      </c>
      <c r="L32" s="192" t="s">
        <v>24</v>
      </c>
      <c r="M32" s="194" t="s">
        <v>145</v>
      </c>
      <c r="N32" s="192" t="s">
        <v>25</v>
      </c>
      <c r="O32" s="194" t="s">
        <v>146</v>
      </c>
      <c r="P32" s="194" t="s">
        <v>147</v>
      </c>
      <c r="Q32" s="192">
        <v>156</v>
      </c>
    </row>
    <row r="33" spans="1:17" ht="21.95" customHeight="1" x14ac:dyDescent="0.25">
      <c r="A33" s="189"/>
      <c r="B33" s="235" t="s">
        <v>148</v>
      </c>
      <c r="C33" s="236"/>
      <c r="D33" s="236"/>
      <c r="E33" s="236"/>
      <c r="F33" s="236"/>
      <c r="G33" s="236"/>
      <c r="H33" s="236"/>
      <c r="I33" s="236"/>
      <c r="J33" s="236"/>
      <c r="K33" s="236"/>
      <c r="L33" s="236"/>
      <c r="M33" s="236"/>
      <c r="N33" s="236"/>
      <c r="O33" s="236"/>
      <c r="P33" s="236"/>
      <c r="Q33" s="237"/>
    </row>
    <row r="34" spans="1:17" ht="48" customHeight="1" x14ac:dyDescent="0.25">
      <c r="A34" s="197">
        <v>31</v>
      </c>
      <c r="B34" s="198" t="s">
        <v>149</v>
      </c>
      <c r="C34" s="198" t="s">
        <v>149</v>
      </c>
      <c r="D34" s="199" t="s">
        <v>150</v>
      </c>
      <c r="E34" s="197" t="s">
        <v>151</v>
      </c>
      <c r="F34" s="197" t="s">
        <v>152</v>
      </c>
      <c r="G34" s="197" t="s">
        <v>22</v>
      </c>
      <c r="H34" s="198" t="s">
        <v>23</v>
      </c>
      <c r="I34" s="197" t="s">
        <v>24</v>
      </c>
      <c r="J34" s="197" t="s">
        <v>24</v>
      </c>
      <c r="K34" s="197" t="s">
        <v>24</v>
      </c>
      <c r="L34" s="197" t="s">
        <v>24</v>
      </c>
      <c r="M34" s="199" t="s">
        <v>153</v>
      </c>
      <c r="N34" s="197" t="s">
        <v>25</v>
      </c>
      <c r="O34" s="199" t="s">
        <v>154</v>
      </c>
      <c r="P34" s="199" t="s">
        <v>155</v>
      </c>
      <c r="Q34" s="197" t="s">
        <v>23</v>
      </c>
    </row>
    <row r="35" spans="1:17" ht="48" customHeight="1" x14ac:dyDescent="0.25">
      <c r="A35" s="200">
        <v>32</v>
      </c>
      <c r="B35" s="201" t="s">
        <v>156</v>
      </c>
      <c r="C35" s="201" t="s">
        <v>157</v>
      </c>
      <c r="D35" s="187" t="s">
        <v>150</v>
      </c>
      <c r="E35" s="200" t="s">
        <v>129</v>
      </c>
      <c r="F35" s="200" t="s">
        <v>158</v>
      </c>
      <c r="G35" s="200" t="s">
        <v>22</v>
      </c>
      <c r="H35" s="201" t="s">
        <v>23</v>
      </c>
      <c r="I35" s="200" t="s">
        <v>23</v>
      </c>
      <c r="J35" s="200" t="s">
        <v>24</v>
      </c>
      <c r="K35" s="200" t="s">
        <v>23</v>
      </c>
      <c r="L35" s="200" t="s">
        <v>24</v>
      </c>
      <c r="M35" s="187" t="s">
        <v>159</v>
      </c>
      <c r="N35" s="200" t="s">
        <v>25</v>
      </c>
      <c r="O35" s="187" t="s">
        <v>160</v>
      </c>
      <c r="P35" s="187" t="s">
        <v>161</v>
      </c>
      <c r="Q35" s="200" t="s">
        <v>23</v>
      </c>
    </row>
    <row r="36" spans="1:17" ht="48" customHeight="1" x14ac:dyDescent="0.25">
      <c r="A36" s="200">
        <v>33</v>
      </c>
      <c r="B36" s="201" t="s">
        <v>162</v>
      </c>
      <c r="C36" s="201" t="s">
        <v>163</v>
      </c>
      <c r="D36" s="187" t="s">
        <v>150</v>
      </c>
      <c r="E36" s="200" t="s">
        <v>129</v>
      </c>
      <c r="F36" s="200" t="s">
        <v>158</v>
      </c>
      <c r="G36" s="200" t="s">
        <v>22</v>
      </c>
      <c r="H36" s="201" t="s">
        <v>23</v>
      </c>
      <c r="I36" s="200" t="s">
        <v>23</v>
      </c>
      <c r="J36" s="200" t="s">
        <v>24</v>
      </c>
      <c r="K36" s="200" t="s">
        <v>23</v>
      </c>
      <c r="L36" s="200" t="s">
        <v>24</v>
      </c>
      <c r="M36" s="187" t="s">
        <v>159</v>
      </c>
      <c r="N36" s="200" t="s">
        <v>25</v>
      </c>
      <c r="O36" s="187" t="s">
        <v>164</v>
      </c>
      <c r="P36" s="187" t="s">
        <v>165</v>
      </c>
      <c r="Q36" s="200" t="s">
        <v>23</v>
      </c>
    </row>
    <row r="37" spans="1:17" ht="48" customHeight="1" x14ac:dyDescent="0.25">
      <c r="A37" s="200">
        <v>34</v>
      </c>
      <c r="B37" s="201" t="s">
        <v>166</v>
      </c>
      <c r="C37" s="201" t="s">
        <v>167</v>
      </c>
      <c r="D37" s="187" t="s">
        <v>150</v>
      </c>
      <c r="E37" s="200" t="s">
        <v>129</v>
      </c>
      <c r="F37" s="200" t="s">
        <v>158</v>
      </c>
      <c r="G37" s="200" t="s">
        <v>22</v>
      </c>
      <c r="H37" s="201" t="s">
        <v>23</v>
      </c>
      <c r="I37" s="200" t="s">
        <v>23</v>
      </c>
      <c r="J37" s="200" t="s">
        <v>24</v>
      </c>
      <c r="K37" s="200" t="s">
        <v>23</v>
      </c>
      <c r="L37" s="200" t="s">
        <v>24</v>
      </c>
      <c r="M37" s="187" t="s">
        <v>159</v>
      </c>
      <c r="N37" s="200" t="s">
        <v>25</v>
      </c>
      <c r="O37" s="187" t="s">
        <v>168</v>
      </c>
      <c r="P37" s="187" t="s">
        <v>169</v>
      </c>
      <c r="Q37" s="200" t="s">
        <v>23</v>
      </c>
    </row>
    <row r="38" spans="1:17" ht="48" customHeight="1" x14ac:dyDescent="0.25">
      <c r="A38" s="200">
        <v>35</v>
      </c>
      <c r="B38" s="201" t="s">
        <v>170</v>
      </c>
      <c r="C38" s="201" t="s">
        <v>171</v>
      </c>
      <c r="D38" s="187" t="s">
        <v>150</v>
      </c>
      <c r="E38" s="200" t="s">
        <v>172</v>
      </c>
      <c r="F38" s="200" t="s">
        <v>173</v>
      </c>
      <c r="G38" s="200" t="s">
        <v>22</v>
      </c>
      <c r="H38" s="201" t="s">
        <v>23</v>
      </c>
      <c r="I38" s="200" t="s">
        <v>23</v>
      </c>
      <c r="J38" s="200" t="s">
        <v>24</v>
      </c>
      <c r="K38" s="200" t="s">
        <v>23</v>
      </c>
      <c r="L38" s="200" t="s">
        <v>24</v>
      </c>
      <c r="M38" s="187" t="s">
        <v>159</v>
      </c>
      <c r="N38" s="200" t="s">
        <v>25</v>
      </c>
      <c r="O38" s="187" t="s">
        <v>174</v>
      </c>
      <c r="P38" s="187" t="s">
        <v>175</v>
      </c>
      <c r="Q38" s="200" t="s">
        <v>23</v>
      </c>
    </row>
    <row r="39" spans="1:17" ht="48" customHeight="1" x14ac:dyDescent="0.25">
      <c r="A39" s="200">
        <v>36</v>
      </c>
      <c r="B39" s="201" t="s">
        <v>176</v>
      </c>
      <c r="C39" s="201" t="s">
        <v>177</v>
      </c>
      <c r="D39" s="187" t="s">
        <v>150</v>
      </c>
      <c r="E39" s="200" t="s">
        <v>172</v>
      </c>
      <c r="F39" s="200" t="s">
        <v>173</v>
      </c>
      <c r="G39" s="200" t="s">
        <v>22</v>
      </c>
      <c r="H39" s="201" t="s">
        <v>23</v>
      </c>
      <c r="I39" s="200" t="s">
        <v>23</v>
      </c>
      <c r="J39" s="200" t="s">
        <v>24</v>
      </c>
      <c r="K39" s="200" t="s">
        <v>23</v>
      </c>
      <c r="L39" s="200" t="s">
        <v>24</v>
      </c>
      <c r="M39" s="187" t="s">
        <v>178</v>
      </c>
      <c r="N39" s="200" t="s">
        <v>25</v>
      </c>
      <c r="O39" s="187" t="s">
        <v>179</v>
      </c>
      <c r="P39" s="187" t="s">
        <v>180</v>
      </c>
      <c r="Q39" s="200" t="s">
        <v>23</v>
      </c>
    </row>
    <row r="40" spans="1:17" ht="48" customHeight="1" x14ac:dyDescent="0.25">
      <c r="A40" s="200">
        <v>37</v>
      </c>
      <c r="B40" s="201" t="s">
        <v>120</v>
      </c>
      <c r="C40" s="201" t="s">
        <v>181</v>
      </c>
      <c r="D40" s="187" t="s">
        <v>150</v>
      </c>
      <c r="E40" s="200" t="s">
        <v>129</v>
      </c>
      <c r="F40" s="200" t="s">
        <v>158</v>
      </c>
      <c r="G40" s="200" t="s">
        <v>22</v>
      </c>
      <c r="H40" s="201" t="s">
        <v>23</v>
      </c>
      <c r="I40" s="200" t="s">
        <v>23</v>
      </c>
      <c r="J40" s="200" t="s">
        <v>24</v>
      </c>
      <c r="K40" s="200" t="s">
        <v>23</v>
      </c>
      <c r="L40" s="200" t="s">
        <v>24</v>
      </c>
      <c r="M40" s="187" t="s">
        <v>182</v>
      </c>
      <c r="N40" s="200" t="s">
        <v>25</v>
      </c>
      <c r="O40" s="187" t="s">
        <v>183</v>
      </c>
      <c r="P40" s="187" t="s">
        <v>184</v>
      </c>
      <c r="Q40" s="200" t="s">
        <v>23</v>
      </c>
    </row>
    <row r="41" spans="1:17" ht="21.95" customHeight="1" x14ac:dyDescent="0.25">
      <c r="A41" s="189"/>
      <c r="B41" s="235" t="s">
        <v>185</v>
      </c>
      <c r="C41" s="236"/>
      <c r="D41" s="236"/>
      <c r="E41" s="236"/>
      <c r="F41" s="236"/>
      <c r="G41" s="236"/>
      <c r="H41" s="236"/>
      <c r="I41" s="236"/>
      <c r="J41" s="236"/>
      <c r="K41" s="236"/>
      <c r="L41" s="236"/>
      <c r="M41" s="236"/>
      <c r="N41" s="236"/>
      <c r="O41" s="236"/>
      <c r="P41" s="236"/>
      <c r="Q41" s="237"/>
    </row>
    <row r="42" spans="1:17" ht="48" customHeight="1" x14ac:dyDescent="0.25">
      <c r="A42" s="202">
        <v>38</v>
      </c>
      <c r="B42" s="203" t="s">
        <v>186</v>
      </c>
      <c r="C42" s="203" t="s">
        <v>187</v>
      </c>
      <c r="D42" s="186" t="s">
        <v>19</v>
      </c>
      <c r="E42" s="202" t="s">
        <v>20</v>
      </c>
      <c r="F42" s="202" t="s">
        <v>188</v>
      </c>
      <c r="G42" s="202" t="s">
        <v>189</v>
      </c>
      <c r="H42" s="203" t="s">
        <v>190</v>
      </c>
      <c r="I42" s="202" t="s">
        <v>23</v>
      </c>
      <c r="J42" s="202" t="s">
        <v>23</v>
      </c>
      <c r="K42" s="202" t="s">
        <v>23</v>
      </c>
      <c r="L42" s="202" t="s">
        <v>24</v>
      </c>
      <c r="M42" s="186" t="s">
        <v>191</v>
      </c>
      <c r="N42" s="202" t="s">
        <v>192</v>
      </c>
      <c r="O42" s="186" t="s">
        <v>193</v>
      </c>
      <c r="P42" s="186" t="s">
        <v>194</v>
      </c>
      <c r="Q42" s="202">
        <v>81</v>
      </c>
    </row>
    <row r="43" spans="1:17" ht="48" customHeight="1" x14ac:dyDescent="0.25">
      <c r="A43" s="202">
        <v>39</v>
      </c>
      <c r="B43" s="203" t="s">
        <v>195</v>
      </c>
      <c r="C43" s="203" t="s">
        <v>196</v>
      </c>
      <c r="D43" s="186" t="s">
        <v>19</v>
      </c>
      <c r="E43" s="202" t="s">
        <v>91</v>
      </c>
      <c r="F43" s="202" t="s">
        <v>197</v>
      </c>
      <c r="G43" s="202" t="s">
        <v>189</v>
      </c>
      <c r="H43" s="203" t="s">
        <v>198</v>
      </c>
      <c r="I43" s="202" t="s">
        <v>23</v>
      </c>
      <c r="J43" s="202" t="s">
        <v>23</v>
      </c>
      <c r="K43" s="202" t="s">
        <v>23</v>
      </c>
      <c r="L43" s="202" t="s">
        <v>24</v>
      </c>
      <c r="M43" s="186" t="s">
        <v>191</v>
      </c>
      <c r="N43" s="202" t="s">
        <v>192</v>
      </c>
      <c r="O43" s="186" t="s">
        <v>199</v>
      </c>
      <c r="P43" s="186" t="s">
        <v>200</v>
      </c>
      <c r="Q43" s="202">
        <v>82</v>
      </c>
    </row>
    <row r="44" spans="1:17" ht="48" customHeight="1" x14ac:dyDescent="0.25">
      <c r="A44" s="202">
        <v>40</v>
      </c>
      <c r="B44" s="203" t="s">
        <v>201</v>
      </c>
      <c r="C44" s="203" t="s">
        <v>202</v>
      </c>
      <c r="D44" s="186" t="s">
        <v>19</v>
      </c>
      <c r="E44" s="202" t="s">
        <v>203</v>
      </c>
      <c r="F44" s="202" t="s">
        <v>204</v>
      </c>
      <c r="G44" s="202" t="s">
        <v>189</v>
      </c>
      <c r="H44" s="203" t="s">
        <v>205</v>
      </c>
      <c r="I44" s="202" t="s">
        <v>23</v>
      </c>
      <c r="J44" s="202" t="s">
        <v>206</v>
      </c>
      <c r="K44" s="202" t="s">
        <v>23</v>
      </c>
      <c r="L44" s="202" t="s">
        <v>24</v>
      </c>
      <c r="M44" s="186" t="s">
        <v>207</v>
      </c>
      <c r="N44" s="202" t="s">
        <v>192</v>
      </c>
      <c r="O44" s="186" t="s">
        <v>208</v>
      </c>
      <c r="P44" s="186" t="s">
        <v>209</v>
      </c>
      <c r="Q44" s="202">
        <v>84</v>
      </c>
    </row>
    <row r="45" spans="1:17" ht="48" customHeight="1" x14ac:dyDescent="0.25">
      <c r="A45" s="202">
        <v>41</v>
      </c>
      <c r="B45" s="203" t="s">
        <v>210</v>
      </c>
      <c r="C45" s="203" t="s">
        <v>211</v>
      </c>
      <c r="D45" s="186" t="s">
        <v>19</v>
      </c>
      <c r="E45" s="202" t="s">
        <v>123</v>
      </c>
      <c r="F45" s="202" t="s">
        <v>212</v>
      </c>
      <c r="G45" s="202" t="s">
        <v>189</v>
      </c>
      <c r="H45" s="203" t="s">
        <v>213</v>
      </c>
      <c r="I45" s="202" t="s">
        <v>23</v>
      </c>
      <c r="J45" s="202" t="s">
        <v>23</v>
      </c>
      <c r="K45" s="202" t="s">
        <v>23</v>
      </c>
      <c r="L45" s="202" t="s">
        <v>24</v>
      </c>
      <c r="M45" s="186" t="s">
        <v>191</v>
      </c>
      <c r="N45" s="202" t="s">
        <v>192</v>
      </c>
      <c r="O45" s="186" t="s">
        <v>214</v>
      </c>
      <c r="P45" s="186" t="s">
        <v>215</v>
      </c>
      <c r="Q45" s="202">
        <v>85</v>
      </c>
    </row>
    <row r="46" spans="1:17" ht="48" customHeight="1" x14ac:dyDescent="0.25">
      <c r="A46" s="202">
        <v>42</v>
      </c>
      <c r="B46" s="203" t="s">
        <v>216</v>
      </c>
      <c r="C46" s="203" t="s">
        <v>217</v>
      </c>
      <c r="D46" s="186" t="s">
        <v>19</v>
      </c>
      <c r="E46" s="202" t="s">
        <v>123</v>
      </c>
      <c r="F46" s="202" t="s">
        <v>218</v>
      </c>
      <c r="G46" s="202" t="s">
        <v>189</v>
      </c>
      <c r="H46" s="203" t="s">
        <v>219</v>
      </c>
      <c r="I46" s="202" t="s">
        <v>23</v>
      </c>
      <c r="J46" s="202" t="s">
        <v>24</v>
      </c>
      <c r="K46" s="202" t="s">
        <v>23</v>
      </c>
      <c r="L46" s="202" t="s">
        <v>24</v>
      </c>
      <c r="M46" s="186" t="s">
        <v>220</v>
      </c>
      <c r="N46" s="202" t="s">
        <v>25</v>
      </c>
      <c r="O46" s="186" t="s">
        <v>221</v>
      </c>
      <c r="P46" s="186" t="s">
        <v>222</v>
      </c>
      <c r="Q46" s="202">
        <v>87</v>
      </c>
    </row>
    <row r="47" spans="1:17" ht="48" customHeight="1" x14ac:dyDescent="0.25">
      <c r="A47" s="202">
        <v>43</v>
      </c>
      <c r="B47" s="203" t="s">
        <v>223</v>
      </c>
      <c r="C47" s="203" t="s">
        <v>224</v>
      </c>
      <c r="D47" s="186" t="s">
        <v>19</v>
      </c>
      <c r="E47" s="202" t="s">
        <v>123</v>
      </c>
      <c r="F47" s="202" t="s">
        <v>218</v>
      </c>
      <c r="G47" s="202" t="s">
        <v>189</v>
      </c>
      <c r="H47" s="203" t="s">
        <v>225</v>
      </c>
      <c r="I47" s="202" t="s">
        <v>23</v>
      </c>
      <c r="J47" s="202" t="s">
        <v>24</v>
      </c>
      <c r="K47" s="202" t="s">
        <v>23</v>
      </c>
      <c r="L47" s="202" t="s">
        <v>24</v>
      </c>
      <c r="M47" s="186" t="s">
        <v>226</v>
      </c>
      <c r="N47" s="202" t="s">
        <v>25</v>
      </c>
      <c r="O47" s="186" t="s">
        <v>227</v>
      </c>
      <c r="P47" s="186" t="s">
        <v>228</v>
      </c>
      <c r="Q47" s="202">
        <v>105</v>
      </c>
    </row>
    <row r="48" spans="1:17" ht="48" customHeight="1" x14ac:dyDescent="0.25">
      <c r="A48" s="202">
        <v>44</v>
      </c>
      <c r="B48" s="203" t="s">
        <v>229</v>
      </c>
      <c r="C48" s="203" t="s">
        <v>230</v>
      </c>
      <c r="D48" s="186" t="s">
        <v>19</v>
      </c>
      <c r="E48" s="202" t="s">
        <v>123</v>
      </c>
      <c r="F48" s="202" t="s">
        <v>231</v>
      </c>
      <c r="G48" s="202" t="s">
        <v>189</v>
      </c>
      <c r="H48" s="203" t="s">
        <v>225</v>
      </c>
      <c r="I48" s="202" t="s">
        <v>23</v>
      </c>
      <c r="J48" s="202" t="s">
        <v>24</v>
      </c>
      <c r="K48" s="202" t="s">
        <v>23</v>
      </c>
      <c r="L48" s="202" t="s">
        <v>24</v>
      </c>
      <c r="M48" s="186" t="s">
        <v>226</v>
      </c>
      <c r="N48" s="202" t="s">
        <v>192</v>
      </c>
      <c r="O48" s="186" t="s">
        <v>232</v>
      </c>
      <c r="P48" s="186" t="s">
        <v>233</v>
      </c>
      <c r="Q48" s="202">
        <v>106</v>
      </c>
    </row>
    <row r="49" spans="1:17" ht="48" customHeight="1" x14ac:dyDescent="0.25">
      <c r="A49" s="202">
        <v>45</v>
      </c>
      <c r="B49" s="203" t="s">
        <v>234</v>
      </c>
      <c r="C49" s="203" t="s">
        <v>235</v>
      </c>
      <c r="D49" s="186" t="s">
        <v>19</v>
      </c>
      <c r="E49" s="202" t="s">
        <v>236</v>
      </c>
      <c r="F49" s="202" t="s">
        <v>237</v>
      </c>
      <c r="G49" s="202" t="s">
        <v>189</v>
      </c>
      <c r="H49" s="203" t="s">
        <v>238</v>
      </c>
      <c r="I49" s="202" t="s">
        <v>23</v>
      </c>
      <c r="J49" s="202" t="s">
        <v>24</v>
      </c>
      <c r="K49" s="202" t="s">
        <v>23</v>
      </c>
      <c r="L49" s="202" t="s">
        <v>24</v>
      </c>
      <c r="M49" s="186" t="s">
        <v>226</v>
      </c>
      <c r="N49" s="202" t="s">
        <v>192</v>
      </c>
      <c r="O49" s="186" t="s">
        <v>239</v>
      </c>
      <c r="P49" s="186" t="s">
        <v>240</v>
      </c>
      <c r="Q49" s="202">
        <v>107</v>
      </c>
    </row>
    <row r="50" spans="1:17" ht="48" customHeight="1" x14ac:dyDescent="0.25">
      <c r="A50" s="202">
        <v>46</v>
      </c>
      <c r="B50" s="203" t="s">
        <v>241</v>
      </c>
      <c r="C50" s="203" t="s">
        <v>242</v>
      </c>
      <c r="D50" s="186" t="s">
        <v>19</v>
      </c>
      <c r="E50" s="202" t="s">
        <v>82</v>
      </c>
      <c r="F50" s="202" t="s">
        <v>243</v>
      </c>
      <c r="G50" s="202" t="s">
        <v>189</v>
      </c>
      <c r="H50" s="203" t="s">
        <v>244</v>
      </c>
      <c r="I50" s="202" t="s">
        <v>24</v>
      </c>
      <c r="J50" s="202" t="s">
        <v>24</v>
      </c>
      <c r="K50" s="202" t="s">
        <v>24</v>
      </c>
      <c r="L50" s="202" t="s">
        <v>24</v>
      </c>
      <c r="M50" s="186" t="s">
        <v>245</v>
      </c>
      <c r="N50" s="202" t="s">
        <v>25</v>
      </c>
      <c r="O50" s="186" t="s">
        <v>246</v>
      </c>
      <c r="P50" s="186" t="s">
        <v>247</v>
      </c>
      <c r="Q50" s="202">
        <v>109</v>
      </c>
    </row>
    <row r="51" spans="1:17" ht="48" customHeight="1" x14ac:dyDescent="0.25">
      <c r="A51" s="202">
        <v>47</v>
      </c>
      <c r="B51" s="203" t="s">
        <v>248</v>
      </c>
      <c r="C51" s="203" t="s">
        <v>249</v>
      </c>
      <c r="D51" s="186" t="s">
        <v>19</v>
      </c>
      <c r="E51" s="202" t="s">
        <v>123</v>
      </c>
      <c r="F51" s="202" t="s">
        <v>250</v>
      </c>
      <c r="G51" s="202" t="s">
        <v>189</v>
      </c>
      <c r="H51" s="203" t="s">
        <v>251</v>
      </c>
      <c r="I51" s="202" t="s">
        <v>23</v>
      </c>
      <c r="J51" s="202" t="s">
        <v>24</v>
      </c>
      <c r="K51" s="202" t="s">
        <v>23</v>
      </c>
      <c r="L51" s="202" t="s">
        <v>24</v>
      </c>
      <c r="M51" s="186" t="s">
        <v>252</v>
      </c>
      <c r="N51" s="202" t="s">
        <v>25</v>
      </c>
      <c r="O51" s="186" t="s">
        <v>253</v>
      </c>
      <c r="P51" s="186" t="s">
        <v>254</v>
      </c>
      <c r="Q51" s="202">
        <v>122</v>
      </c>
    </row>
    <row r="52" spans="1:17" ht="48" customHeight="1" x14ac:dyDescent="0.25">
      <c r="A52" s="202">
        <v>48</v>
      </c>
      <c r="B52" s="203" t="s">
        <v>255</v>
      </c>
      <c r="C52" s="203" t="s">
        <v>256</v>
      </c>
      <c r="D52" s="186" t="s">
        <v>257</v>
      </c>
      <c r="E52" s="202" t="s">
        <v>258</v>
      </c>
      <c r="F52" s="202" t="s">
        <v>259</v>
      </c>
      <c r="G52" s="202" t="s">
        <v>189</v>
      </c>
      <c r="H52" s="203" t="s">
        <v>260</v>
      </c>
      <c r="I52" s="202" t="s">
        <v>23</v>
      </c>
      <c r="J52" s="202" t="s">
        <v>24</v>
      </c>
      <c r="K52" s="202" t="s">
        <v>23</v>
      </c>
      <c r="L52" s="202" t="s">
        <v>23</v>
      </c>
      <c r="M52" s="186" t="s">
        <v>261</v>
      </c>
      <c r="N52" s="202" t="s">
        <v>25</v>
      </c>
      <c r="O52" s="186" t="s">
        <v>262</v>
      </c>
      <c r="P52" s="186" t="s">
        <v>263</v>
      </c>
      <c r="Q52" s="202" t="s">
        <v>23</v>
      </c>
    </row>
    <row r="53" spans="1:17" ht="48" customHeight="1" x14ac:dyDescent="0.25">
      <c r="A53" s="202">
        <v>49</v>
      </c>
      <c r="B53" s="203" t="s">
        <v>264</v>
      </c>
      <c r="C53" s="203" t="s">
        <v>265</v>
      </c>
      <c r="D53" s="186" t="s">
        <v>19</v>
      </c>
      <c r="E53" s="202" t="s">
        <v>118</v>
      </c>
      <c r="F53" s="202" t="s">
        <v>266</v>
      </c>
      <c r="G53" s="202" t="s">
        <v>189</v>
      </c>
      <c r="H53" s="203" t="s">
        <v>267</v>
      </c>
      <c r="I53" s="202" t="s">
        <v>23</v>
      </c>
      <c r="J53" s="202" t="s">
        <v>24</v>
      </c>
      <c r="K53" s="202" t="s">
        <v>23</v>
      </c>
      <c r="L53" s="202" t="s">
        <v>24</v>
      </c>
      <c r="M53" s="186" t="s">
        <v>268</v>
      </c>
      <c r="N53" s="202" t="s">
        <v>53</v>
      </c>
      <c r="O53" s="186" t="s">
        <v>269</v>
      </c>
      <c r="P53" s="186" t="s">
        <v>270</v>
      </c>
      <c r="Q53" s="202">
        <v>127</v>
      </c>
    </row>
    <row r="54" spans="1:17" ht="48" customHeight="1" x14ac:dyDescent="0.25">
      <c r="A54" s="202">
        <v>50</v>
      </c>
      <c r="B54" s="203" t="s">
        <v>271</v>
      </c>
      <c r="C54" s="203" t="s">
        <v>272</v>
      </c>
      <c r="D54" s="186" t="s">
        <v>19</v>
      </c>
      <c r="E54" s="202" t="s">
        <v>118</v>
      </c>
      <c r="F54" s="202" t="s">
        <v>273</v>
      </c>
      <c r="G54" s="202" t="s">
        <v>189</v>
      </c>
      <c r="H54" s="203" t="s">
        <v>274</v>
      </c>
      <c r="I54" s="202" t="s">
        <v>23</v>
      </c>
      <c r="J54" s="202" t="s">
        <v>24</v>
      </c>
      <c r="K54" s="202" t="s">
        <v>23</v>
      </c>
      <c r="L54" s="202" t="s">
        <v>24</v>
      </c>
      <c r="M54" s="186" t="s">
        <v>275</v>
      </c>
      <c r="N54" s="202" t="s">
        <v>53</v>
      </c>
      <c r="O54" s="186" t="s">
        <v>276</v>
      </c>
      <c r="P54" s="186" t="s">
        <v>277</v>
      </c>
      <c r="Q54" s="202">
        <v>128</v>
      </c>
    </row>
    <row r="55" spans="1:17" ht="48" customHeight="1" x14ac:dyDescent="0.25">
      <c r="A55" s="202">
        <v>51</v>
      </c>
      <c r="B55" s="203" t="s">
        <v>278</v>
      </c>
      <c r="C55" s="203" t="s">
        <v>279</v>
      </c>
      <c r="D55" s="186" t="s">
        <v>19</v>
      </c>
      <c r="E55" s="202" t="s">
        <v>118</v>
      </c>
      <c r="F55" s="202" t="s">
        <v>266</v>
      </c>
      <c r="G55" s="202" t="s">
        <v>189</v>
      </c>
      <c r="H55" s="203" t="s">
        <v>280</v>
      </c>
      <c r="I55" s="202" t="s">
        <v>23</v>
      </c>
      <c r="J55" s="202" t="s">
        <v>24</v>
      </c>
      <c r="K55" s="202" t="s">
        <v>23</v>
      </c>
      <c r="L55" s="202" t="s">
        <v>24</v>
      </c>
      <c r="M55" s="186" t="s">
        <v>281</v>
      </c>
      <c r="N55" s="202" t="s">
        <v>53</v>
      </c>
      <c r="O55" s="186" t="s">
        <v>282</v>
      </c>
      <c r="P55" s="186" t="s">
        <v>283</v>
      </c>
      <c r="Q55" s="202">
        <v>129</v>
      </c>
    </row>
    <row r="56" spans="1:17" ht="48" customHeight="1" x14ac:dyDescent="0.25">
      <c r="A56" s="202">
        <v>52</v>
      </c>
      <c r="B56" s="203" t="s">
        <v>284</v>
      </c>
      <c r="C56" s="203" t="s">
        <v>285</v>
      </c>
      <c r="D56" s="186" t="s">
        <v>19</v>
      </c>
      <c r="E56" s="202" t="s">
        <v>123</v>
      </c>
      <c r="F56" s="202" t="s">
        <v>286</v>
      </c>
      <c r="G56" s="202" t="s">
        <v>189</v>
      </c>
      <c r="H56" s="203" t="s">
        <v>287</v>
      </c>
      <c r="I56" s="202" t="s">
        <v>23</v>
      </c>
      <c r="J56" s="202" t="s">
        <v>23</v>
      </c>
      <c r="K56" s="202" t="s">
        <v>23</v>
      </c>
      <c r="L56" s="202" t="s">
        <v>24</v>
      </c>
      <c r="M56" s="186" t="s">
        <v>191</v>
      </c>
      <c r="N56" s="202" t="s">
        <v>192</v>
      </c>
      <c r="O56" s="186" t="s">
        <v>288</v>
      </c>
      <c r="P56" s="186" t="s">
        <v>289</v>
      </c>
      <c r="Q56" s="202">
        <v>131</v>
      </c>
    </row>
    <row r="57" spans="1:17" ht="48" customHeight="1" x14ac:dyDescent="0.25">
      <c r="A57" s="202">
        <v>53</v>
      </c>
      <c r="B57" s="203" t="s">
        <v>290</v>
      </c>
      <c r="C57" s="203" t="s">
        <v>291</v>
      </c>
      <c r="D57" s="186" t="s">
        <v>19</v>
      </c>
      <c r="E57" s="202" t="s">
        <v>203</v>
      </c>
      <c r="F57" s="202" t="s">
        <v>204</v>
      </c>
      <c r="G57" s="202" t="s">
        <v>189</v>
      </c>
      <c r="H57" s="203" t="s">
        <v>292</v>
      </c>
      <c r="I57" s="202" t="s">
        <v>23</v>
      </c>
      <c r="J57" s="202" t="s">
        <v>23</v>
      </c>
      <c r="K57" s="202" t="s">
        <v>24</v>
      </c>
      <c r="L57" s="202" t="s">
        <v>23</v>
      </c>
      <c r="M57" s="186" t="s">
        <v>23</v>
      </c>
      <c r="N57" s="202" t="s">
        <v>25</v>
      </c>
      <c r="O57" s="186" t="s">
        <v>293</v>
      </c>
      <c r="P57" s="186" t="s">
        <v>294</v>
      </c>
      <c r="Q57" s="202" t="s">
        <v>295</v>
      </c>
    </row>
    <row r="58" spans="1:17" ht="48" customHeight="1" x14ac:dyDescent="0.25">
      <c r="A58" s="202">
        <v>54</v>
      </c>
      <c r="B58" s="203" t="s">
        <v>296</v>
      </c>
      <c r="C58" s="203" t="s">
        <v>296</v>
      </c>
      <c r="D58" s="186" t="s">
        <v>19</v>
      </c>
      <c r="E58" s="202" t="s">
        <v>29</v>
      </c>
      <c r="F58" s="202" t="s">
        <v>297</v>
      </c>
      <c r="G58" s="202" t="s">
        <v>189</v>
      </c>
      <c r="H58" s="203" t="s">
        <v>298</v>
      </c>
      <c r="I58" s="202" t="s">
        <v>23</v>
      </c>
      <c r="J58" s="202" t="s">
        <v>23</v>
      </c>
      <c r="K58" s="202" t="s">
        <v>24</v>
      </c>
      <c r="L58" s="202" t="s">
        <v>23</v>
      </c>
      <c r="M58" s="186" t="s">
        <v>23</v>
      </c>
      <c r="N58" s="202" t="s">
        <v>25</v>
      </c>
      <c r="O58" s="186" t="s">
        <v>299</v>
      </c>
      <c r="P58" s="186" t="s">
        <v>300</v>
      </c>
      <c r="Q58" s="202">
        <v>7</v>
      </c>
    </row>
    <row r="59" spans="1:17" ht="21.95" customHeight="1" x14ac:dyDescent="0.25">
      <c r="A59" s="189"/>
      <c r="B59" s="235" t="s">
        <v>301</v>
      </c>
      <c r="C59" s="236"/>
      <c r="D59" s="236"/>
      <c r="E59" s="236"/>
      <c r="F59" s="236"/>
      <c r="G59" s="236"/>
      <c r="H59" s="236"/>
      <c r="I59" s="236"/>
      <c r="J59" s="236"/>
      <c r="K59" s="236"/>
      <c r="L59" s="236"/>
      <c r="M59" s="236"/>
      <c r="N59" s="236"/>
      <c r="O59" s="236"/>
      <c r="P59" s="236"/>
      <c r="Q59" s="237"/>
    </row>
    <row r="60" spans="1:17" ht="48" customHeight="1" x14ac:dyDescent="0.25">
      <c r="A60" s="204">
        <v>55</v>
      </c>
      <c r="B60" s="205" t="s">
        <v>302</v>
      </c>
      <c r="C60" s="205" t="s">
        <v>303</v>
      </c>
      <c r="D60" s="206" t="s">
        <v>150</v>
      </c>
      <c r="E60" s="204" t="s">
        <v>172</v>
      </c>
      <c r="F60" s="204" t="s">
        <v>58</v>
      </c>
      <c r="G60" s="204" t="s">
        <v>304</v>
      </c>
      <c r="H60" s="205" t="s">
        <v>23</v>
      </c>
      <c r="I60" s="204" t="s">
        <v>23</v>
      </c>
      <c r="J60" s="204" t="s">
        <v>24</v>
      </c>
      <c r="K60" s="204" t="s">
        <v>23</v>
      </c>
      <c r="L60" s="204" t="s">
        <v>24</v>
      </c>
      <c r="M60" s="206" t="s">
        <v>305</v>
      </c>
      <c r="N60" s="204" t="s">
        <v>25</v>
      </c>
      <c r="O60" s="206" t="s">
        <v>306</v>
      </c>
      <c r="P60" s="206" t="s">
        <v>307</v>
      </c>
      <c r="Q60" s="204" t="s">
        <v>23</v>
      </c>
    </row>
    <row r="61" spans="1:17" ht="48" customHeight="1" x14ac:dyDescent="0.25">
      <c r="A61" s="204">
        <v>56</v>
      </c>
      <c r="B61" s="205" t="s">
        <v>308</v>
      </c>
      <c r="C61" s="205" t="s">
        <v>309</v>
      </c>
      <c r="D61" s="206" t="s">
        <v>150</v>
      </c>
      <c r="E61" s="204" t="s">
        <v>172</v>
      </c>
      <c r="F61" s="204" t="s">
        <v>58</v>
      </c>
      <c r="G61" s="204" t="s">
        <v>304</v>
      </c>
      <c r="H61" s="205" t="s">
        <v>23</v>
      </c>
      <c r="I61" s="204" t="s">
        <v>23</v>
      </c>
      <c r="J61" s="204" t="s">
        <v>24</v>
      </c>
      <c r="K61" s="204" t="s">
        <v>24</v>
      </c>
      <c r="L61" s="204" t="s">
        <v>24</v>
      </c>
      <c r="M61" s="206" t="s">
        <v>310</v>
      </c>
      <c r="N61" s="204" t="s">
        <v>25</v>
      </c>
      <c r="O61" s="206" t="s">
        <v>311</v>
      </c>
      <c r="P61" s="206" t="s">
        <v>312</v>
      </c>
      <c r="Q61" s="204" t="s">
        <v>23</v>
      </c>
    </row>
    <row r="62" spans="1:17" ht="48" customHeight="1" x14ac:dyDescent="0.25">
      <c r="A62" s="204">
        <v>57</v>
      </c>
      <c r="B62" s="205" t="s">
        <v>313</v>
      </c>
      <c r="C62" s="205" t="s">
        <v>314</v>
      </c>
      <c r="D62" s="206" t="s">
        <v>150</v>
      </c>
      <c r="E62" s="204" t="s">
        <v>172</v>
      </c>
      <c r="F62" s="204" t="s">
        <v>315</v>
      </c>
      <c r="G62" s="204" t="s">
        <v>304</v>
      </c>
      <c r="H62" s="205" t="s">
        <v>23</v>
      </c>
      <c r="I62" s="204" t="s">
        <v>23</v>
      </c>
      <c r="J62" s="204" t="s">
        <v>24</v>
      </c>
      <c r="K62" s="204" t="s">
        <v>23</v>
      </c>
      <c r="L62" s="204" t="s">
        <v>24</v>
      </c>
      <c r="M62" s="206" t="s">
        <v>316</v>
      </c>
      <c r="N62" s="204" t="s">
        <v>25</v>
      </c>
      <c r="O62" s="206" t="s">
        <v>317</v>
      </c>
      <c r="P62" s="206" t="s">
        <v>318</v>
      </c>
      <c r="Q62" s="204" t="s">
        <v>23</v>
      </c>
    </row>
    <row r="63" spans="1:17" ht="48" customHeight="1" x14ac:dyDescent="0.25">
      <c r="A63" s="204">
        <v>58</v>
      </c>
      <c r="B63" s="205" t="s">
        <v>319</v>
      </c>
      <c r="C63" s="205" t="s">
        <v>320</v>
      </c>
      <c r="D63" s="206" t="s">
        <v>150</v>
      </c>
      <c r="E63" s="204" t="s">
        <v>172</v>
      </c>
      <c r="F63" s="204" t="s">
        <v>321</v>
      </c>
      <c r="G63" s="204" t="s">
        <v>304</v>
      </c>
      <c r="H63" s="205" t="s">
        <v>23</v>
      </c>
      <c r="I63" s="204" t="s">
        <v>23</v>
      </c>
      <c r="J63" s="204" t="s">
        <v>24</v>
      </c>
      <c r="K63" s="204" t="s">
        <v>23</v>
      </c>
      <c r="L63" s="204" t="s">
        <v>24</v>
      </c>
      <c r="M63" s="206" t="s">
        <v>322</v>
      </c>
      <c r="N63" s="204" t="s">
        <v>25</v>
      </c>
      <c r="O63" s="206" t="s">
        <v>323</v>
      </c>
      <c r="P63" s="206" t="s">
        <v>324</v>
      </c>
      <c r="Q63" s="204" t="s">
        <v>23</v>
      </c>
    </row>
    <row r="64" spans="1:17" ht="48" customHeight="1" x14ac:dyDescent="0.25">
      <c r="A64" s="204">
        <v>59</v>
      </c>
      <c r="B64" s="205" t="s">
        <v>325</v>
      </c>
      <c r="C64" s="205" t="s">
        <v>326</v>
      </c>
      <c r="D64" s="206" t="s">
        <v>150</v>
      </c>
      <c r="E64" s="204" t="s">
        <v>20</v>
      </c>
      <c r="F64" s="204" t="s">
        <v>273</v>
      </c>
      <c r="G64" s="204" t="s">
        <v>304</v>
      </c>
      <c r="H64" s="205" t="s">
        <v>23</v>
      </c>
      <c r="I64" s="204" t="s">
        <v>23</v>
      </c>
      <c r="J64" s="204" t="s">
        <v>24</v>
      </c>
      <c r="K64" s="204" t="s">
        <v>23</v>
      </c>
      <c r="L64" s="204" t="s">
        <v>24</v>
      </c>
      <c r="M64" s="206" t="s">
        <v>327</v>
      </c>
      <c r="N64" s="204" t="s">
        <v>25</v>
      </c>
      <c r="O64" s="206" t="s">
        <v>328</v>
      </c>
      <c r="P64" s="206" t="s">
        <v>329</v>
      </c>
      <c r="Q64" s="204" t="s">
        <v>23</v>
      </c>
    </row>
    <row r="65" spans="1:17" ht="48" customHeight="1" x14ac:dyDescent="0.25">
      <c r="A65" s="204">
        <v>60</v>
      </c>
      <c r="B65" s="205" t="s">
        <v>330</v>
      </c>
      <c r="C65" s="205" t="s">
        <v>331</v>
      </c>
      <c r="D65" s="206" t="s">
        <v>150</v>
      </c>
      <c r="E65" s="204" t="s">
        <v>172</v>
      </c>
      <c r="F65" s="204" t="s">
        <v>332</v>
      </c>
      <c r="G65" s="204" t="s">
        <v>304</v>
      </c>
      <c r="H65" s="205" t="s">
        <v>23</v>
      </c>
      <c r="I65" s="204" t="s">
        <v>23</v>
      </c>
      <c r="J65" s="204" t="s">
        <v>24</v>
      </c>
      <c r="K65" s="204" t="s">
        <v>23</v>
      </c>
      <c r="L65" s="204" t="s">
        <v>24</v>
      </c>
      <c r="M65" s="206" t="s">
        <v>333</v>
      </c>
      <c r="N65" s="204" t="s">
        <v>25</v>
      </c>
      <c r="O65" s="206" t="s">
        <v>334</v>
      </c>
      <c r="P65" s="206" t="s">
        <v>335</v>
      </c>
      <c r="Q65" s="204" t="s">
        <v>23</v>
      </c>
    </row>
    <row r="66" spans="1:17" ht="48" customHeight="1" x14ac:dyDescent="0.25">
      <c r="A66" s="204">
        <v>61</v>
      </c>
      <c r="B66" s="205" t="s">
        <v>336</v>
      </c>
      <c r="C66" s="205" t="s">
        <v>337</v>
      </c>
      <c r="D66" s="206" t="s">
        <v>150</v>
      </c>
      <c r="E66" s="204" t="s">
        <v>172</v>
      </c>
      <c r="F66" s="204" t="s">
        <v>173</v>
      </c>
      <c r="G66" s="204" t="s">
        <v>304</v>
      </c>
      <c r="H66" s="205" t="s">
        <v>23</v>
      </c>
      <c r="I66" s="204" t="s">
        <v>23</v>
      </c>
      <c r="J66" s="204" t="s">
        <v>24</v>
      </c>
      <c r="K66" s="204" t="s">
        <v>23</v>
      </c>
      <c r="L66" s="204" t="s">
        <v>24</v>
      </c>
      <c r="M66" s="206" t="s">
        <v>338</v>
      </c>
      <c r="N66" s="204" t="s">
        <v>53</v>
      </c>
      <c r="O66" s="206" t="s">
        <v>339</v>
      </c>
      <c r="P66" s="206" t="s">
        <v>340</v>
      </c>
      <c r="Q66" s="204" t="s">
        <v>23</v>
      </c>
    </row>
    <row r="67" spans="1:17" ht="48" customHeight="1" x14ac:dyDescent="0.25">
      <c r="A67" s="204">
        <v>62</v>
      </c>
      <c r="B67" s="205" t="s">
        <v>341</v>
      </c>
      <c r="C67" s="205" t="s">
        <v>342</v>
      </c>
      <c r="D67" s="206" t="s">
        <v>150</v>
      </c>
      <c r="E67" s="204" t="s">
        <v>172</v>
      </c>
      <c r="F67" s="204" t="s">
        <v>173</v>
      </c>
      <c r="G67" s="204" t="s">
        <v>304</v>
      </c>
      <c r="H67" s="205" t="s">
        <v>23</v>
      </c>
      <c r="I67" s="204" t="s">
        <v>23</v>
      </c>
      <c r="J67" s="204" t="s">
        <v>24</v>
      </c>
      <c r="K67" s="204" t="s">
        <v>23</v>
      </c>
      <c r="L67" s="204" t="s">
        <v>24</v>
      </c>
      <c r="M67" s="206" t="s">
        <v>343</v>
      </c>
      <c r="N67" s="204" t="s">
        <v>53</v>
      </c>
      <c r="O67" s="206" t="s">
        <v>344</v>
      </c>
      <c r="P67" s="206" t="s">
        <v>345</v>
      </c>
      <c r="Q67" s="204" t="s">
        <v>23</v>
      </c>
    </row>
    <row r="68" spans="1:17" ht="48" customHeight="1" x14ac:dyDescent="0.25">
      <c r="A68" s="204">
        <v>63</v>
      </c>
      <c r="B68" s="205" t="s">
        <v>346</v>
      </c>
      <c r="C68" s="205" t="s">
        <v>347</v>
      </c>
      <c r="D68" s="206" t="s">
        <v>150</v>
      </c>
      <c r="E68" s="204" t="s">
        <v>172</v>
      </c>
      <c r="F68" s="204" t="s">
        <v>332</v>
      </c>
      <c r="G68" s="204" t="s">
        <v>304</v>
      </c>
      <c r="H68" s="205" t="s">
        <v>23</v>
      </c>
      <c r="I68" s="204" t="s">
        <v>23</v>
      </c>
      <c r="J68" s="204" t="s">
        <v>24</v>
      </c>
      <c r="K68" s="204" t="s">
        <v>23</v>
      </c>
      <c r="L68" s="204" t="s">
        <v>24</v>
      </c>
      <c r="M68" s="206" t="s">
        <v>348</v>
      </c>
      <c r="N68" s="204" t="s">
        <v>25</v>
      </c>
      <c r="O68" s="206" t="s">
        <v>349</v>
      </c>
      <c r="P68" s="206" t="s">
        <v>350</v>
      </c>
      <c r="Q68" s="204" t="s">
        <v>23</v>
      </c>
    </row>
    <row r="69" spans="1:17" ht="48" customHeight="1" x14ac:dyDescent="0.25">
      <c r="A69" s="204">
        <v>64</v>
      </c>
      <c r="B69" s="205" t="s">
        <v>351</v>
      </c>
      <c r="C69" s="205" t="s">
        <v>352</v>
      </c>
      <c r="D69" s="206" t="s">
        <v>150</v>
      </c>
      <c r="E69" s="204" t="s">
        <v>172</v>
      </c>
      <c r="F69" s="204" t="s">
        <v>353</v>
      </c>
      <c r="G69" s="204" t="s">
        <v>304</v>
      </c>
      <c r="H69" s="205" t="s">
        <v>23</v>
      </c>
      <c r="I69" s="204" t="s">
        <v>23</v>
      </c>
      <c r="J69" s="204" t="s">
        <v>24</v>
      </c>
      <c r="K69" s="204" t="s">
        <v>24</v>
      </c>
      <c r="L69" s="204" t="s">
        <v>24</v>
      </c>
      <c r="M69" s="206" t="s">
        <v>354</v>
      </c>
      <c r="N69" s="204" t="s">
        <v>25</v>
      </c>
      <c r="O69" s="206" t="s">
        <v>355</v>
      </c>
      <c r="P69" s="206" t="s">
        <v>356</v>
      </c>
      <c r="Q69" s="204" t="s">
        <v>23</v>
      </c>
    </row>
    <row r="70" spans="1:17" ht="48" customHeight="1" x14ac:dyDescent="0.25">
      <c r="A70" s="204">
        <v>65</v>
      </c>
      <c r="B70" s="205" t="s">
        <v>357</v>
      </c>
      <c r="C70" s="205" t="s">
        <v>358</v>
      </c>
      <c r="D70" s="206" t="s">
        <v>150</v>
      </c>
      <c r="E70" s="204" t="s">
        <v>20</v>
      </c>
      <c r="F70" s="204" t="s">
        <v>273</v>
      </c>
      <c r="G70" s="204" t="s">
        <v>304</v>
      </c>
      <c r="H70" s="205" t="s">
        <v>23</v>
      </c>
      <c r="I70" s="204" t="s">
        <v>23</v>
      </c>
      <c r="J70" s="204" t="s">
        <v>24</v>
      </c>
      <c r="K70" s="204" t="s">
        <v>23</v>
      </c>
      <c r="L70" s="204" t="s">
        <v>24</v>
      </c>
      <c r="M70" s="206" t="s">
        <v>359</v>
      </c>
      <c r="N70" s="204" t="s">
        <v>25</v>
      </c>
      <c r="O70" s="206" t="s">
        <v>360</v>
      </c>
      <c r="P70" s="206" t="s">
        <v>361</v>
      </c>
      <c r="Q70" s="204" t="s">
        <v>23</v>
      </c>
    </row>
    <row r="71" spans="1:17" ht="48" customHeight="1" x14ac:dyDescent="0.25">
      <c r="A71" s="204">
        <v>66</v>
      </c>
      <c r="B71" s="205" t="s">
        <v>362</v>
      </c>
      <c r="C71" s="205" t="s">
        <v>363</v>
      </c>
      <c r="D71" s="206" t="s">
        <v>150</v>
      </c>
      <c r="E71" s="204" t="s">
        <v>172</v>
      </c>
      <c r="F71" s="204" t="s">
        <v>353</v>
      </c>
      <c r="G71" s="204" t="s">
        <v>304</v>
      </c>
      <c r="H71" s="205" t="s">
        <v>23</v>
      </c>
      <c r="I71" s="204" t="s">
        <v>23</v>
      </c>
      <c r="J71" s="204" t="s">
        <v>24</v>
      </c>
      <c r="K71" s="204" t="s">
        <v>23</v>
      </c>
      <c r="L71" s="204" t="s">
        <v>24</v>
      </c>
      <c r="M71" s="206" t="s">
        <v>364</v>
      </c>
      <c r="N71" s="204" t="s">
        <v>25</v>
      </c>
      <c r="O71" s="206" t="s">
        <v>365</v>
      </c>
      <c r="P71" s="206" t="s">
        <v>366</v>
      </c>
      <c r="Q71" s="204" t="s">
        <v>23</v>
      </c>
    </row>
    <row r="72" spans="1:17" ht="48" customHeight="1" x14ac:dyDescent="0.25">
      <c r="A72" s="204">
        <v>67</v>
      </c>
      <c r="B72" s="205" t="s">
        <v>367</v>
      </c>
      <c r="C72" s="205" t="s">
        <v>368</v>
      </c>
      <c r="D72" s="206" t="s">
        <v>150</v>
      </c>
      <c r="E72" s="204" t="s">
        <v>20</v>
      </c>
      <c r="F72" s="204" t="s">
        <v>266</v>
      </c>
      <c r="G72" s="204" t="s">
        <v>304</v>
      </c>
      <c r="H72" s="205" t="s">
        <v>23</v>
      </c>
      <c r="I72" s="204" t="s">
        <v>23</v>
      </c>
      <c r="J72" s="204" t="s">
        <v>24</v>
      </c>
      <c r="K72" s="204" t="s">
        <v>23</v>
      </c>
      <c r="L72" s="204" t="s">
        <v>24</v>
      </c>
      <c r="M72" s="206" t="s">
        <v>369</v>
      </c>
      <c r="N72" s="204" t="s">
        <v>25</v>
      </c>
      <c r="O72" s="206" t="s">
        <v>370</v>
      </c>
      <c r="P72" s="206" t="s">
        <v>371</v>
      </c>
      <c r="Q72" s="204" t="s">
        <v>23</v>
      </c>
    </row>
    <row r="73" spans="1:17" ht="21.95" customHeight="1" x14ac:dyDescent="0.25">
      <c r="A73" s="189"/>
      <c r="B73" s="235" t="s">
        <v>372</v>
      </c>
      <c r="C73" s="236"/>
      <c r="D73" s="236"/>
      <c r="E73" s="236"/>
      <c r="F73" s="236"/>
      <c r="G73" s="236"/>
      <c r="H73" s="236"/>
      <c r="I73" s="236"/>
      <c r="J73" s="236"/>
      <c r="K73" s="236"/>
      <c r="L73" s="236"/>
      <c r="M73" s="236"/>
      <c r="N73" s="236"/>
      <c r="O73" s="236"/>
      <c r="P73" s="236"/>
      <c r="Q73" s="237"/>
    </row>
    <row r="74" spans="1:17" ht="48" customHeight="1" x14ac:dyDescent="0.25">
      <c r="A74" s="202">
        <v>68</v>
      </c>
      <c r="B74" s="203" t="s">
        <v>373</v>
      </c>
      <c r="C74" s="203" t="s">
        <v>374</v>
      </c>
      <c r="D74" s="186" t="s">
        <v>257</v>
      </c>
      <c r="E74" s="202" t="s">
        <v>375</v>
      </c>
      <c r="F74" s="202" t="s">
        <v>376</v>
      </c>
      <c r="G74" s="202" t="s">
        <v>189</v>
      </c>
      <c r="H74" s="203" t="s">
        <v>373</v>
      </c>
      <c r="I74" s="202" t="s">
        <v>24</v>
      </c>
      <c r="J74" s="202" t="s">
        <v>24</v>
      </c>
      <c r="K74" s="202" t="s">
        <v>24</v>
      </c>
      <c r="L74" s="202" t="s">
        <v>23</v>
      </c>
      <c r="M74" s="186" t="s">
        <v>377</v>
      </c>
      <c r="N74" s="202" t="s">
        <v>25</v>
      </c>
      <c r="O74" s="186" t="s">
        <v>378</v>
      </c>
      <c r="P74" s="186" t="s">
        <v>379</v>
      </c>
      <c r="Q74" s="202" t="s">
        <v>23</v>
      </c>
    </row>
    <row r="75" spans="1:17" ht="48" customHeight="1" x14ac:dyDescent="0.25">
      <c r="A75" s="202">
        <v>69</v>
      </c>
      <c r="B75" s="203" t="s">
        <v>380</v>
      </c>
      <c r="C75" s="203" t="s">
        <v>374</v>
      </c>
      <c r="D75" s="186" t="s">
        <v>257</v>
      </c>
      <c r="E75" s="202" t="s">
        <v>151</v>
      </c>
      <c r="F75" s="202" t="s">
        <v>381</v>
      </c>
      <c r="G75" s="202" t="s">
        <v>189</v>
      </c>
      <c r="H75" s="203" t="s">
        <v>380</v>
      </c>
      <c r="I75" s="202" t="s">
        <v>23</v>
      </c>
      <c r="J75" s="202" t="s">
        <v>24</v>
      </c>
      <c r="K75" s="202" t="s">
        <v>23</v>
      </c>
      <c r="L75" s="202" t="s">
        <v>23</v>
      </c>
      <c r="M75" s="186" t="s">
        <v>382</v>
      </c>
      <c r="N75" s="202" t="s">
        <v>25</v>
      </c>
      <c r="O75" s="186" t="s">
        <v>383</v>
      </c>
      <c r="P75" s="186" t="s">
        <v>384</v>
      </c>
      <c r="Q75" s="202" t="s">
        <v>23</v>
      </c>
    </row>
    <row r="76" spans="1:17" ht="48" customHeight="1" x14ac:dyDescent="0.25">
      <c r="A76" s="202">
        <v>70</v>
      </c>
      <c r="B76" s="203" t="s">
        <v>225</v>
      </c>
      <c r="C76" s="203" t="s">
        <v>374</v>
      </c>
      <c r="D76" s="186" t="s">
        <v>257</v>
      </c>
      <c r="E76" s="202" t="s">
        <v>385</v>
      </c>
      <c r="F76" s="202" t="s">
        <v>386</v>
      </c>
      <c r="G76" s="202" t="s">
        <v>189</v>
      </c>
      <c r="H76" s="203" t="s">
        <v>387</v>
      </c>
      <c r="I76" s="202" t="s">
        <v>23</v>
      </c>
      <c r="J76" s="202" t="s">
        <v>24</v>
      </c>
      <c r="K76" s="202" t="s">
        <v>23</v>
      </c>
      <c r="L76" s="202" t="s">
        <v>23</v>
      </c>
      <c r="M76" s="186" t="s">
        <v>388</v>
      </c>
      <c r="N76" s="202" t="s">
        <v>25</v>
      </c>
      <c r="O76" s="186" t="s">
        <v>389</v>
      </c>
      <c r="P76" s="186" t="s">
        <v>390</v>
      </c>
      <c r="Q76" s="202" t="s">
        <v>23</v>
      </c>
    </row>
    <row r="77" spans="1:17" ht="48" customHeight="1" x14ac:dyDescent="0.25">
      <c r="A77" s="202">
        <v>71</v>
      </c>
      <c r="B77" s="203" t="s">
        <v>251</v>
      </c>
      <c r="C77" s="203" t="s">
        <v>374</v>
      </c>
      <c r="D77" s="186" t="s">
        <v>257</v>
      </c>
      <c r="E77" s="202" t="s">
        <v>385</v>
      </c>
      <c r="F77" s="202" t="s">
        <v>386</v>
      </c>
      <c r="G77" s="202" t="s">
        <v>189</v>
      </c>
      <c r="H77" s="203" t="s">
        <v>391</v>
      </c>
      <c r="I77" s="202" t="s">
        <v>23</v>
      </c>
      <c r="J77" s="202" t="s">
        <v>24</v>
      </c>
      <c r="K77" s="202" t="s">
        <v>23</v>
      </c>
      <c r="L77" s="202" t="s">
        <v>23</v>
      </c>
      <c r="M77" s="186" t="s">
        <v>392</v>
      </c>
      <c r="N77" s="202" t="s">
        <v>25</v>
      </c>
      <c r="O77" s="186" t="s">
        <v>393</v>
      </c>
      <c r="P77" s="186" t="s">
        <v>394</v>
      </c>
      <c r="Q77" s="202" t="s">
        <v>23</v>
      </c>
    </row>
    <row r="78" spans="1:17" ht="48" customHeight="1" x14ac:dyDescent="0.25">
      <c r="A78" s="202">
        <v>72</v>
      </c>
      <c r="B78" s="203" t="s">
        <v>395</v>
      </c>
      <c r="C78" s="203" t="s">
        <v>374</v>
      </c>
      <c r="D78" s="186" t="s">
        <v>257</v>
      </c>
      <c r="E78" s="202" t="s">
        <v>385</v>
      </c>
      <c r="F78" s="202" t="s">
        <v>396</v>
      </c>
      <c r="G78" s="202" t="s">
        <v>189</v>
      </c>
      <c r="H78" s="203" t="s">
        <v>397</v>
      </c>
      <c r="I78" s="202" t="s">
        <v>23</v>
      </c>
      <c r="J78" s="202" t="s">
        <v>24</v>
      </c>
      <c r="K78" s="202" t="s">
        <v>23</v>
      </c>
      <c r="L78" s="202" t="s">
        <v>23</v>
      </c>
      <c r="M78" s="186" t="s">
        <v>398</v>
      </c>
      <c r="N78" s="202" t="s">
        <v>25</v>
      </c>
      <c r="O78" s="186" t="s">
        <v>399</v>
      </c>
      <c r="P78" s="186" t="s">
        <v>400</v>
      </c>
      <c r="Q78" s="202" t="s">
        <v>23</v>
      </c>
    </row>
    <row r="79" spans="1:17" ht="48" customHeight="1" x14ac:dyDescent="0.25">
      <c r="A79" s="202">
        <v>73</v>
      </c>
      <c r="B79" s="203" t="s">
        <v>401</v>
      </c>
      <c r="C79" s="203" t="s">
        <v>374</v>
      </c>
      <c r="D79" s="186" t="s">
        <v>257</v>
      </c>
      <c r="E79" s="202" t="s">
        <v>402</v>
      </c>
      <c r="F79" s="202" t="s">
        <v>403</v>
      </c>
      <c r="G79" s="202" t="s">
        <v>189</v>
      </c>
      <c r="H79" s="203" t="s">
        <v>401</v>
      </c>
      <c r="I79" s="202" t="s">
        <v>23</v>
      </c>
      <c r="J79" s="202" t="s">
        <v>24</v>
      </c>
      <c r="K79" s="202" t="s">
        <v>23</v>
      </c>
      <c r="L79" s="202" t="s">
        <v>23</v>
      </c>
      <c r="M79" s="186" t="s">
        <v>404</v>
      </c>
      <c r="N79" s="202" t="s">
        <v>192</v>
      </c>
      <c r="O79" s="186" t="s">
        <v>405</v>
      </c>
      <c r="P79" s="186" t="s">
        <v>406</v>
      </c>
      <c r="Q79" s="202" t="s">
        <v>23</v>
      </c>
    </row>
    <row r="80" spans="1:17" ht="48" customHeight="1" x14ac:dyDescent="0.25">
      <c r="A80" s="202">
        <v>74</v>
      </c>
      <c r="B80" s="203" t="s">
        <v>407</v>
      </c>
      <c r="C80" s="203" t="s">
        <v>374</v>
      </c>
      <c r="D80" s="186" t="s">
        <v>257</v>
      </c>
      <c r="E80" s="202" t="s">
        <v>375</v>
      </c>
      <c r="F80" s="202" t="s">
        <v>408</v>
      </c>
      <c r="G80" s="202" t="s">
        <v>189</v>
      </c>
      <c r="H80" s="203" t="s">
        <v>407</v>
      </c>
      <c r="I80" s="202" t="s">
        <v>23</v>
      </c>
      <c r="J80" s="202" t="s">
        <v>23</v>
      </c>
      <c r="K80" s="202" t="s">
        <v>24</v>
      </c>
      <c r="L80" s="202" t="s">
        <v>23</v>
      </c>
      <c r="M80" s="186" t="s">
        <v>409</v>
      </c>
      <c r="N80" s="202" t="s">
        <v>25</v>
      </c>
      <c r="O80" s="186" t="s">
        <v>410</v>
      </c>
      <c r="P80" s="186" t="s">
        <v>411</v>
      </c>
      <c r="Q80" s="202" t="s">
        <v>23</v>
      </c>
    </row>
    <row r="81" spans="1:24" ht="48" customHeight="1" x14ac:dyDescent="0.25">
      <c r="A81" s="202">
        <v>75</v>
      </c>
      <c r="B81" s="203" t="s">
        <v>412</v>
      </c>
      <c r="C81" s="203" t="s">
        <v>374</v>
      </c>
      <c r="D81" s="186" t="s">
        <v>257</v>
      </c>
      <c r="E81" s="202" t="s">
        <v>151</v>
      </c>
      <c r="F81" s="202" t="s">
        <v>204</v>
      </c>
      <c r="G81" s="202" t="s">
        <v>189</v>
      </c>
      <c r="H81" s="203" t="s">
        <v>412</v>
      </c>
      <c r="I81" s="202" t="s">
        <v>23</v>
      </c>
      <c r="J81" s="202" t="s">
        <v>23</v>
      </c>
      <c r="K81" s="202" t="s">
        <v>24</v>
      </c>
      <c r="L81" s="202" t="s">
        <v>23</v>
      </c>
      <c r="M81" s="186" t="s">
        <v>409</v>
      </c>
      <c r="N81" s="202" t="s">
        <v>25</v>
      </c>
      <c r="O81" s="186" t="s">
        <v>413</v>
      </c>
      <c r="P81" s="186" t="s">
        <v>414</v>
      </c>
      <c r="Q81" s="202" t="s">
        <v>23</v>
      </c>
    </row>
    <row r="82" spans="1:24" ht="48" customHeight="1" x14ac:dyDescent="0.25">
      <c r="A82" s="202">
        <v>76</v>
      </c>
      <c r="B82" s="203" t="s">
        <v>415</v>
      </c>
      <c r="C82" s="203" t="s">
        <v>374</v>
      </c>
      <c r="D82" s="186" t="s">
        <v>257</v>
      </c>
      <c r="E82" s="202" t="s">
        <v>258</v>
      </c>
      <c r="F82" s="202" t="s">
        <v>259</v>
      </c>
      <c r="G82" s="202" t="s">
        <v>189</v>
      </c>
      <c r="H82" s="203" t="s">
        <v>415</v>
      </c>
      <c r="I82" s="202" t="s">
        <v>23</v>
      </c>
      <c r="J82" s="202" t="s">
        <v>24</v>
      </c>
      <c r="K82" s="202" t="s">
        <v>23</v>
      </c>
      <c r="L82" s="202" t="s">
        <v>23</v>
      </c>
      <c r="M82" s="186" t="s">
        <v>416</v>
      </c>
      <c r="N82" s="202" t="s">
        <v>192</v>
      </c>
      <c r="O82" s="186" t="s">
        <v>417</v>
      </c>
      <c r="P82" s="186" t="s">
        <v>418</v>
      </c>
      <c r="Q82" s="202" t="s">
        <v>23</v>
      </c>
    </row>
    <row r="83" spans="1:24" ht="48" customHeight="1" x14ac:dyDescent="0.25">
      <c r="A83" s="202">
        <v>77</v>
      </c>
      <c r="B83" s="203" t="s">
        <v>244</v>
      </c>
      <c r="C83" s="203" t="s">
        <v>374</v>
      </c>
      <c r="D83" s="186" t="s">
        <v>257</v>
      </c>
      <c r="E83" s="202" t="s">
        <v>419</v>
      </c>
      <c r="F83" s="202" t="s">
        <v>420</v>
      </c>
      <c r="G83" s="202" t="s">
        <v>189</v>
      </c>
      <c r="H83" s="203" t="s">
        <v>244</v>
      </c>
      <c r="I83" s="202" t="s">
        <v>24</v>
      </c>
      <c r="J83" s="202" t="s">
        <v>24</v>
      </c>
      <c r="K83" s="202" t="s">
        <v>24</v>
      </c>
      <c r="L83" s="202" t="s">
        <v>23</v>
      </c>
      <c r="M83" s="186" t="s">
        <v>421</v>
      </c>
      <c r="N83" s="202" t="s">
        <v>25</v>
      </c>
      <c r="O83" s="186" t="s">
        <v>422</v>
      </c>
      <c r="P83" s="186" t="s">
        <v>423</v>
      </c>
      <c r="Q83" s="202" t="s">
        <v>23</v>
      </c>
    </row>
    <row r="86" spans="1:24" ht="42" customHeight="1" x14ac:dyDescent="0.25">
      <c r="A86" s="3" t="s">
        <v>998</v>
      </c>
      <c r="B86" s="7" t="s">
        <v>949</v>
      </c>
      <c r="C86" s="2"/>
      <c r="D86" s="10" t="s">
        <v>1526</v>
      </c>
      <c r="E86" s="11"/>
      <c r="F86" s="11" t="s">
        <v>1527</v>
      </c>
      <c r="G86" s="11"/>
      <c r="H86" s="46" t="s">
        <v>1360</v>
      </c>
      <c r="I86" s="47" t="s">
        <v>1528</v>
      </c>
      <c r="J86" s="47"/>
      <c r="K86" s="47" t="s">
        <v>1005</v>
      </c>
      <c r="L86" s="47"/>
      <c r="M86" s="47" t="s">
        <v>1006</v>
      </c>
      <c r="N86" s="47"/>
      <c r="O86" s="47"/>
      <c r="P86" s="47" t="s">
        <v>1529</v>
      </c>
      <c r="Q86" s="47"/>
      <c r="R86" s="21"/>
      <c r="S86" s="2"/>
      <c r="T86" s="3" t="s">
        <v>1046</v>
      </c>
      <c r="U86" s="2" t="s">
        <v>1530</v>
      </c>
      <c r="V86" s="184" t="s">
        <v>23</v>
      </c>
      <c r="W86" s="184" t="s">
        <v>1531</v>
      </c>
      <c r="X86" s="184" t="s">
        <v>23</v>
      </c>
    </row>
    <row r="87" spans="1:24" ht="42" customHeight="1" x14ac:dyDescent="0.25">
      <c r="A87" s="3" t="s">
        <v>998</v>
      </c>
      <c r="B87" s="7" t="s">
        <v>952</v>
      </c>
      <c r="C87" s="2"/>
      <c r="D87" s="10" t="s">
        <v>1532</v>
      </c>
      <c r="E87" s="11"/>
      <c r="F87" s="11"/>
      <c r="G87" s="8" t="s">
        <v>1533</v>
      </c>
      <c r="H87" s="47" t="s">
        <v>925</v>
      </c>
      <c r="I87" s="47" t="s">
        <v>1528</v>
      </c>
      <c r="J87" s="47"/>
      <c r="K87" s="47" t="s">
        <v>1005</v>
      </c>
      <c r="L87" s="47" t="s">
        <v>1534</v>
      </c>
      <c r="M87" s="47" t="s">
        <v>1006</v>
      </c>
      <c r="N87" s="47"/>
      <c r="O87" s="47"/>
      <c r="P87" s="47" t="s">
        <v>1535</v>
      </c>
      <c r="Q87" s="47"/>
      <c r="R87" s="21"/>
      <c r="S87" s="2"/>
      <c r="T87" s="3" t="s">
        <v>1046</v>
      </c>
      <c r="U87" s="2" t="s">
        <v>1536</v>
      </c>
      <c r="V87" s="184" t="s">
        <v>23</v>
      </c>
      <c r="W87" s="184" t="s">
        <v>1531</v>
      </c>
      <c r="X87" s="184" t="s">
        <v>23</v>
      </c>
    </row>
    <row r="88" spans="1:24" ht="42" customHeight="1" x14ac:dyDescent="0.45">
      <c r="A88" s="3" t="s">
        <v>998</v>
      </c>
      <c r="B88" s="7" t="s">
        <v>954</v>
      </c>
      <c r="C88" s="2"/>
      <c r="D88" s="92" t="s">
        <v>1537</v>
      </c>
      <c r="E88" s="11"/>
      <c r="F88" s="11" t="s">
        <v>1538</v>
      </c>
      <c r="G88" s="11"/>
      <c r="H88" s="46" t="s">
        <v>1354</v>
      </c>
      <c r="I88" s="47" t="s">
        <v>1528</v>
      </c>
      <c r="J88" s="47"/>
      <c r="K88" s="47" t="s">
        <v>1005</v>
      </c>
      <c r="L88" s="47" t="s">
        <v>1534</v>
      </c>
      <c r="M88" s="47" t="s">
        <v>1006</v>
      </c>
      <c r="N88" s="47"/>
      <c r="O88" s="47"/>
      <c r="P88" s="47" t="s">
        <v>1539</v>
      </c>
      <c r="Q88" s="47"/>
      <c r="R88" s="21"/>
      <c r="S88" s="2"/>
      <c r="T88" s="3" t="s">
        <v>1046</v>
      </c>
      <c r="U88" s="2" t="s">
        <v>1540</v>
      </c>
      <c r="V88" s="184" t="s">
        <v>23</v>
      </c>
      <c r="W88" s="184" t="s">
        <v>1531</v>
      </c>
      <c r="X88" s="184" t="s">
        <v>23</v>
      </c>
    </row>
    <row r="89" spans="1:24" ht="42" customHeight="1" x14ac:dyDescent="0.45">
      <c r="A89" s="3" t="s">
        <v>998</v>
      </c>
      <c r="B89" s="7" t="s">
        <v>955</v>
      </c>
      <c r="C89" s="2"/>
      <c r="D89" s="92" t="s">
        <v>1541</v>
      </c>
      <c r="E89" s="11"/>
      <c r="F89" s="11"/>
      <c r="G89" s="11" t="s">
        <v>1542</v>
      </c>
      <c r="H89" s="47" t="s">
        <v>925</v>
      </c>
      <c r="I89" s="47" t="s">
        <v>1528</v>
      </c>
      <c r="J89" s="47"/>
      <c r="K89" s="47" t="s">
        <v>1005</v>
      </c>
      <c r="L89" s="47" t="s">
        <v>1534</v>
      </c>
      <c r="M89" s="47" t="s">
        <v>1006</v>
      </c>
      <c r="N89" s="47"/>
      <c r="O89" s="47"/>
      <c r="P89" s="47" t="s">
        <v>1543</v>
      </c>
      <c r="Q89" s="47"/>
      <c r="R89" s="21"/>
      <c r="S89" s="2"/>
      <c r="T89" s="3" t="s">
        <v>1046</v>
      </c>
      <c r="U89" s="2" t="s">
        <v>1544</v>
      </c>
      <c r="V89" s="184" t="s">
        <v>23</v>
      </c>
      <c r="W89" s="184" t="s">
        <v>1531</v>
      </c>
      <c r="X89" s="184" t="s">
        <v>23</v>
      </c>
    </row>
    <row r="90" spans="1:24" ht="42" customHeight="1" x14ac:dyDescent="0.25">
      <c r="A90" s="3" t="s">
        <v>998</v>
      </c>
      <c r="B90" s="7" t="s">
        <v>958</v>
      </c>
      <c r="C90" s="2"/>
      <c r="D90" s="10" t="s">
        <v>1557</v>
      </c>
      <c r="E90" s="11"/>
      <c r="F90" s="11"/>
      <c r="G90" s="11" t="s">
        <v>1558</v>
      </c>
      <c r="H90" s="47" t="s">
        <v>1042</v>
      </c>
      <c r="I90" s="47" t="s">
        <v>1043</v>
      </c>
      <c r="J90" s="47" t="s">
        <v>1096</v>
      </c>
      <c r="K90" s="47" t="s">
        <v>1005</v>
      </c>
      <c r="L90" s="47"/>
      <c r="M90" s="47" t="s">
        <v>1006</v>
      </c>
      <c r="N90" s="47"/>
      <c r="O90" s="47"/>
      <c r="P90" s="47" t="s">
        <v>1559</v>
      </c>
      <c r="Q90" s="47"/>
      <c r="R90" s="21"/>
      <c r="S90" s="2"/>
      <c r="T90" s="3" t="s">
        <v>1098</v>
      </c>
      <c r="U90" s="2" t="s">
        <v>1560</v>
      </c>
      <c r="V90" s="184" t="s">
        <v>23</v>
      </c>
      <c r="W90" s="184" t="s">
        <v>23</v>
      </c>
      <c r="X90" s="184" t="s">
        <v>1561</v>
      </c>
    </row>
    <row r="91" spans="1:24" ht="42" customHeight="1" x14ac:dyDescent="0.25">
      <c r="A91" s="3" t="s">
        <v>998</v>
      </c>
      <c r="B91" s="7" t="s">
        <v>959</v>
      </c>
      <c r="C91" s="2"/>
      <c r="D91" s="10" t="s">
        <v>1562</v>
      </c>
      <c r="E91" s="11"/>
      <c r="F91" s="11"/>
      <c r="G91" s="11" t="s">
        <v>1547</v>
      </c>
      <c r="H91" s="47" t="s">
        <v>1042</v>
      </c>
      <c r="I91" s="47" t="s">
        <v>1043</v>
      </c>
      <c r="J91" s="47" t="s">
        <v>1096</v>
      </c>
      <c r="K91" s="47" t="s">
        <v>1005</v>
      </c>
      <c r="L91" s="47"/>
      <c r="M91" s="47" t="s">
        <v>1006</v>
      </c>
      <c r="N91" s="47"/>
      <c r="O91" s="47"/>
      <c r="P91" s="47" t="s">
        <v>1257</v>
      </c>
      <c r="Q91" s="47"/>
      <c r="R91" s="21"/>
      <c r="S91" s="2"/>
      <c r="T91" s="3" t="s">
        <v>1098</v>
      </c>
      <c r="U91" s="2" t="s">
        <v>1563</v>
      </c>
      <c r="V91" s="184" t="s">
        <v>23</v>
      </c>
      <c r="W91" s="184" t="s">
        <v>23</v>
      </c>
      <c r="X91" s="184" t="s">
        <v>1564</v>
      </c>
    </row>
    <row r="92" spans="1:24" ht="42" customHeight="1" x14ac:dyDescent="0.25">
      <c r="A92" s="3" t="s">
        <v>998</v>
      </c>
      <c r="B92" s="7" t="s">
        <v>966</v>
      </c>
      <c r="C92" s="2"/>
      <c r="D92" s="12" t="s">
        <v>1593</v>
      </c>
      <c r="E92" s="11"/>
      <c r="F92" s="11"/>
      <c r="G92" s="11"/>
      <c r="H92" s="47" t="s">
        <v>1594</v>
      </c>
      <c r="I92" s="47" t="s">
        <v>1595</v>
      </c>
      <c r="J92" s="47" t="s">
        <v>1596</v>
      </c>
      <c r="K92" s="59" t="s">
        <v>1055</v>
      </c>
      <c r="L92" s="47" t="s">
        <v>1597</v>
      </c>
      <c r="M92" s="47" t="s">
        <v>1598</v>
      </c>
      <c r="N92" s="47"/>
      <c r="O92" s="47"/>
      <c r="P92" s="47"/>
      <c r="Q92" s="47"/>
      <c r="R92" s="21"/>
      <c r="S92" s="2"/>
      <c r="T92" s="3" t="s">
        <v>1599</v>
      </c>
      <c r="U92" s="2" t="s">
        <v>1600</v>
      </c>
      <c r="V92" s="184" t="s">
        <v>23</v>
      </c>
      <c r="W92" s="184" t="s">
        <v>1601</v>
      </c>
      <c r="X92" s="184" t="s">
        <v>23</v>
      </c>
    </row>
    <row r="93" spans="1:24" ht="42" customHeight="1" x14ac:dyDescent="0.25">
      <c r="A93" s="3" t="s">
        <v>998</v>
      </c>
      <c r="B93" s="7" t="s">
        <v>968</v>
      </c>
      <c r="C93" s="2"/>
      <c r="D93" s="12"/>
      <c r="E93" s="11"/>
      <c r="F93" s="11"/>
      <c r="G93" s="11"/>
      <c r="H93" s="47" t="s">
        <v>1602</v>
      </c>
      <c r="I93" s="47" t="s">
        <v>1603</v>
      </c>
      <c r="J93" s="47" t="s">
        <v>1596</v>
      </c>
      <c r="K93" s="59" t="s">
        <v>1055</v>
      </c>
      <c r="L93" s="47" t="s">
        <v>1604</v>
      </c>
      <c r="M93" s="47" t="s">
        <v>1605</v>
      </c>
      <c r="N93" s="47"/>
      <c r="O93" s="47"/>
      <c r="P93" s="47"/>
      <c r="Q93" s="47"/>
      <c r="R93" s="21"/>
      <c r="S93" s="2"/>
      <c r="T93" s="3" t="s">
        <v>1599</v>
      </c>
      <c r="U93" s="2" t="s">
        <v>1606</v>
      </c>
      <c r="V93" s="184" t="s">
        <v>23</v>
      </c>
      <c r="W93" s="184" t="s">
        <v>1607</v>
      </c>
      <c r="X93" s="184" t="s">
        <v>23</v>
      </c>
    </row>
    <row r="94" spans="1:24" ht="42" customHeight="1" x14ac:dyDescent="0.25">
      <c r="A94" s="3" t="s">
        <v>998</v>
      </c>
      <c r="B94" s="7" t="s">
        <v>969</v>
      </c>
      <c r="C94" s="2"/>
      <c r="D94" s="12" t="s">
        <v>1608</v>
      </c>
      <c r="E94" s="11"/>
      <c r="F94" s="11"/>
      <c r="G94" s="11"/>
      <c r="H94" s="47" t="s">
        <v>1609</v>
      </c>
      <c r="I94" s="47" t="s">
        <v>1291</v>
      </c>
      <c r="J94" s="47" t="s">
        <v>1610</v>
      </c>
      <c r="K94" s="59" t="s">
        <v>1055</v>
      </c>
      <c r="L94" s="47" t="s">
        <v>1604</v>
      </c>
      <c r="M94" s="47" t="s">
        <v>1611</v>
      </c>
      <c r="N94" s="47"/>
      <c r="O94" s="47"/>
      <c r="P94" s="47"/>
      <c r="Q94" s="47"/>
      <c r="R94" s="21"/>
      <c r="S94" s="2"/>
      <c r="T94" s="3" t="s">
        <v>1612</v>
      </c>
      <c r="U94" s="2" t="s">
        <v>1613</v>
      </c>
      <c r="V94" s="184" t="s">
        <v>23</v>
      </c>
      <c r="W94" s="184" t="s">
        <v>1614</v>
      </c>
      <c r="X94" s="184" t="s">
        <v>23</v>
      </c>
    </row>
    <row r="96" spans="1:24" x14ac:dyDescent="0.25">
      <c r="A96" s="183" t="s">
        <v>6496</v>
      </c>
    </row>
    <row r="97" spans="1:1" x14ac:dyDescent="0.25">
      <c r="A97" s="183" t="s">
        <v>6497</v>
      </c>
    </row>
    <row r="98" spans="1:1" x14ac:dyDescent="0.25">
      <c r="A98" s="183" t="s">
        <v>6498</v>
      </c>
    </row>
    <row r="99" spans="1:1" x14ac:dyDescent="0.25">
      <c r="A99" s="183" t="s">
        <v>6499</v>
      </c>
    </row>
    <row r="100" spans="1:1" x14ac:dyDescent="0.25">
      <c r="A100" s="183" t="s">
        <v>6500</v>
      </c>
    </row>
    <row r="101" spans="1:1" x14ac:dyDescent="0.25">
      <c r="A101" s="183" t="s">
        <v>6501</v>
      </c>
    </row>
    <row r="102" spans="1:1" x14ac:dyDescent="0.25">
      <c r="A102" s="183" t="s">
        <v>255</v>
      </c>
    </row>
    <row r="103" spans="1:1" x14ac:dyDescent="0.25">
      <c r="A103" s="183" t="s">
        <v>6502</v>
      </c>
    </row>
    <row r="105" spans="1:1" x14ac:dyDescent="0.25">
      <c r="A105" s="181" t="s">
        <v>6503</v>
      </c>
    </row>
    <row r="106" spans="1:1" x14ac:dyDescent="0.25">
      <c r="A106" s="182" t="s">
        <v>6494</v>
      </c>
    </row>
    <row r="107" spans="1:1" x14ac:dyDescent="0.25">
      <c r="A107" s="183" t="s">
        <v>6504</v>
      </c>
    </row>
    <row r="108" spans="1:1" x14ac:dyDescent="0.25">
      <c r="A108" s="183" t="s">
        <v>6496</v>
      </c>
    </row>
    <row r="109" spans="1:1" x14ac:dyDescent="0.25">
      <c r="A109" s="183" t="s">
        <v>6495</v>
      </c>
    </row>
    <row r="110" spans="1:1" x14ac:dyDescent="0.25">
      <c r="A110" s="183" t="s">
        <v>6505</v>
      </c>
    </row>
    <row r="111" spans="1:1" x14ac:dyDescent="0.25">
      <c r="A111" s="183" t="s">
        <v>6506</v>
      </c>
    </row>
    <row r="112" spans="1:1" x14ac:dyDescent="0.25">
      <c r="A112" s="183" t="s">
        <v>6507</v>
      </c>
    </row>
    <row r="113" spans="1:5" x14ac:dyDescent="0.25">
      <c r="A113" s="183" t="s">
        <v>6508</v>
      </c>
    </row>
    <row r="119" spans="1:5" x14ac:dyDescent="0.25">
      <c r="B119" t="s">
        <v>6509</v>
      </c>
      <c r="C119" t="s">
        <v>6510</v>
      </c>
      <c r="D119" t="s">
        <v>6511</v>
      </c>
      <c r="E119" t="s">
        <v>6512</v>
      </c>
    </row>
  </sheetData>
  <mergeCells count="5">
    <mergeCell ref="B41:Q41"/>
    <mergeCell ref="B73:Q73"/>
    <mergeCell ref="B2:Q2"/>
    <mergeCell ref="B33:Q33"/>
    <mergeCell ref="B59:Q5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77"/>
  <sheetViews>
    <sheetView tabSelected="1" zoomScale="70" zoomScaleNormal="70" workbookViewId="0">
      <pane ySplit="1" topLeftCell="A7" activePane="bottomLeft" state="frozen"/>
      <selection pane="bottomLeft" activeCell="G138" sqref="G138"/>
    </sheetView>
  </sheetViews>
  <sheetFormatPr defaultRowHeight="15" x14ac:dyDescent="0.25"/>
  <cols>
    <col min="2" max="2" width="14" customWidth="1"/>
    <col min="3" max="3" width="12" customWidth="1"/>
    <col min="4" max="4" width="57.7109375" customWidth="1"/>
    <col min="5" max="5" width="40.140625" style="25" customWidth="1"/>
    <col min="6" max="6" width="48.85546875" style="17" customWidth="1"/>
    <col min="7" max="7" width="44.140625" style="17" customWidth="1"/>
    <col min="8" max="9" width="16" style="46" customWidth="1"/>
    <col min="10" max="10" width="18" style="46" customWidth="1"/>
    <col min="11" max="11" width="10" style="46" hidden="1" customWidth="1"/>
    <col min="12" max="12" width="22" style="46" customWidth="1"/>
    <col min="13" max="13" width="18" style="46" customWidth="1"/>
    <col min="14" max="14" width="22" style="46" customWidth="1"/>
    <col min="15" max="16" width="10" style="46" customWidth="1"/>
    <col min="17" max="17" width="31.85546875" style="46" customWidth="1"/>
    <col min="18" max="18" width="26.85546875" style="20" customWidth="1"/>
    <col min="19" max="19" width="16" customWidth="1"/>
    <col min="20" max="20" width="12" customWidth="1"/>
    <col min="21" max="22" width="32" customWidth="1"/>
    <col min="23" max="23" width="42" style="46" customWidth="1"/>
    <col min="24" max="24" width="25" customWidth="1"/>
    <col min="25" max="25" width="24.28515625" customWidth="1"/>
  </cols>
  <sheetData>
    <row r="1" spans="1:24" ht="36" customHeight="1" x14ac:dyDescent="0.25">
      <c r="A1" s="37" t="s">
        <v>974</v>
      </c>
      <c r="B1" s="15" t="s">
        <v>891</v>
      </c>
      <c r="C1" s="1" t="s">
        <v>975</v>
      </c>
      <c r="D1" s="1" t="s">
        <v>976</v>
      </c>
      <c r="E1" s="16" t="s">
        <v>977</v>
      </c>
      <c r="F1" s="16" t="s">
        <v>978</v>
      </c>
      <c r="G1" s="16" t="s">
        <v>979</v>
      </c>
      <c r="H1" s="45" t="s">
        <v>980</v>
      </c>
      <c r="I1" s="45" t="s">
        <v>981</v>
      </c>
      <c r="J1" s="45" t="s">
        <v>982</v>
      </c>
      <c r="K1" s="45" t="s">
        <v>983</v>
      </c>
      <c r="L1" s="45" t="s">
        <v>984</v>
      </c>
      <c r="M1" s="45" t="s">
        <v>985</v>
      </c>
      <c r="N1" s="45" t="s">
        <v>986</v>
      </c>
      <c r="O1" s="45" t="s">
        <v>987</v>
      </c>
      <c r="P1" s="45" t="s">
        <v>988</v>
      </c>
      <c r="Q1" s="45" t="s">
        <v>989</v>
      </c>
      <c r="R1" s="15" t="s">
        <v>990</v>
      </c>
      <c r="S1" s="1" t="s">
        <v>991</v>
      </c>
      <c r="T1" s="1" t="s">
        <v>992</v>
      </c>
      <c r="U1" s="1" t="s">
        <v>993</v>
      </c>
      <c r="V1" s="1" t="s">
        <v>994</v>
      </c>
      <c r="W1" s="45" t="s">
        <v>995</v>
      </c>
      <c r="X1" s="1" t="s">
        <v>996</v>
      </c>
    </row>
    <row r="2" spans="1:24" s="63" customFormat="1" ht="21.95" customHeight="1" x14ac:dyDescent="0.25">
      <c r="B2" s="69" t="s">
        <v>997</v>
      </c>
      <c r="E2" s="65"/>
      <c r="F2" s="66"/>
      <c r="G2" s="66"/>
      <c r="H2" s="67"/>
      <c r="I2" s="67"/>
      <c r="J2" s="67"/>
      <c r="K2" s="67"/>
      <c r="L2" s="67"/>
      <c r="M2" s="67"/>
      <c r="N2" s="67"/>
      <c r="O2" s="67"/>
      <c r="P2" s="67"/>
      <c r="Q2" s="67"/>
      <c r="R2" s="68"/>
      <c r="W2" s="67"/>
    </row>
    <row r="3" spans="1:24" ht="42" customHeight="1" x14ac:dyDescent="0.25">
      <c r="A3" s="3" t="s">
        <v>998</v>
      </c>
      <c r="B3" s="7" t="s">
        <v>999</v>
      </c>
      <c r="C3" s="2" t="s">
        <v>1000</v>
      </c>
      <c r="D3" s="10" t="s">
        <v>1001</v>
      </c>
      <c r="E3" s="12"/>
      <c r="F3" s="12"/>
      <c r="G3" s="12"/>
      <c r="H3" s="47" t="s">
        <v>1002</v>
      </c>
      <c r="I3" s="47" t="s">
        <v>1003</v>
      </c>
      <c r="J3" s="47" t="s">
        <v>1004</v>
      </c>
      <c r="K3" s="47" t="s">
        <v>1005</v>
      </c>
      <c r="L3" s="47"/>
      <c r="M3" s="47" t="s">
        <v>1006</v>
      </c>
      <c r="N3" s="47"/>
      <c r="O3" s="47"/>
      <c r="P3" s="47"/>
      <c r="Q3" s="47"/>
      <c r="R3" s="21"/>
      <c r="S3" s="2"/>
      <c r="T3" s="2"/>
      <c r="U3" s="2"/>
      <c r="V3" s="184" t="s">
        <v>23</v>
      </c>
      <c r="W3" s="184" t="s">
        <v>23</v>
      </c>
      <c r="X3" s="184" t="s">
        <v>23</v>
      </c>
    </row>
    <row r="4" spans="1:24" ht="84" customHeight="1" x14ac:dyDescent="0.25">
      <c r="A4" s="3" t="s">
        <v>998</v>
      </c>
      <c r="B4" s="7" t="s">
        <v>1007</v>
      </c>
      <c r="C4" s="7" t="s">
        <v>1008</v>
      </c>
      <c r="D4" s="10" t="s">
        <v>1009</v>
      </c>
      <c r="E4" s="12"/>
      <c r="F4" s="12"/>
      <c r="G4" s="12"/>
      <c r="H4" s="47" t="s">
        <v>1002</v>
      </c>
      <c r="I4" s="47" t="s">
        <v>1003</v>
      </c>
      <c r="J4" s="47" t="s">
        <v>1010</v>
      </c>
      <c r="K4" s="47" t="s">
        <v>1005</v>
      </c>
      <c r="L4" s="47"/>
      <c r="M4" s="47" t="s">
        <v>1006</v>
      </c>
      <c r="N4" s="47"/>
      <c r="O4" s="47"/>
      <c r="P4" s="47"/>
      <c r="Q4" s="47"/>
      <c r="R4" s="21"/>
      <c r="S4" s="2"/>
      <c r="T4" s="2"/>
      <c r="U4" s="2"/>
      <c r="V4" s="184" t="s">
        <v>23</v>
      </c>
      <c r="W4" s="184" t="s">
        <v>23</v>
      </c>
      <c r="X4" s="184" t="s">
        <v>23</v>
      </c>
    </row>
    <row r="5" spans="1:24" ht="231" customHeight="1" x14ac:dyDescent="0.25">
      <c r="A5" s="3" t="s">
        <v>998</v>
      </c>
      <c r="B5" s="7" t="s">
        <v>1011</v>
      </c>
      <c r="C5" s="7" t="s">
        <v>1012</v>
      </c>
      <c r="D5" s="10" t="s">
        <v>1013</v>
      </c>
      <c r="E5" s="12"/>
      <c r="F5" s="12"/>
      <c r="G5" s="12"/>
      <c r="H5" s="47" t="s">
        <v>1002</v>
      </c>
      <c r="I5" s="47" t="s">
        <v>1003</v>
      </c>
      <c r="J5" s="47" t="s">
        <v>1010</v>
      </c>
      <c r="K5" s="47" t="s">
        <v>1005</v>
      </c>
      <c r="L5" s="47"/>
      <c r="M5" s="47" t="s">
        <v>1006</v>
      </c>
      <c r="N5" s="47"/>
      <c r="O5" s="47"/>
      <c r="P5" s="47"/>
      <c r="Q5" s="47"/>
      <c r="R5" s="21"/>
      <c r="S5" s="2"/>
      <c r="T5" s="2"/>
      <c r="U5" s="2"/>
      <c r="V5" s="185" t="s">
        <v>1014</v>
      </c>
      <c r="W5" s="184" t="s">
        <v>23</v>
      </c>
      <c r="X5" s="184" t="s">
        <v>23</v>
      </c>
    </row>
    <row r="6" spans="1:24" ht="84" customHeight="1" x14ac:dyDescent="0.25">
      <c r="A6" s="3" t="s">
        <v>998</v>
      </c>
      <c r="B6" s="7" t="s">
        <v>1015</v>
      </c>
      <c r="C6" s="7" t="s">
        <v>1016</v>
      </c>
      <c r="D6" s="10" t="s">
        <v>1017</v>
      </c>
      <c r="E6" s="12"/>
      <c r="F6" s="12"/>
      <c r="G6" s="12"/>
      <c r="H6" s="47" t="s">
        <v>1002</v>
      </c>
      <c r="I6" s="47" t="s">
        <v>1003</v>
      </c>
      <c r="J6" s="47" t="s">
        <v>1010</v>
      </c>
      <c r="K6" s="47" t="s">
        <v>1005</v>
      </c>
      <c r="L6" s="47"/>
      <c r="M6" s="47" t="s">
        <v>1006</v>
      </c>
      <c r="N6" s="47"/>
      <c r="O6" s="47"/>
      <c r="P6" s="47"/>
      <c r="Q6" s="47"/>
      <c r="R6" s="21"/>
      <c r="S6" s="2"/>
      <c r="T6" s="2"/>
      <c r="U6" s="2"/>
      <c r="V6" s="184" t="s">
        <v>23</v>
      </c>
      <c r="W6" s="184" t="s">
        <v>23</v>
      </c>
      <c r="X6" s="184" t="s">
        <v>23</v>
      </c>
    </row>
    <row r="7" spans="1:24" ht="84" customHeight="1" x14ac:dyDescent="0.25">
      <c r="A7" s="38" t="s">
        <v>1018</v>
      </c>
      <c r="B7" s="7" t="s">
        <v>296</v>
      </c>
      <c r="C7" s="7" t="s">
        <v>1019</v>
      </c>
      <c r="D7" s="40" t="s">
        <v>1020</v>
      </c>
      <c r="E7" s="12"/>
      <c r="F7" s="12"/>
      <c r="G7" s="12"/>
      <c r="H7" s="47" t="s">
        <v>1002</v>
      </c>
      <c r="I7" s="47" t="s">
        <v>1003</v>
      </c>
      <c r="J7" s="47" t="s">
        <v>1010</v>
      </c>
      <c r="K7" s="47" t="s">
        <v>1005</v>
      </c>
      <c r="L7" s="47"/>
      <c r="M7" s="47" t="s">
        <v>1006</v>
      </c>
      <c r="N7" s="47"/>
      <c r="O7" s="47"/>
      <c r="P7" s="47"/>
      <c r="Q7" s="47"/>
      <c r="R7" s="21"/>
      <c r="S7" s="2"/>
      <c r="T7" s="2"/>
      <c r="U7" s="2"/>
      <c r="V7" s="184" t="s">
        <v>23</v>
      </c>
      <c r="W7" s="184" t="s">
        <v>23</v>
      </c>
      <c r="X7" s="186" t="s">
        <v>1021</v>
      </c>
    </row>
    <row r="8" spans="1:24" ht="84" customHeight="1" x14ac:dyDescent="0.25">
      <c r="A8" s="3" t="s">
        <v>998</v>
      </c>
      <c r="B8" s="7" t="s">
        <v>1022</v>
      </c>
      <c r="C8" s="7" t="s">
        <v>1016</v>
      </c>
      <c r="D8" s="10" t="s">
        <v>1023</v>
      </c>
      <c r="E8" s="12"/>
      <c r="F8" s="12"/>
      <c r="G8" s="12"/>
      <c r="H8" s="47" t="s">
        <v>1002</v>
      </c>
      <c r="I8" s="47" t="s">
        <v>1003</v>
      </c>
      <c r="J8" s="47" t="s">
        <v>1010</v>
      </c>
      <c r="K8" s="47" t="s">
        <v>1005</v>
      </c>
      <c r="L8" s="47"/>
      <c r="M8" s="47" t="s">
        <v>1006</v>
      </c>
      <c r="N8" s="47"/>
      <c r="O8" s="47"/>
      <c r="P8" s="47"/>
      <c r="Q8" s="47"/>
      <c r="R8" s="21"/>
      <c r="S8" s="2"/>
      <c r="T8" s="2"/>
      <c r="U8" s="2"/>
      <c r="V8" s="184" t="s">
        <v>23</v>
      </c>
      <c r="W8" s="187" t="s">
        <v>1024</v>
      </c>
      <c r="X8" s="184" t="s">
        <v>23</v>
      </c>
    </row>
    <row r="9" spans="1:24" ht="84" customHeight="1" x14ac:dyDescent="0.25">
      <c r="A9" s="3" t="s">
        <v>998</v>
      </c>
      <c r="B9" s="7" t="s">
        <v>1025</v>
      </c>
      <c r="C9" s="7" t="s">
        <v>1016</v>
      </c>
      <c r="D9" s="10" t="s">
        <v>1023</v>
      </c>
      <c r="E9" s="12"/>
      <c r="F9" s="12"/>
      <c r="G9" s="12"/>
      <c r="H9" s="47" t="s">
        <v>1002</v>
      </c>
      <c r="I9" s="47" t="s">
        <v>1003</v>
      </c>
      <c r="J9" s="47" t="s">
        <v>1010</v>
      </c>
      <c r="K9" s="47" t="s">
        <v>1005</v>
      </c>
      <c r="L9" s="47"/>
      <c r="M9" s="47" t="s">
        <v>1006</v>
      </c>
      <c r="N9" s="47"/>
      <c r="O9" s="47"/>
      <c r="P9" s="47"/>
      <c r="Q9" s="47"/>
      <c r="R9" s="21"/>
      <c r="S9" s="2"/>
      <c r="T9" s="2"/>
      <c r="U9" s="2"/>
      <c r="V9" s="184" t="s">
        <v>23</v>
      </c>
      <c r="W9" s="187" t="s">
        <v>1026</v>
      </c>
      <c r="X9" s="184" t="s">
        <v>23</v>
      </c>
    </row>
    <row r="10" spans="1:24" ht="84" customHeight="1" x14ac:dyDescent="0.25">
      <c r="A10" s="79" t="s">
        <v>998</v>
      </c>
      <c r="B10" s="7" t="s">
        <v>1027</v>
      </c>
      <c r="C10" s="7" t="s">
        <v>1016</v>
      </c>
      <c r="D10" s="10" t="s">
        <v>1028</v>
      </c>
      <c r="E10" s="12"/>
      <c r="F10" s="12"/>
      <c r="G10" s="12"/>
      <c r="H10" s="47" t="s">
        <v>1002</v>
      </c>
      <c r="I10" s="47" t="s">
        <v>1003</v>
      </c>
      <c r="J10" s="47" t="s">
        <v>1010</v>
      </c>
      <c r="K10" s="47" t="s">
        <v>1005</v>
      </c>
      <c r="L10" s="47"/>
      <c r="M10" s="47" t="s">
        <v>1006</v>
      </c>
      <c r="N10" s="47"/>
      <c r="O10" s="47"/>
      <c r="P10" s="47"/>
      <c r="Q10" s="47"/>
      <c r="R10" s="21"/>
      <c r="S10" s="2"/>
      <c r="T10" s="2"/>
      <c r="U10" s="2"/>
      <c r="V10" s="184" t="s">
        <v>23</v>
      </c>
      <c r="W10" s="187" t="s">
        <v>1029</v>
      </c>
      <c r="X10" s="184" t="s">
        <v>23</v>
      </c>
    </row>
    <row r="11" spans="1:24" ht="63" customHeight="1" x14ac:dyDescent="0.25">
      <c r="A11" s="3" t="s">
        <v>998</v>
      </c>
      <c r="B11" s="7" t="s">
        <v>1030</v>
      </c>
      <c r="C11" s="7" t="s">
        <v>1016</v>
      </c>
      <c r="D11" s="10" t="s">
        <v>1031</v>
      </c>
      <c r="F11" s="12"/>
      <c r="G11" s="12"/>
      <c r="H11" s="47" t="s">
        <v>1002</v>
      </c>
      <c r="I11" s="47" t="s">
        <v>1003</v>
      </c>
      <c r="J11" s="47" t="s">
        <v>1010</v>
      </c>
      <c r="K11" s="47" t="s">
        <v>1005</v>
      </c>
      <c r="L11" s="47"/>
      <c r="M11" s="47" t="s">
        <v>1006</v>
      </c>
      <c r="N11" s="47"/>
      <c r="O11" s="47"/>
      <c r="P11" s="47"/>
      <c r="Q11" s="47"/>
      <c r="R11" s="21"/>
      <c r="S11" s="2"/>
      <c r="T11" s="2"/>
      <c r="U11" s="2"/>
      <c r="V11" s="184" t="s">
        <v>23</v>
      </c>
      <c r="W11" s="187" t="s">
        <v>1032</v>
      </c>
      <c r="X11" s="184" t="s">
        <v>23</v>
      </c>
    </row>
    <row r="12" spans="1:24" ht="63" customHeight="1" x14ac:dyDescent="0.25">
      <c r="A12" s="3" t="s">
        <v>998</v>
      </c>
      <c r="B12" s="7" t="s">
        <v>1033</v>
      </c>
      <c r="C12" s="7" t="s">
        <v>1016</v>
      </c>
      <c r="D12" s="10" t="s">
        <v>1034</v>
      </c>
      <c r="F12" s="12"/>
      <c r="G12" s="12"/>
      <c r="H12" s="47" t="s">
        <v>1002</v>
      </c>
      <c r="I12" s="47" t="s">
        <v>1003</v>
      </c>
      <c r="J12" s="47" t="s">
        <v>1010</v>
      </c>
      <c r="K12" s="47" t="s">
        <v>1005</v>
      </c>
      <c r="L12" s="47"/>
      <c r="M12" s="47" t="s">
        <v>1006</v>
      </c>
      <c r="N12" s="47"/>
      <c r="O12" s="47"/>
      <c r="P12" s="47"/>
      <c r="Q12" s="47"/>
      <c r="R12" s="21"/>
      <c r="S12" s="2"/>
      <c r="T12" s="2"/>
      <c r="U12" s="2"/>
      <c r="V12" s="184" t="s">
        <v>23</v>
      </c>
      <c r="W12" s="184" t="s">
        <v>23</v>
      </c>
      <c r="X12" s="184" t="s">
        <v>23</v>
      </c>
    </row>
    <row r="13" spans="1:24" ht="63" customHeight="1" x14ac:dyDescent="0.25">
      <c r="A13" s="3" t="s">
        <v>998</v>
      </c>
      <c r="B13" s="7" t="s">
        <v>1035</v>
      </c>
      <c r="C13" s="7" t="s">
        <v>1016</v>
      </c>
      <c r="D13" s="10" t="s">
        <v>1036</v>
      </c>
      <c r="F13" s="12"/>
      <c r="G13" s="12"/>
      <c r="H13" s="47" t="s">
        <v>1002</v>
      </c>
      <c r="I13" s="47" t="s">
        <v>1003</v>
      </c>
      <c r="J13" s="47" t="s">
        <v>1010</v>
      </c>
      <c r="K13" s="47" t="s">
        <v>1005</v>
      </c>
      <c r="L13" s="47"/>
      <c r="M13" s="47" t="s">
        <v>1006</v>
      </c>
      <c r="N13" s="47"/>
      <c r="O13" s="47"/>
      <c r="P13" s="47"/>
      <c r="Q13" s="47"/>
      <c r="R13" s="21"/>
      <c r="S13" s="2"/>
      <c r="T13" s="2"/>
      <c r="U13" s="2"/>
      <c r="V13" s="184" t="s">
        <v>23</v>
      </c>
      <c r="W13" s="184" t="s">
        <v>23</v>
      </c>
      <c r="X13" s="184" t="s">
        <v>23</v>
      </c>
    </row>
    <row r="14" spans="1:24" ht="126" customHeight="1" x14ac:dyDescent="0.25">
      <c r="A14" s="3" t="s">
        <v>998</v>
      </c>
      <c r="B14" s="7" t="s">
        <v>1037</v>
      </c>
      <c r="C14" s="7" t="s">
        <v>1016</v>
      </c>
      <c r="D14" s="10" t="s">
        <v>1038</v>
      </c>
      <c r="F14" s="12"/>
      <c r="G14" s="12"/>
      <c r="H14" s="47" t="s">
        <v>1002</v>
      </c>
      <c r="I14" s="47" t="s">
        <v>1003</v>
      </c>
      <c r="J14" s="47" t="s">
        <v>1010</v>
      </c>
      <c r="K14" s="47" t="s">
        <v>1005</v>
      </c>
      <c r="L14" s="47"/>
      <c r="M14" s="47" t="s">
        <v>1006</v>
      </c>
      <c r="N14" s="47"/>
      <c r="O14" s="47"/>
      <c r="P14" s="47"/>
      <c r="Q14" s="47"/>
      <c r="R14" s="21"/>
      <c r="S14" s="2"/>
      <c r="T14" s="2"/>
      <c r="U14" s="2"/>
      <c r="V14" s="184" t="s">
        <v>23</v>
      </c>
      <c r="W14" s="184" t="s">
        <v>23</v>
      </c>
      <c r="X14" s="184" t="s">
        <v>23</v>
      </c>
    </row>
    <row r="15" spans="1:24" s="63" customFormat="1" ht="21.95" customHeight="1" x14ac:dyDescent="0.25">
      <c r="B15" s="69" t="s">
        <v>1039</v>
      </c>
      <c r="E15" s="65"/>
      <c r="F15" s="66"/>
      <c r="G15" s="66"/>
      <c r="H15" s="67"/>
      <c r="I15" s="67"/>
      <c r="J15" s="67"/>
      <c r="K15" s="67"/>
      <c r="L15" s="67"/>
      <c r="M15" s="67"/>
      <c r="N15" s="67"/>
      <c r="O15" s="67"/>
      <c r="P15" s="67"/>
      <c r="Q15" s="67"/>
      <c r="R15" s="68"/>
      <c r="W15" s="67"/>
    </row>
    <row r="16" spans="1:24" ht="42" customHeight="1" x14ac:dyDescent="0.25">
      <c r="A16" s="3" t="s">
        <v>998</v>
      </c>
      <c r="B16" s="7" t="s">
        <v>18</v>
      </c>
      <c r="C16" s="2" t="s">
        <v>1000</v>
      </c>
      <c r="D16" s="10" t="s">
        <v>1040</v>
      </c>
      <c r="F16" s="14" t="s">
        <v>1041</v>
      </c>
      <c r="G16" s="14"/>
      <c r="H16" s="47" t="s">
        <v>1042</v>
      </c>
      <c r="I16" s="47" t="s">
        <v>1043</v>
      </c>
      <c r="J16" s="47" t="s">
        <v>1044</v>
      </c>
      <c r="K16" s="47" t="s">
        <v>1005</v>
      </c>
      <c r="L16" s="47"/>
      <c r="M16" s="47" t="s">
        <v>1006</v>
      </c>
      <c r="N16" s="47" t="s">
        <v>1045</v>
      </c>
      <c r="O16" s="47"/>
      <c r="Q16" s="47"/>
      <c r="R16" s="21"/>
      <c r="S16" s="2"/>
      <c r="T16" s="3" t="s">
        <v>1046</v>
      </c>
      <c r="U16" s="2" t="s">
        <v>1047</v>
      </c>
      <c r="V16" s="184" t="s">
        <v>23</v>
      </c>
      <c r="W16" s="184" t="s">
        <v>23</v>
      </c>
      <c r="X16" s="186" t="s">
        <v>1048</v>
      </c>
    </row>
    <row r="17" spans="1:24" ht="101.25" customHeight="1" x14ac:dyDescent="0.25">
      <c r="A17" s="3" t="s">
        <v>998</v>
      </c>
      <c r="B17" s="7" t="s">
        <v>28</v>
      </c>
      <c r="C17" s="2" t="s">
        <v>1000</v>
      </c>
      <c r="D17" s="10" t="s">
        <v>1049</v>
      </c>
      <c r="E17" s="14" t="s">
        <v>1050</v>
      </c>
      <c r="F17" s="12" t="s">
        <v>1051</v>
      </c>
      <c r="G17" s="12"/>
      <c r="H17" s="47" t="s">
        <v>1052</v>
      </c>
      <c r="I17" s="47" t="s">
        <v>1053</v>
      </c>
      <c r="J17" s="47" t="s">
        <v>1054</v>
      </c>
      <c r="K17" s="59" t="s">
        <v>1055</v>
      </c>
      <c r="L17" s="47"/>
      <c r="M17" s="47" t="s">
        <v>1056</v>
      </c>
      <c r="N17" s="47" t="s">
        <v>1057</v>
      </c>
      <c r="O17" s="47"/>
      <c r="P17" s="47" t="s">
        <v>1058</v>
      </c>
      <c r="Q17" s="47" t="s">
        <v>1059</v>
      </c>
      <c r="R17" s="21"/>
      <c r="S17" s="2"/>
      <c r="T17" s="3" t="s">
        <v>1060</v>
      </c>
      <c r="U17" s="2" t="s">
        <v>1061</v>
      </c>
      <c r="V17" s="184" t="s">
        <v>23</v>
      </c>
      <c r="W17" s="184" t="s">
        <v>23</v>
      </c>
      <c r="X17" s="186" t="s">
        <v>1062</v>
      </c>
    </row>
    <row r="18" spans="1:24" ht="42" customHeight="1" x14ac:dyDescent="0.25">
      <c r="A18" s="3" t="s">
        <v>998</v>
      </c>
      <c r="B18" s="7" t="s">
        <v>33</v>
      </c>
      <c r="C18" s="2" t="s">
        <v>1000</v>
      </c>
      <c r="D18" s="10" t="s">
        <v>1063</v>
      </c>
      <c r="E18" s="18" t="s">
        <v>1064</v>
      </c>
      <c r="F18" s="17" t="s">
        <v>1051</v>
      </c>
      <c r="H18" s="47" t="s">
        <v>1052</v>
      </c>
      <c r="I18" s="47" t="s">
        <v>1053</v>
      </c>
      <c r="J18" s="47" t="s">
        <v>1065</v>
      </c>
      <c r="K18" s="59" t="s">
        <v>1055</v>
      </c>
      <c r="L18" s="47"/>
      <c r="M18" s="47" t="s">
        <v>1066</v>
      </c>
      <c r="N18" s="47" t="s">
        <v>1067</v>
      </c>
      <c r="O18" s="47"/>
      <c r="P18" s="47"/>
      <c r="Q18" s="47" t="s">
        <v>1068</v>
      </c>
      <c r="R18" s="21"/>
      <c r="S18" s="2"/>
      <c r="T18" s="3" t="s">
        <v>1060</v>
      </c>
      <c r="U18" s="2" t="s">
        <v>1069</v>
      </c>
      <c r="V18" s="184" t="s">
        <v>23</v>
      </c>
      <c r="W18" s="184" t="s">
        <v>23</v>
      </c>
      <c r="X18" s="186" t="s">
        <v>1070</v>
      </c>
    </row>
    <row r="19" spans="1:24" ht="42" customHeight="1" x14ac:dyDescent="0.25">
      <c r="A19" s="3" t="s">
        <v>998</v>
      </c>
      <c r="B19" s="7" t="s">
        <v>38</v>
      </c>
      <c r="C19" s="2" t="s">
        <v>1000</v>
      </c>
      <c r="D19" s="10" t="s">
        <v>1071</v>
      </c>
      <c r="F19" s="12"/>
      <c r="G19" s="12" t="s">
        <v>1072</v>
      </c>
      <c r="H19" s="47" t="s">
        <v>1042</v>
      </c>
      <c r="I19" s="47" t="s">
        <v>1043</v>
      </c>
      <c r="J19" s="47" t="s">
        <v>1073</v>
      </c>
      <c r="K19" s="47" t="s">
        <v>1005</v>
      </c>
      <c r="L19" s="47"/>
      <c r="M19" s="47" t="s">
        <v>1006</v>
      </c>
      <c r="N19" s="47" t="s">
        <v>1074</v>
      </c>
      <c r="O19" s="47"/>
      <c r="P19" s="47" t="s">
        <v>1075</v>
      </c>
      <c r="Q19" s="47"/>
      <c r="R19" s="21"/>
      <c r="S19" s="2"/>
      <c r="T19" s="3" t="s">
        <v>1076</v>
      </c>
      <c r="U19" s="2" t="s">
        <v>1077</v>
      </c>
      <c r="V19" s="184" t="s">
        <v>23</v>
      </c>
      <c r="W19" s="184" t="s">
        <v>23</v>
      </c>
      <c r="X19" s="186" t="s">
        <v>1078</v>
      </c>
    </row>
    <row r="20" spans="1:24" ht="76.5" customHeight="1" x14ac:dyDescent="0.25">
      <c r="A20" s="3" t="s">
        <v>998</v>
      </c>
      <c r="B20" s="7" t="s">
        <v>41</v>
      </c>
      <c r="C20" s="2" t="s">
        <v>1000</v>
      </c>
      <c r="D20" s="10" t="s">
        <v>1079</v>
      </c>
      <c r="E20" s="12"/>
      <c r="F20" s="12"/>
      <c r="G20" s="12" t="s">
        <v>1080</v>
      </c>
      <c r="H20" s="47" t="s">
        <v>900</v>
      </c>
      <c r="I20" s="47" t="s">
        <v>1043</v>
      </c>
      <c r="J20" s="47" t="s">
        <v>1081</v>
      </c>
      <c r="K20" s="60" t="s">
        <v>1082</v>
      </c>
      <c r="L20" s="47"/>
      <c r="M20" s="47" t="s">
        <v>1006</v>
      </c>
      <c r="N20" s="47" t="s">
        <v>1083</v>
      </c>
      <c r="O20" s="47"/>
      <c r="P20" s="47" t="s">
        <v>1084</v>
      </c>
      <c r="Q20" s="47"/>
      <c r="R20" s="21"/>
      <c r="S20" s="2"/>
      <c r="T20" s="3" t="s">
        <v>1085</v>
      </c>
      <c r="U20" s="2" t="s">
        <v>1086</v>
      </c>
      <c r="V20" s="185" t="s">
        <v>1087</v>
      </c>
      <c r="W20" s="184" t="s">
        <v>23</v>
      </c>
      <c r="X20" s="186" t="s">
        <v>1088</v>
      </c>
    </row>
    <row r="21" spans="1:24" ht="42" customHeight="1" x14ac:dyDescent="0.25">
      <c r="A21" s="3" t="s">
        <v>998</v>
      </c>
      <c r="B21" s="7" t="s">
        <v>45</v>
      </c>
      <c r="C21" s="2" t="s">
        <v>1000</v>
      </c>
      <c r="D21" s="10" t="s">
        <v>1089</v>
      </c>
      <c r="E21" s="12"/>
      <c r="F21" s="12"/>
      <c r="G21" s="12" t="s">
        <v>1090</v>
      </c>
      <c r="H21" s="47" t="s">
        <v>901</v>
      </c>
      <c r="I21" s="47" t="s">
        <v>1043</v>
      </c>
      <c r="J21" s="47" t="s">
        <v>1073</v>
      </c>
      <c r="K21" s="60" t="s">
        <v>1082</v>
      </c>
      <c r="L21" s="47"/>
      <c r="M21" s="47" t="s">
        <v>1006</v>
      </c>
      <c r="N21" s="47" t="s">
        <v>1091</v>
      </c>
      <c r="O21" s="47"/>
      <c r="P21" s="47" t="s">
        <v>1075</v>
      </c>
      <c r="Q21" s="47"/>
      <c r="R21" s="21"/>
      <c r="S21" s="2"/>
      <c r="T21" s="3" t="s">
        <v>1085</v>
      </c>
      <c r="U21" s="2" t="s">
        <v>1092</v>
      </c>
      <c r="V21" s="185" t="s">
        <v>1093</v>
      </c>
      <c r="W21" s="184" t="s">
        <v>23</v>
      </c>
      <c r="X21" s="184" t="s">
        <v>23</v>
      </c>
    </row>
    <row r="22" spans="1:24" ht="42" customHeight="1" x14ac:dyDescent="0.25">
      <c r="A22" s="3" t="s">
        <v>998</v>
      </c>
      <c r="B22" s="7" t="s">
        <v>48</v>
      </c>
      <c r="C22" s="2" t="s">
        <v>1000</v>
      </c>
      <c r="D22" s="10" t="s">
        <v>1094</v>
      </c>
      <c r="E22" s="12"/>
      <c r="F22" s="12"/>
      <c r="G22" s="12" t="s">
        <v>1095</v>
      </c>
      <c r="H22" s="47" t="s">
        <v>901</v>
      </c>
      <c r="I22" s="47" t="s">
        <v>1043</v>
      </c>
      <c r="J22" s="47" t="s">
        <v>1096</v>
      </c>
      <c r="K22" s="60" t="s">
        <v>1082</v>
      </c>
      <c r="L22" s="47" t="s">
        <v>1097</v>
      </c>
      <c r="M22" s="47" t="s">
        <v>1006</v>
      </c>
      <c r="N22" s="47"/>
      <c r="O22" s="47"/>
      <c r="P22" s="47"/>
      <c r="Q22" s="47"/>
      <c r="R22" s="21"/>
      <c r="S22" s="2"/>
      <c r="T22" s="3" t="s">
        <v>1098</v>
      </c>
      <c r="U22" s="2" t="s">
        <v>1099</v>
      </c>
      <c r="V22" s="184" t="s">
        <v>1100</v>
      </c>
      <c r="W22" s="184" t="s">
        <v>23</v>
      </c>
      <c r="X22" s="184" t="s">
        <v>23</v>
      </c>
    </row>
    <row r="23" spans="1:24" ht="203.25" customHeight="1" x14ac:dyDescent="0.25">
      <c r="A23" s="3" t="s">
        <v>998</v>
      </c>
      <c r="B23" s="7" t="s">
        <v>52</v>
      </c>
      <c r="C23" s="2" t="s">
        <v>1000</v>
      </c>
      <c r="D23" s="10" t="s">
        <v>1101</v>
      </c>
      <c r="E23" s="12"/>
      <c r="F23" s="12"/>
      <c r="G23" s="12" t="s">
        <v>1102</v>
      </c>
      <c r="H23" s="47" t="s">
        <v>901</v>
      </c>
      <c r="I23" s="47" t="s">
        <v>1043</v>
      </c>
      <c r="J23" s="47" t="s">
        <v>1073</v>
      </c>
      <c r="K23" s="60" t="s">
        <v>1082</v>
      </c>
      <c r="L23" s="47" t="s">
        <v>1103</v>
      </c>
      <c r="M23" s="47" t="s">
        <v>1006</v>
      </c>
      <c r="N23" s="47"/>
      <c r="O23" s="47"/>
      <c r="P23" s="47"/>
      <c r="Q23" s="47" t="s">
        <v>1104</v>
      </c>
      <c r="R23" s="22" t="s">
        <v>1105</v>
      </c>
      <c r="S23" s="2"/>
      <c r="T23" s="3" t="s">
        <v>1085</v>
      </c>
      <c r="U23" s="2" t="s">
        <v>1106</v>
      </c>
      <c r="V23" s="185" t="s">
        <v>1107</v>
      </c>
      <c r="W23" s="184" t="s">
        <v>23</v>
      </c>
      <c r="X23" s="184" t="s">
        <v>23</v>
      </c>
    </row>
    <row r="24" spans="1:24" s="63" customFormat="1" ht="21.95" customHeight="1" x14ac:dyDescent="0.25">
      <c r="B24" s="64" t="s">
        <v>1108</v>
      </c>
      <c r="E24" s="70"/>
      <c r="F24" s="71"/>
      <c r="G24" s="71"/>
      <c r="H24" s="67"/>
      <c r="I24" s="67"/>
      <c r="J24" s="67"/>
      <c r="K24" s="67"/>
      <c r="L24" s="67"/>
      <c r="M24" s="67"/>
      <c r="N24" s="67"/>
      <c r="O24" s="67"/>
      <c r="P24" s="67"/>
      <c r="Q24" s="67"/>
      <c r="R24" s="68"/>
      <c r="W24" s="67"/>
    </row>
    <row r="25" spans="1:24" ht="84" customHeight="1" x14ac:dyDescent="0.25">
      <c r="A25" s="3" t="s">
        <v>998</v>
      </c>
      <c r="B25" s="7" t="s">
        <v>902</v>
      </c>
      <c r="C25" s="7" t="s">
        <v>1008</v>
      </c>
      <c r="D25" s="10" t="s">
        <v>1109</v>
      </c>
      <c r="E25" s="14" t="s">
        <v>1110</v>
      </c>
      <c r="F25" s="11" t="s">
        <v>1111</v>
      </c>
      <c r="G25" s="11"/>
      <c r="H25" s="47" t="s">
        <v>1112</v>
      </c>
      <c r="I25" s="47" t="s">
        <v>1043</v>
      </c>
      <c r="J25" s="47" t="s">
        <v>1113</v>
      </c>
      <c r="K25" s="47" t="s">
        <v>1005</v>
      </c>
      <c r="L25" s="47"/>
      <c r="M25" s="47" t="s">
        <v>1114</v>
      </c>
      <c r="N25" s="47"/>
      <c r="O25" s="47" t="s">
        <v>1115</v>
      </c>
      <c r="P25" s="47"/>
      <c r="Q25" s="47"/>
      <c r="R25" s="21"/>
      <c r="S25" s="2"/>
      <c r="T25" s="4" t="s">
        <v>1116</v>
      </c>
      <c r="U25" s="2" t="s">
        <v>1117</v>
      </c>
      <c r="V25" s="185" t="s">
        <v>1118</v>
      </c>
      <c r="W25" s="184" t="s">
        <v>23</v>
      </c>
      <c r="X25" s="184" t="s">
        <v>23</v>
      </c>
    </row>
    <row r="26" spans="1:24" ht="15" customHeight="1" x14ac:dyDescent="0.25">
      <c r="B26" s="7"/>
      <c r="C26" s="7"/>
      <c r="D26" s="10"/>
      <c r="E26" s="14"/>
      <c r="F26" s="11"/>
      <c r="G26" s="9" t="s">
        <v>1119</v>
      </c>
      <c r="I26" s="47"/>
      <c r="J26" s="47"/>
      <c r="K26" s="47"/>
      <c r="L26" s="47"/>
      <c r="M26" s="47"/>
      <c r="N26" s="47"/>
      <c r="O26" s="47"/>
      <c r="P26" s="47"/>
      <c r="Q26" s="83" t="s">
        <v>1120</v>
      </c>
      <c r="S26" s="2"/>
      <c r="T26" s="4"/>
      <c r="U26" s="2"/>
      <c r="V26" s="6"/>
    </row>
    <row r="27" spans="1:24" ht="15" customHeight="1" x14ac:dyDescent="0.25">
      <c r="B27" s="7"/>
      <c r="C27" s="7"/>
      <c r="D27" s="10"/>
      <c r="E27" s="14"/>
      <c r="F27" s="11"/>
      <c r="G27" s="9" t="s">
        <v>1121</v>
      </c>
      <c r="I27" s="47"/>
      <c r="J27" s="47"/>
      <c r="K27" s="47"/>
      <c r="L27" s="47"/>
      <c r="M27" s="47"/>
      <c r="N27" s="47"/>
      <c r="O27" s="47"/>
      <c r="P27" s="47"/>
      <c r="Q27" s="83" t="s">
        <v>1122</v>
      </c>
      <c r="S27" s="2"/>
      <c r="T27" s="4"/>
      <c r="U27" s="2"/>
      <c r="V27" s="6"/>
    </row>
    <row r="28" spans="1:24" ht="15" customHeight="1" x14ac:dyDescent="0.25">
      <c r="B28" s="7"/>
      <c r="C28" s="7"/>
      <c r="D28" s="10"/>
      <c r="E28" s="14"/>
      <c r="F28" s="11"/>
      <c r="G28" s="9" t="s">
        <v>1123</v>
      </c>
      <c r="I28" s="47"/>
      <c r="J28" s="47"/>
      <c r="K28" s="47"/>
      <c r="L28" s="47"/>
      <c r="M28" s="47"/>
      <c r="N28" s="47"/>
      <c r="O28" s="47"/>
      <c r="P28" s="47"/>
      <c r="Q28" s="83" t="s">
        <v>1124</v>
      </c>
      <c r="S28" s="2"/>
      <c r="T28" s="4"/>
      <c r="U28" s="2"/>
      <c r="V28" s="6"/>
    </row>
    <row r="29" spans="1:24" ht="15" customHeight="1" x14ac:dyDescent="0.25">
      <c r="B29" s="7"/>
      <c r="C29" s="7"/>
      <c r="D29" s="10"/>
      <c r="E29" s="14"/>
      <c r="F29" s="11"/>
      <c r="G29" s="9" t="s">
        <v>1125</v>
      </c>
      <c r="I29" s="47"/>
      <c r="J29" s="47"/>
      <c r="K29" s="47"/>
      <c r="L29" s="47"/>
      <c r="M29" s="47"/>
      <c r="N29" s="47"/>
      <c r="O29" s="47"/>
      <c r="P29" s="47"/>
      <c r="Q29" s="83" t="s">
        <v>1126</v>
      </c>
      <c r="S29" s="2"/>
      <c r="T29" s="4"/>
      <c r="U29" s="2"/>
      <c r="V29" s="6"/>
    </row>
    <row r="30" spans="1:24" ht="15" customHeight="1" x14ac:dyDescent="0.25">
      <c r="B30" s="7"/>
      <c r="C30" s="7"/>
      <c r="D30" s="10"/>
      <c r="E30" s="14"/>
      <c r="F30" s="11"/>
      <c r="G30" s="9" t="s">
        <v>1127</v>
      </c>
      <c r="I30" s="47"/>
      <c r="J30" s="47"/>
      <c r="K30" s="47"/>
      <c r="L30" s="47"/>
      <c r="M30" s="47"/>
      <c r="N30" s="47"/>
      <c r="O30" s="47"/>
      <c r="P30" s="47"/>
      <c r="Q30" s="83" t="s">
        <v>1128</v>
      </c>
      <c r="S30" s="2"/>
      <c r="T30" s="4"/>
      <c r="U30" s="2"/>
      <c r="V30" s="6"/>
    </row>
    <row r="31" spans="1:24" ht="84" customHeight="1" x14ac:dyDescent="0.25">
      <c r="A31" s="3" t="s">
        <v>998</v>
      </c>
      <c r="B31" s="7" t="s">
        <v>1129</v>
      </c>
      <c r="C31" s="7" t="s">
        <v>1008</v>
      </c>
      <c r="D31" s="10" t="s">
        <v>1130</v>
      </c>
      <c r="E31" s="14" t="s">
        <v>1131</v>
      </c>
      <c r="F31" s="11" t="s">
        <v>1132</v>
      </c>
      <c r="G31" s="11"/>
      <c r="H31" s="47" t="s">
        <v>1133</v>
      </c>
      <c r="I31" s="47" t="s">
        <v>1043</v>
      </c>
      <c r="J31" s="47" t="s">
        <v>1134</v>
      </c>
      <c r="K31" s="47" t="s">
        <v>1005</v>
      </c>
      <c r="L31" s="47"/>
      <c r="M31" s="47" t="s">
        <v>1114</v>
      </c>
      <c r="N31" s="47"/>
      <c r="O31" s="47" t="s">
        <v>1135</v>
      </c>
      <c r="P31" s="47"/>
      <c r="Q31" s="47"/>
      <c r="R31" s="21"/>
      <c r="S31" s="2"/>
      <c r="T31" s="4" t="s">
        <v>1116</v>
      </c>
      <c r="U31" s="2" t="s">
        <v>1136</v>
      </c>
      <c r="V31" s="185" t="s">
        <v>1137</v>
      </c>
      <c r="W31" s="184" t="s">
        <v>23</v>
      </c>
      <c r="X31" s="184" t="s">
        <v>23</v>
      </c>
    </row>
    <row r="32" spans="1:24" ht="14.25" customHeight="1" x14ac:dyDescent="0.25">
      <c r="B32" s="7" t="s">
        <v>1138</v>
      </c>
      <c r="C32" s="7"/>
      <c r="D32" s="10"/>
      <c r="E32" s="14"/>
      <c r="F32" s="11"/>
      <c r="G32" s="8" t="s">
        <v>1139</v>
      </c>
      <c r="H32" s="47"/>
      <c r="I32" s="47"/>
      <c r="J32" s="47"/>
      <c r="K32" s="47"/>
      <c r="L32" s="47"/>
      <c r="M32" s="47"/>
      <c r="N32" s="47"/>
      <c r="O32" s="47"/>
      <c r="P32" s="47"/>
      <c r="Q32" s="89" t="s">
        <v>1140</v>
      </c>
      <c r="S32" s="2"/>
      <c r="T32" s="4"/>
      <c r="U32" s="2"/>
      <c r="V32" s="185" t="s">
        <v>1141</v>
      </c>
      <c r="W32" s="184" t="s">
        <v>23</v>
      </c>
      <c r="X32" s="184" t="s">
        <v>23</v>
      </c>
    </row>
    <row r="33" spans="1:24" ht="14.25" customHeight="1" x14ac:dyDescent="0.25">
      <c r="B33" s="7" t="s">
        <v>1142</v>
      </c>
      <c r="C33" s="7"/>
      <c r="D33" s="10"/>
      <c r="E33" s="14"/>
      <c r="F33" s="11"/>
      <c r="G33" s="8" t="s">
        <v>1143</v>
      </c>
      <c r="H33" s="47"/>
      <c r="I33" s="47"/>
      <c r="J33" s="47"/>
      <c r="K33" s="47"/>
      <c r="L33" s="47"/>
      <c r="M33" s="47"/>
      <c r="N33" s="47"/>
      <c r="O33" s="47"/>
      <c r="P33" s="47"/>
      <c r="Q33" s="89" t="s">
        <v>1144</v>
      </c>
      <c r="S33" s="2"/>
      <c r="T33" s="4"/>
      <c r="U33" s="2"/>
      <c r="V33" s="185" t="s">
        <v>1145</v>
      </c>
      <c r="W33" s="184" t="s">
        <v>23</v>
      </c>
      <c r="X33" s="184" t="s">
        <v>23</v>
      </c>
    </row>
    <row r="34" spans="1:24" ht="14.25" customHeight="1" x14ac:dyDescent="0.25">
      <c r="B34" s="7" t="s">
        <v>1146</v>
      </c>
      <c r="C34" s="7"/>
      <c r="D34" s="10"/>
      <c r="E34" s="14"/>
      <c r="F34" s="11"/>
      <c r="G34" s="8" t="s">
        <v>1147</v>
      </c>
      <c r="H34" s="47"/>
      <c r="I34" s="47"/>
      <c r="J34" s="47"/>
      <c r="K34" s="47"/>
      <c r="L34" s="47"/>
      <c r="M34" s="47"/>
      <c r="N34" s="47"/>
      <c r="O34" s="47"/>
      <c r="P34" s="47"/>
      <c r="Q34" s="89" t="s">
        <v>1148</v>
      </c>
      <c r="S34" s="2"/>
      <c r="T34" s="4"/>
      <c r="U34" s="2"/>
      <c r="V34" s="185" t="s">
        <v>1149</v>
      </c>
      <c r="W34" s="184" t="s">
        <v>23</v>
      </c>
      <c r="X34" s="184" t="s">
        <v>23</v>
      </c>
    </row>
    <row r="35" spans="1:24" ht="14.25" customHeight="1" x14ac:dyDescent="0.25">
      <c r="B35" s="7" t="s">
        <v>1150</v>
      </c>
      <c r="C35" s="7"/>
      <c r="D35" s="10"/>
      <c r="E35" s="14"/>
      <c r="F35" s="11"/>
      <c r="G35" s="8" t="s">
        <v>1151</v>
      </c>
      <c r="H35" s="47"/>
      <c r="I35" s="47"/>
      <c r="J35" s="47"/>
      <c r="K35" s="47"/>
      <c r="L35" s="47"/>
      <c r="M35" s="47"/>
      <c r="N35" s="47"/>
      <c r="O35" s="47"/>
      <c r="P35" s="47"/>
      <c r="Q35" s="89" t="s">
        <v>61</v>
      </c>
      <c r="S35" s="2"/>
      <c r="T35" s="4"/>
      <c r="U35" s="2"/>
      <c r="V35" s="185" t="s">
        <v>1152</v>
      </c>
      <c r="W35" s="184" t="s">
        <v>23</v>
      </c>
      <c r="X35" s="184" t="s">
        <v>23</v>
      </c>
    </row>
    <row r="36" spans="1:24" ht="14.25" customHeight="1" x14ac:dyDescent="0.25">
      <c r="B36" s="7" t="s">
        <v>1153</v>
      </c>
      <c r="C36" s="7"/>
      <c r="D36" s="10"/>
      <c r="E36" s="14"/>
      <c r="F36" s="11"/>
      <c r="G36" s="8" t="s">
        <v>1154</v>
      </c>
      <c r="H36" s="47"/>
      <c r="I36" s="47"/>
      <c r="J36" s="47"/>
      <c r="K36" s="47"/>
      <c r="L36" s="47"/>
      <c r="M36" s="47"/>
      <c r="N36" s="47"/>
      <c r="O36" s="47"/>
      <c r="P36" s="47"/>
      <c r="Q36" s="89" t="s">
        <v>56</v>
      </c>
      <c r="S36" s="2"/>
      <c r="T36" s="4"/>
      <c r="U36" s="2"/>
      <c r="V36" s="185" t="s">
        <v>1155</v>
      </c>
      <c r="W36" s="184" t="s">
        <v>23</v>
      </c>
      <c r="X36" s="184" t="s">
        <v>23</v>
      </c>
    </row>
    <row r="37" spans="1:24" ht="14.25" customHeight="1" x14ac:dyDescent="0.25">
      <c r="B37" s="7" t="s">
        <v>1156</v>
      </c>
      <c r="C37" s="7"/>
      <c r="D37" s="10"/>
      <c r="E37" s="14"/>
      <c r="F37" s="11"/>
      <c r="G37" s="8" t="s">
        <v>1157</v>
      </c>
      <c r="H37" s="47"/>
      <c r="I37" s="47"/>
      <c r="J37" s="47"/>
      <c r="K37" s="47"/>
      <c r="L37" s="47"/>
      <c r="M37" s="47"/>
      <c r="N37" s="47"/>
      <c r="O37" s="47"/>
      <c r="P37" s="47"/>
      <c r="Q37" s="89" t="s">
        <v>71</v>
      </c>
      <c r="S37" s="2"/>
      <c r="T37" s="4"/>
      <c r="U37" s="2"/>
      <c r="V37" s="185" t="s">
        <v>1158</v>
      </c>
      <c r="W37" s="184" t="s">
        <v>23</v>
      </c>
      <c r="X37" s="184" t="s">
        <v>23</v>
      </c>
    </row>
    <row r="38" spans="1:24" ht="48" customHeight="1" x14ac:dyDescent="0.25">
      <c r="A38" s="3" t="s">
        <v>998</v>
      </c>
      <c r="B38" s="7" t="s">
        <v>1159</v>
      </c>
      <c r="C38" s="7" t="s">
        <v>1008</v>
      </c>
      <c r="D38" s="10" t="s">
        <v>1160</v>
      </c>
      <c r="E38" s="11"/>
      <c r="F38" s="11"/>
      <c r="G38" s="11"/>
      <c r="H38" s="47" t="s">
        <v>909</v>
      </c>
      <c r="I38" s="47" t="s">
        <v>1043</v>
      </c>
      <c r="J38" s="47" t="s">
        <v>1161</v>
      </c>
      <c r="K38" s="47" t="s">
        <v>1005</v>
      </c>
      <c r="L38" s="47"/>
      <c r="M38" s="47" t="s">
        <v>1006</v>
      </c>
      <c r="N38" s="47"/>
      <c r="O38" s="47" t="s">
        <v>1115</v>
      </c>
      <c r="P38" s="47"/>
      <c r="Q38" s="47"/>
      <c r="S38" s="2"/>
      <c r="T38" s="4" t="s">
        <v>1162</v>
      </c>
      <c r="U38" s="2" t="s">
        <v>1163</v>
      </c>
      <c r="V38" s="185" t="s">
        <v>1164</v>
      </c>
      <c r="W38" s="184" t="s">
        <v>23</v>
      </c>
      <c r="X38" s="184" t="s">
        <v>23</v>
      </c>
    </row>
    <row r="39" spans="1:24" ht="31.5" customHeight="1" x14ac:dyDescent="0.25">
      <c r="B39" s="7" t="s">
        <v>1165</v>
      </c>
      <c r="C39" s="29"/>
      <c r="D39" s="23"/>
      <c r="E39" s="30"/>
      <c r="F39" s="30"/>
      <c r="G39" s="32" t="s">
        <v>1166</v>
      </c>
      <c r="I39" s="48"/>
      <c r="J39" s="48"/>
      <c r="K39" s="48"/>
      <c r="L39" s="48"/>
      <c r="M39" s="48"/>
      <c r="N39" s="48"/>
      <c r="O39" s="48"/>
      <c r="P39" s="48"/>
      <c r="Q39" s="89" t="s">
        <v>75</v>
      </c>
      <c r="S39" s="6"/>
      <c r="T39" s="31"/>
      <c r="U39" s="6"/>
      <c r="V39" s="185" t="s">
        <v>1167</v>
      </c>
      <c r="W39" s="184" t="s">
        <v>23</v>
      </c>
      <c r="X39" s="184" t="s">
        <v>23</v>
      </c>
    </row>
    <row r="40" spans="1:24" ht="21" customHeight="1" x14ac:dyDescent="0.25">
      <c r="A40" s="3" t="s">
        <v>998</v>
      </c>
      <c r="B40" s="7" t="s">
        <v>1168</v>
      </c>
      <c r="C40" s="29"/>
      <c r="D40" s="23"/>
      <c r="E40" s="30"/>
      <c r="F40" s="30"/>
      <c r="G40" s="32" t="s">
        <v>1169</v>
      </c>
      <c r="H40" s="48"/>
      <c r="I40" s="48"/>
      <c r="J40" s="48"/>
      <c r="K40" s="48"/>
      <c r="L40" s="48"/>
      <c r="M40" s="48"/>
      <c r="N40" s="48"/>
      <c r="O40" s="48"/>
      <c r="P40" s="48"/>
      <c r="Q40" s="89" t="s">
        <v>78</v>
      </c>
      <c r="S40" s="6"/>
      <c r="T40" s="31"/>
      <c r="U40" s="6"/>
      <c r="V40" s="185" t="s">
        <v>1170</v>
      </c>
      <c r="W40" s="184" t="s">
        <v>23</v>
      </c>
      <c r="X40" s="184" t="s">
        <v>23</v>
      </c>
    </row>
    <row r="41" spans="1:24" s="63" customFormat="1" ht="21.95" customHeight="1" x14ac:dyDescent="0.25">
      <c r="B41" s="64" t="s">
        <v>1171</v>
      </c>
      <c r="E41" s="71"/>
      <c r="F41" s="71"/>
      <c r="G41" s="71"/>
      <c r="H41" s="67"/>
      <c r="I41" s="67"/>
      <c r="J41" s="67"/>
      <c r="K41" s="67"/>
      <c r="L41" s="67"/>
      <c r="M41" s="67"/>
      <c r="N41" s="67"/>
      <c r="O41" s="67"/>
      <c r="P41" s="67"/>
      <c r="Q41" s="67"/>
      <c r="R41" s="68"/>
      <c r="W41" s="67"/>
    </row>
    <row r="42" spans="1:24" ht="42" customHeight="1" x14ac:dyDescent="0.45">
      <c r="A42" s="3" t="s">
        <v>998</v>
      </c>
      <c r="B42" s="7" t="s">
        <v>81</v>
      </c>
      <c r="C42" s="7" t="s">
        <v>1172</v>
      </c>
      <c r="D42" s="26" t="s">
        <v>1173</v>
      </c>
      <c r="E42" s="27" t="s">
        <v>1174</v>
      </c>
      <c r="F42" s="11" t="s">
        <v>1175</v>
      </c>
      <c r="G42" s="11"/>
      <c r="H42" s="47" t="s">
        <v>1176</v>
      </c>
      <c r="I42" s="47" t="s">
        <v>1177</v>
      </c>
      <c r="J42" s="47" t="s">
        <v>1178</v>
      </c>
      <c r="K42" s="60" t="s">
        <v>1082</v>
      </c>
      <c r="L42" s="61" t="str">
        <f>HYPERLINK("#Q14","Jump to conditional var")</f>
        <v>Jump to conditional var</v>
      </c>
      <c r="M42" s="47" t="s">
        <v>1179</v>
      </c>
      <c r="N42" s="47"/>
      <c r="O42" s="47"/>
      <c r="P42" s="47"/>
      <c r="Q42" s="47"/>
      <c r="R42" s="21"/>
      <c r="S42" s="2" t="s">
        <v>1180</v>
      </c>
      <c r="T42" s="3" t="s">
        <v>1181</v>
      </c>
      <c r="U42" s="2" t="s">
        <v>1182</v>
      </c>
      <c r="V42" s="185" t="s">
        <v>1183</v>
      </c>
      <c r="W42" s="184" t="s">
        <v>23</v>
      </c>
      <c r="X42" s="184" t="s">
        <v>23</v>
      </c>
    </row>
    <row r="43" spans="1:24" ht="21.75" customHeight="1" x14ac:dyDescent="0.45">
      <c r="B43" s="7" t="s">
        <v>1184</v>
      </c>
      <c r="C43" s="2"/>
      <c r="D43" s="26"/>
      <c r="E43" s="27"/>
      <c r="G43" s="28" t="s">
        <v>1185</v>
      </c>
      <c r="H43" s="47"/>
      <c r="I43" s="47"/>
      <c r="J43" s="47"/>
      <c r="K43" s="60"/>
      <c r="L43" s="47"/>
      <c r="M43" s="47"/>
      <c r="N43" s="47"/>
      <c r="O43" s="47"/>
      <c r="P43" s="47"/>
      <c r="Q43" s="47"/>
      <c r="R43" s="21"/>
      <c r="S43" s="2"/>
      <c r="T43" s="3"/>
      <c r="U43" s="2"/>
      <c r="V43" s="185" t="s">
        <v>1186</v>
      </c>
      <c r="W43" s="184" t="s">
        <v>23</v>
      </c>
      <c r="X43" s="184" t="s">
        <v>23</v>
      </c>
    </row>
    <row r="44" spans="1:24" ht="21.75" customHeight="1" x14ac:dyDescent="0.45">
      <c r="B44" s="7" t="s">
        <v>1187</v>
      </c>
      <c r="C44" s="2"/>
      <c r="D44" s="26"/>
      <c r="E44" s="27"/>
      <c r="G44" s="28" t="s">
        <v>1188</v>
      </c>
      <c r="H44" s="47"/>
      <c r="I44" s="47"/>
      <c r="J44" s="47"/>
      <c r="K44" s="60"/>
      <c r="L44" s="47"/>
      <c r="M44" s="47"/>
      <c r="N44" s="47"/>
      <c r="O44" s="47"/>
      <c r="P44" s="47"/>
      <c r="Q44" s="47"/>
      <c r="R44" s="21"/>
      <c r="S44" s="2"/>
      <c r="T44" s="3"/>
      <c r="U44" s="2"/>
      <c r="V44" s="185" t="s">
        <v>1189</v>
      </c>
      <c r="W44" s="184" t="s">
        <v>23</v>
      </c>
      <c r="X44" s="184" t="s">
        <v>23</v>
      </c>
    </row>
    <row r="45" spans="1:24" ht="21.75" customHeight="1" x14ac:dyDescent="0.45">
      <c r="B45" s="7" t="s">
        <v>1190</v>
      </c>
      <c r="C45" s="2"/>
      <c r="D45" s="26"/>
      <c r="E45" s="27"/>
      <c r="G45" s="28" t="s">
        <v>1191</v>
      </c>
      <c r="H45" s="47"/>
      <c r="I45" s="47"/>
      <c r="J45" s="47"/>
      <c r="K45" s="60"/>
      <c r="L45" s="47"/>
      <c r="M45" s="47"/>
      <c r="N45" s="47"/>
      <c r="O45" s="47"/>
      <c r="P45" s="47"/>
      <c r="Q45" s="47"/>
      <c r="R45" s="21"/>
      <c r="S45" s="2"/>
      <c r="T45" s="3"/>
      <c r="U45" s="2"/>
      <c r="V45" s="185" t="s">
        <v>1192</v>
      </c>
      <c r="W45" s="184" t="s">
        <v>23</v>
      </c>
      <c r="X45" s="184" t="s">
        <v>23</v>
      </c>
    </row>
    <row r="46" spans="1:24" ht="21.75" customHeight="1" x14ac:dyDescent="0.45">
      <c r="B46" s="7" t="s">
        <v>1193</v>
      </c>
      <c r="C46" s="2"/>
      <c r="D46" s="26"/>
      <c r="E46" s="27"/>
      <c r="G46" s="28" t="s">
        <v>1194</v>
      </c>
      <c r="H46" s="47"/>
      <c r="I46" s="47"/>
      <c r="J46" s="47"/>
      <c r="K46" s="60"/>
      <c r="L46" s="47"/>
      <c r="M46" s="47"/>
      <c r="N46" s="47"/>
      <c r="O46" s="47"/>
      <c r="P46" s="47"/>
      <c r="Q46" s="47"/>
      <c r="R46" s="21"/>
      <c r="S46" s="2"/>
      <c r="T46" s="3"/>
      <c r="U46" s="2"/>
      <c r="V46" s="185" t="s">
        <v>1195</v>
      </c>
      <c r="W46" s="184" t="s">
        <v>23</v>
      </c>
      <c r="X46" s="184" t="s">
        <v>23</v>
      </c>
    </row>
    <row r="47" spans="1:24" ht="21.75" customHeight="1" x14ac:dyDescent="0.45">
      <c r="B47" s="7" t="s">
        <v>1196</v>
      </c>
      <c r="C47" s="2"/>
      <c r="D47" s="26"/>
      <c r="E47" s="27"/>
      <c r="G47" s="28" t="s">
        <v>1197</v>
      </c>
      <c r="H47" s="47"/>
      <c r="I47" s="47"/>
      <c r="J47" s="47"/>
      <c r="K47" s="60"/>
      <c r="L47" s="47"/>
      <c r="M47" s="47"/>
      <c r="N47" s="47"/>
      <c r="O47" s="47"/>
      <c r="P47" s="47"/>
      <c r="Q47" s="47"/>
      <c r="R47" s="21"/>
      <c r="S47" s="2"/>
      <c r="T47" s="3"/>
      <c r="U47" s="2"/>
      <c r="V47" s="185" t="s">
        <v>1198</v>
      </c>
      <c r="W47" s="184" t="s">
        <v>23</v>
      </c>
      <c r="X47" s="184" t="s">
        <v>23</v>
      </c>
    </row>
    <row r="48" spans="1:24" ht="21.75" customHeight="1" x14ac:dyDescent="0.45">
      <c r="B48" s="7" t="s">
        <v>1199</v>
      </c>
      <c r="C48" s="2"/>
      <c r="D48" s="26"/>
      <c r="E48" s="27"/>
      <c r="G48" s="28" t="s">
        <v>1200</v>
      </c>
      <c r="H48" s="47"/>
      <c r="I48" s="47"/>
      <c r="J48" s="47"/>
      <c r="K48" s="60"/>
      <c r="L48" s="47"/>
      <c r="M48" s="47"/>
      <c r="N48" s="47"/>
      <c r="O48" s="47"/>
      <c r="P48" s="47"/>
      <c r="Q48" s="47"/>
      <c r="R48" s="21"/>
      <c r="S48" s="2"/>
      <c r="T48" s="3"/>
      <c r="U48" s="2"/>
      <c r="V48" s="185" t="s">
        <v>1201</v>
      </c>
      <c r="W48" s="184" t="s">
        <v>23</v>
      </c>
      <c r="X48" s="184" t="s">
        <v>23</v>
      </c>
    </row>
    <row r="49" spans="1:24" ht="21.75" customHeight="1" x14ac:dyDescent="0.45">
      <c r="B49" s="7" t="s">
        <v>1202</v>
      </c>
      <c r="C49" s="2"/>
      <c r="D49" s="26"/>
      <c r="E49" s="27"/>
      <c r="G49" s="28" t="s">
        <v>1203</v>
      </c>
      <c r="H49" s="47"/>
      <c r="I49" s="47"/>
      <c r="J49" s="47"/>
      <c r="K49" s="60"/>
      <c r="L49" s="47"/>
      <c r="M49" s="47"/>
      <c r="N49" s="47"/>
      <c r="O49" s="47"/>
      <c r="P49" s="47"/>
      <c r="Q49" s="47"/>
      <c r="R49" s="21"/>
      <c r="S49" s="2"/>
      <c r="T49" s="3"/>
      <c r="U49" s="2"/>
      <c r="V49" s="185" t="s">
        <v>1204</v>
      </c>
      <c r="W49" s="184" t="s">
        <v>23</v>
      </c>
      <c r="X49" s="184" t="s">
        <v>23</v>
      </c>
    </row>
    <row r="50" spans="1:24" ht="28.5" customHeight="1" x14ac:dyDescent="0.45">
      <c r="B50" s="7" t="s">
        <v>1205</v>
      </c>
      <c r="C50" s="2"/>
      <c r="D50" s="26"/>
      <c r="E50" s="27"/>
      <c r="G50" s="28" t="s">
        <v>1206</v>
      </c>
      <c r="H50" s="47"/>
      <c r="I50" s="47"/>
      <c r="J50" s="47"/>
      <c r="K50" s="60"/>
      <c r="L50" s="47"/>
      <c r="M50" s="47"/>
      <c r="N50" s="47"/>
      <c r="O50" s="47"/>
      <c r="P50" s="47"/>
      <c r="Q50" s="47"/>
      <c r="R50" s="21"/>
      <c r="S50" s="2"/>
      <c r="T50" s="3"/>
      <c r="U50" s="2"/>
      <c r="V50" s="185" t="s">
        <v>1207</v>
      </c>
      <c r="W50" s="184" t="s">
        <v>23</v>
      </c>
      <c r="X50" s="184" t="s">
        <v>23</v>
      </c>
    </row>
    <row r="51" spans="1:24" ht="42" customHeight="1" x14ac:dyDescent="0.45">
      <c r="A51" s="3" t="s">
        <v>998</v>
      </c>
      <c r="B51" s="7" t="s">
        <v>86</v>
      </c>
      <c r="C51" s="7" t="s">
        <v>1208</v>
      </c>
      <c r="D51" s="26" t="s">
        <v>1173</v>
      </c>
      <c r="E51" s="27" t="s">
        <v>1174</v>
      </c>
      <c r="F51" s="11" t="s">
        <v>1175</v>
      </c>
      <c r="G51" s="11"/>
      <c r="H51" s="47" t="s">
        <v>1209</v>
      </c>
      <c r="I51" s="47" t="s">
        <v>1177</v>
      </c>
      <c r="J51" s="47" t="s">
        <v>1178</v>
      </c>
      <c r="K51" s="60" t="s">
        <v>1082</v>
      </c>
      <c r="L51" s="61" t="str">
        <f>HYPERLINK("#Q14","Jump to conditional var")</f>
        <v>Jump to conditional var</v>
      </c>
      <c r="M51" s="47" t="s">
        <v>1179</v>
      </c>
      <c r="N51" s="47"/>
      <c r="O51" s="47"/>
      <c r="P51" s="47"/>
      <c r="Q51" s="47"/>
      <c r="R51" s="21"/>
      <c r="S51" s="2" t="s">
        <v>1210</v>
      </c>
      <c r="T51" s="3" t="s">
        <v>1181</v>
      </c>
      <c r="U51" s="2" t="s">
        <v>1182</v>
      </c>
      <c r="V51" s="185" t="s">
        <v>1211</v>
      </c>
      <c r="W51" s="184" t="s">
        <v>23</v>
      </c>
      <c r="X51" s="184" t="s">
        <v>23</v>
      </c>
    </row>
    <row r="52" spans="1:24" ht="21.75" customHeight="1" x14ac:dyDescent="0.45">
      <c r="B52" s="7" t="s">
        <v>1212</v>
      </c>
      <c r="C52" s="2"/>
      <c r="D52" s="26"/>
      <c r="E52" s="27"/>
      <c r="G52" s="8" t="s">
        <v>1213</v>
      </c>
      <c r="H52" s="47"/>
      <c r="I52" s="47"/>
      <c r="J52" s="47"/>
      <c r="K52" s="60"/>
      <c r="L52" s="47"/>
      <c r="M52" s="47"/>
      <c r="N52" s="47"/>
      <c r="O52" s="47"/>
      <c r="P52" s="47"/>
      <c r="Q52" s="47"/>
      <c r="R52" s="21"/>
      <c r="S52" s="2"/>
      <c r="T52" s="3"/>
      <c r="U52" s="2"/>
      <c r="V52" s="185" t="s">
        <v>1214</v>
      </c>
      <c r="W52" s="184" t="s">
        <v>23</v>
      </c>
      <c r="X52" s="184" t="s">
        <v>23</v>
      </c>
    </row>
    <row r="53" spans="1:24" ht="21.75" customHeight="1" x14ac:dyDescent="0.45">
      <c r="B53" s="7" t="s">
        <v>1212</v>
      </c>
      <c r="C53" s="2"/>
      <c r="D53" s="26"/>
      <c r="E53" s="27"/>
      <c r="G53" s="8" t="s">
        <v>1215</v>
      </c>
      <c r="H53" s="47"/>
      <c r="I53" s="47"/>
      <c r="J53" s="47"/>
      <c r="K53" s="60"/>
      <c r="L53" s="47"/>
      <c r="M53" s="47"/>
      <c r="N53" s="47"/>
      <c r="O53" s="47"/>
      <c r="P53" s="47"/>
      <c r="Q53" s="47"/>
      <c r="R53" s="21"/>
      <c r="S53" s="2"/>
      <c r="T53" s="3"/>
      <c r="U53" s="2"/>
      <c r="V53" s="185" t="s">
        <v>1216</v>
      </c>
      <c r="W53" s="184" t="s">
        <v>23</v>
      </c>
      <c r="X53" s="184" t="s">
        <v>23</v>
      </c>
    </row>
    <row r="54" spans="1:24" ht="21.75" customHeight="1" x14ac:dyDescent="0.45">
      <c r="B54" s="7" t="s">
        <v>1217</v>
      </c>
      <c r="C54" s="2"/>
      <c r="D54" s="26"/>
      <c r="E54" s="27"/>
      <c r="G54" s="8" t="s">
        <v>1218</v>
      </c>
      <c r="H54" s="47"/>
      <c r="I54" s="47"/>
      <c r="J54" s="47"/>
      <c r="K54" s="60"/>
      <c r="L54" s="47"/>
      <c r="M54" s="47"/>
      <c r="N54" s="47"/>
      <c r="O54" s="47"/>
      <c r="P54" s="47"/>
      <c r="Q54" s="47"/>
      <c r="R54" s="21"/>
      <c r="S54" s="2"/>
      <c r="T54" s="3"/>
      <c r="U54" s="2"/>
      <c r="V54" s="185" t="s">
        <v>1219</v>
      </c>
      <c r="W54" s="184" t="s">
        <v>23</v>
      </c>
      <c r="X54" s="184" t="s">
        <v>23</v>
      </c>
    </row>
    <row r="55" spans="1:24" ht="21.75" customHeight="1" x14ac:dyDescent="0.45">
      <c r="B55" s="7" t="s">
        <v>1220</v>
      </c>
      <c r="C55" s="2"/>
      <c r="D55" s="26"/>
      <c r="E55" s="27"/>
      <c r="G55" s="8" t="s">
        <v>1221</v>
      </c>
      <c r="H55" s="47"/>
      <c r="I55" s="47"/>
      <c r="J55" s="47"/>
      <c r="K55" s="60"/>
      <c r="L55" s="47"/>
      <c r="M55" s="47"/>
      <c r="N55" s="47"/>
      <c r="O55" s="47"/>
      <c r="P55" s="47"/>
      <c r="Q55" s="47"/>
      <c r="R55" s="21"/>
      <c r="S55" s="2"/>
      <c r="T55" s="3"/>
      <c r="U55" s="7"/>
      <c r="V55" s="185" t="s">
        <v>1222</v>
      </c>
      <c r="W55" s="184" t="s">
        <v>23</v>
      </c>
      <c r="X55" s="184" t="s">
        <v>23</v>
      </c>
    </row>
    <row r="56" spans="1:24" ht="21.75" customHeight="1" x14ac:dyDescent="0.45">
      <c r="B56" s="7" t="s">
        <v>1223</v>
      </c>
      <c r="C56" s="2"/>
      <c r="D56" s="26"/>
      <c r="E56" s="27"/>
      <c r="G56" s="8" t="s">
        <v>1224</v>
      </c>
      <c r="H56" s="47"/>
      <c r="I56" s="47"/>
      <c r="J56" s="47"/>
      <c r="K56" s="60"/>
      <c r="L56" s="47"/>
      <c r="M56" s="47"/>
      <c r="N56" s="47"/>
      <c r="O56" s="47"/>
      <c r="P56" s="47"/>
      <c r="Q56" s="47"/>
      <c r="R56" s="21"/>
      <c r="S56" s="2"/>
      <c r="T56" s="3"/>
      <c r="U56" s="2"/>
      <c r="V56" s="185" t="s">
        <v>1225</v>
      </c>
      <c r="W56" s="184" t="s">
        <v>23</v>
      </c>
      <c r="X56" s="184" t="s">
        <v>23</v>
      </c>
    </row>
    <row r="57" spans="1:24" ht="21.75" customHeight="1" x14ac:dyDescent="0.45">
      <c r="B57" s="7" t="s">
        <v>1226</v>
      </c>
      <c r="C57" s="2"/>
      <c r="D57" s="26"/>
      <c r="E57" s="27"/>
      <c r="G57" s="8" t="s">
        <v>1227</v>
      </c>
      <c r="H57" s="47"/>
      <c r="I57" s="47"/>
      <c r="J57" s="47"/>
      <c r="K57" s="60"/>
      <c r="L57" s="47"/>
      <c r="M57" s="47"/>
      <c r="N57" s="47"/>
      <c r="O57" s="47"/>
      <c r="P57" s="47"/>
      <c r="Q57" s="47"/>
      <c r="R57" s="21"/>
      <c r="S57" s="2"/>
      <c r="T57" s="3"/>
      <c r="U57" s="2"/>
      <c r="V57" s="185" t="s">
        <v>1228</v>
      </c>
      <c r="W57" s="184" t="s">
        <v>23</v>
      </c>
      <c r="X57" s="184" t="s">
        <v>23</v>
      </c>
    </row>
    <row r="58" spans="1:24" ht="21.75" customHeight="1" x14ac:dyDescent="0.45">
      <c r="B58" s="7" t="s">
        <v>1229</v>
      </c>
      <c r="C58" s="2"/>
      <c r="D58" s="26"/>
      <c r="E58" s="27"/>
      <c r="G58" s="8" t="s">
        <v>1230</v>
      </c>
      <c r="H58" s="47"/>
      <c r="I58" s="47"/>
      <c r="J58" s="47"/>
      <c r="K58" s="60"/>
      <c r="L58" s="47"/>
      <c r="M58" s="47"/>
      <c r="N58" s="47"/>
      <c r="O58" s="47"/>
      <c r="P58" s="47"/>
      <c r="Q58" s="47"/>
      <c r="R58" s="21"/>
      <c r="S58" s="2"/>
      <c r="T58" s="3"/>
      <c r="U58" s="2"/>
      <c r="V58" s="185" t="s">
        <v>1231</v>
      </c>
      <c r="W58" s="184" t="s">
        <v>23</v>
      </c>
      <c r="X58" s="184" t="s">
        <v>23</v>
      </c>
    </row>
    <row r="59" spans="1:24" ht="21.75" customHeight="1" x14ac:dyDescent="0.45">
      <c r="B59" s="7" t="s">
        <v>1232</v>
      </c>
      <c r="C59" s="2"/>
      <c r="D59" s="26"/>
      <c r="E59" s="27"/>
      <c r="G59" s="8" t="s">
        <v>1233</v>
      </c>
      <c r="H59" s="47"/>
      <c r="I59" s="47"/>
      <c r="J59" s="47"/>
      <c r="K59" s="60"/>
      <c r="L59" s="47"/>
      <c r="M59" s="47"/>
      <c r="N59" s="47"/>
      <c r="O59" s="47"/>
      <c r="P59" s="47"/>
      <c r="Q59" s="47"/>
      <c r="R59" s="21"/>
      <c r="S59" s="2"/>
      <c r="T59" s="3"/>
      <c r="U59" s="2"/>
      <c r="V59" s="185" t="s">
        <v>1234</v>
      </c>
      <c r="W59" s="184" t="s">
        <v>23</v>
      </c>
      <c r="X59" s="184" t="s">
        <v>23</v>
      </c>
    </row>
    <row r="60" spans="1:24" ht="19.5" customHeight="1" x14ac:dyDescent="0.45">
      <c r="B60" s="7" t="s">
        <v>1235</v>
      </c>
      <c r="C60" s="2"/>
      <c r="D60" s="26"/>
      <c r="E60" s="27"/>
      <c r="G60" s="8" t="s">
        <v>1236</v>
      </c>
      <c r="H60" s="47"/>
      <c r="I60" s="47"/>
      <c r="J60" s="47"/>
      <c r="K60" s="60"/>
      <c r="L60" s="47"/>
      <c r="M60" s="47"/>
      <c r="N60" s="47"/>
      <c r="O60" s="47"/>
      <c r="P60" s="47"/>
      <c r="Q60" s="47"/>
      <c r="R60" s="21"/>
      <c r="S60" s="2"/>
      <c r="T60" s="3"/>
      <c r="U60" s="2"/>
      <c r="V60" s="185" t="s">
        <v>1237</v>
      </c>
      <c r="W60" s="184" t="s">
        <v>23</v>
      </c>
      <c r="X60" s="184" t="s">
        <v>23</v>
      </c>
    </row>
    <row r="61" spans="1:24" ht="19.5" customHeight="1" x14ac:dyDescent="0.45">
      <c r="B61" s="7" t="s">
        <v>1238</v>
      </c>
      <c r="C61" s="2"/>
      <c r="D61" s="26"/>
      <c r="E61" s="27"/>
      <c r="G61" s="8" t="s">
        <v>1239</v>
      </c>
      <c r="H61" s="47"/>
      <c r="I61" s="47"/>
      <c r="J61" s="47"/>
      <c r="K61" s="60"/>
      <c r="L61" s="47"/>
      <c r="M61" s="47"/>
      <c r="N61" s="47"/>
      <c r="O61" s="47"/>
      <c r="P61" s="47"/>
      <c r="Q61" s="47"/>
      <c r="R61" s="21"/>
      <c r="S61" s="2"/>
      <c r="T61" s="3"/>
      <c r="U61" s="2"/>
      <c r="V61" s="185" t="s">
        <v>1240</v>
      </c>
      <c r="W61" s="184" t="s">
        <v>23</v>
      </c>
      <c r="X61" s="184" t="s">
        <v>23</v>
      </c>
    </row>
    <row r="62" spans="1:24" ht="84" customHeight="1" x14ac:dyDescent="0.45">
      <c r="A62" s="3" t="s">
        <v>998</v>
      </c>
      <c r="B62" s="7" t="s">
        <v>1241</v>
      </c>
      <c r="C62" s="7" t="s">
        <v>1242</v>
      </c>
      <c r="D62" s="33" t="s">
        <v>1243</v>
      </c>
      <c r="E62" s="27" t="s">
        <v>1244</v>
      </c>
      <c r="F62" s="11" t="s">
        <v>1132</v>
      </c>
      <c r="G62" s="11"/>
      <c r="H62" s="47" t="s">
        <v>1133</v>
      </c>
      <c r="I62" s="47" t="s">
        <v>1043</v>
      </c>
      <c r="J62" s="47" t="s">
        <v>1245</v>
      </c>
      <c r="K62" s="47" t="s">
        <v>1005</v>
      </c>
      <c r="L62" s="47" t="s">
        <v>1246</v>
      </c>
      <c r="M62" s="47" t="s">
        <v>1006</v>
      </c>
      <c r="N62" s="47"/>
      <c r="O62" s="47" t="s">
        <v>1115</v>
      </c>
      <c r="P62" s="47"/>
      <c r="Q62" s="47"/>
      <c r="R62" s="21"/>
      <c r="S62" s="2"/>
      <c r="T62" s="3"/>
      <c r="U62" s="2"/>
      <c r="V62" s="185" t="s">
        <v>1247</v>
      </c>
      <c r="W62" s="184" t="s">
        <v>23</v>
      </c>
      <c r="X62" s="184" t="s">
        <v>23</v>
      </c>
    </row>
    <row r="63" spans="1:24" ht="19.5" customHeight="1" x14ac:dyDescent="0.45">
      <c r="B63" s="7" t="s">
        <v>57</v>
      </c>
      <c r="C63" s="2"/>
      <c r="D63" s="33"/>
      <c r="E63" s="27"/>
      <c r="G63" s="8" t="s">
        <v>1154</v>
      </c>
      <c r="H63" s="47"/>
      <c r="I63" s="47"/>
      <c r="J63" s="47"/>
      <c r="K63" s="60"/>
      <c r="L63" s="47"/>
      <c r="M63" s="47"/>
      <c r="N63" s="47"/>
      <c r="O63" s="47"/>
      <c r="P63" s="47"/>
      <c r="Q63" s="90" t="s">
        <v>56</v>
      </c>
      <c r="S63" s="29"/>
      <c r="T63" s="29"/>
      <c r="U63" s="29"/>
      <c r="V63" s="185" t="s">
        <v>1248</v>
      </c>
      <c r="W63" s="184" t="s">
        <v>23</v>
      </c>
      <c r="X63" s="184" t="s">
        <v>23</v>
      </c>
    </row>
    <row r="64" spans="1:24" ht="15.75" customHeight="1" x14ac:dyDescent="0.25">
      <c r="B64" s="7" t="s">
        <v>62</v>
      </c>
      <c r="C64" s="2"/>
      <c r="D64" s="2"/>
      <c r="E64" s="11"/>
      <c r="G64" s="34" t="s">
        <v>1249</v>
      </c>
      <c r="N64" s="47"/>
      <c r="O64" s="47"/>
      <c r="P64" s="47"/>
      <c r="Q64" s="90" t="s">
        <v>61</v>
      </c>
      <c r="S64" s="29"/>
      <c r="T64" s="29"/>
      <c r="U64" s="29"/>
      <c r="V64" s="185" t="s">
        <v>1250</v>
      </c>
      <c r="W64" s="184" t="s">
        <v>23</v>
      </c>
      <c r="X64" s="184" t="s">
        <v>23</v>
      </c>
    </row>
    <row r="65" spans="1:24" s="63" customFormat="1" ht="21.95" customHeight="1" x14ac:dyDescent="0.25">
      <c r="B65" s="69" t="s">
        <v>1251</v>
      </c>
      <c r="E65" s="71"/>
      <c r="F65" s="71"/>
      <c r="G65" s="71"/>
      <c r="H65" s="67"/>
      <c r="I65" s="67"/>
      <c r="J65" s="67"/>
      <c r="K65" s="67"/>
      <c r="L65" s="67"/>
      <c r="M65" s="67"/>
      <c r="N65" s="67"/>
      <c r="O65" s="67"/>
      <c r="P65" s="67"/>
      <c r="Q65" s="67"/>
      <c r="R65" s="68"/>
      <c r="W65" s="67"/>
    </row>
    <row r="66" spans="1:24" ht="42" customHeight="1" x14ac:dyDescent="0.25">
      <c r="A66" s="38" t="s">
        <v>1018</v>
      </c>
      <c r="B66" s="41" t="s">
        <v>1252</v>
      </c>
      <c r="C66" s="41" t="s">
        <v>1016</v>
      </c>
      <c r="D66" s="40" t="s">
        <v>1253</v>
      </c>
      <c r="E66" s="56" t="s">
        <v>1254</v>
      </c>
      <c r="G66" s="56" t="s">
        <v>1255</v>
      </c>
      <c r="H66" s="47" t="s">
        <v>1042</v>
      </c>
      <c r="I66" s="47" t="s">
        <v>1043</v>
      </c>
      <c r="J66" s="47" t="s">
        <v>1096</v>
      </c>
      <c r="K66" s="47" t="s">
        <v>1005</v>
      </c>
      <c r="L66" s="47"/>
      <c r="M66" s="47" t="s">
        <v>1006</v>
      </c>
      <c r="N66" s="47" t="s">
        <v>1256</v>
      </c>
      <c r="O66" s="47"/>
      <c r="P66" s="62" t="s">
        <v>1257</v>
      </c>
      <c r="Q66" s="47"/>
      <c r="R66" s="21"/>
      <c r="S66" s="2"/>
      <c r="T66" s="4" t="s">
        <v>1162</v>
      </c>
      <c r="U66" s="2" t="s">
        <v>1258</v>
      </c>
      <c r="V66" s="184" t="s">
        <v>23</v>
      </c>
      <c r="W66" s="184" t="s">
        <v>23</v>
      </c>
      <c r="X66" s="186" t="s">
        <v>1259</v>
      </c>
    </row>
    <row r="67" spans="1:24" ht="132" customHeight="1" x14ac:dyDescent="0.25">
      <c r="A67" s="38" t="s">
        <v>1018</v>
      </c>
      <c r="B67" s="41" t="s">
        <v>1260</v>
      </c>
      <c r="C67" s="41" t="s">
        <v>1016</v>
      </c>
      <c r="D67" s="40" t="s">
        <v>1261</v>
      </c>
      <c r="E67" s="56" t="s">
        <v>1262</v>
      </c>
      <c r="F67" s="11"/>
      <c r="G67" s="54" t="s">
        <v>1263</v>
      </c>
      <c r="H67" s="47" t="s">
        <v>1264</v>
      </c>
      <c r="I67" s="47" t="s">
        <v>1043</v>
      </c>
      <c r="J67" s="47" t="s">
        <v>1265</v>
      </c>
      <c r="K67" s="47" t="s">
        <v>1005</v>
      </c>
      <c r="L67" s="62" t="s">
        <v>1266</v>
      </c>
      <c r="M67" s="47" t="s">
        <v>1006</v>
      </c>
      <c r="N67" s="47"/>
      <c r="O67" s="47"/>
      <c r="P67" s="62" t="s">
        <v>1267</v>
      </c>
      <c r="Q67" s="47"/>
      <c r="R67" s="21"/>
      <c r="S67" s="2"/>
      <c r="T67" s="3" t="s">
        <v>1268</v>
      </c>
      <c r="U67" s="2" t="s">
        <v>1269</v>
      </c>
      <c r="V67" s="184" t="s">
        <v>23</v>
      </c>
      <c r="W67" s="184" t="s">
        <v>23</v>
      </c>
      <c r="X67" s="186" t="s">
        <v>1270</v>
      </c>
    </row>
    <row r="68" spans="1:24" ht="42" customHeight="1" x14ac:dyDescent="0.25">
      <c r="A68" s="38" t="s">
        <v>1018</v>
      </c>
      <c r="B68" s="41" t="s">
        <v>1271</v>
      </c>
      <c r="C68" s="41" t="s">
        <v>1016</v>
      </c>
      <c r="D68" s="40" t="s">
        <v>1272</v>
      </c>
      <c r="E68" s="11"/>
      <c r="F68" s="11"/>
      <c r="G68" s="54" t="s">
        <v>1273</v>
      </c>
      <c r="H68" s="47" t="s">
        <v>1042</v>
      </c>
      <c r="I68" s="47" t="s">
        <v>1043</v>
      </c>
      <c r="J68" s="47" t="s">
        <v>1096</v>
      </c>
      <c r="K68" s="47" t="s">
        <v>1005</v>
      </c>
      <c r="L68" s="62" t="s">
        <v>1274</v>
      </c>
      <c r="M68" s="47" t="s">
        <v>1006</v>
      </c>
      <c r="N68" s="47"/>
      <c r="O68" s="47"/>
      <c r="P68" s="62" t="s">
        <v>1275</v>
      </c>
      <c r="Q68" s="47"/>
      <c r="R68" s="21"/>
      <c r="S68" s="2"/>
      <c r="T68" s="3" t="s">
        <v>1098</v>
      </c>
      <c r="U68" s="2" t="s">
        <v>1276</v>
      </c>
      <c r="V68" s="184" t="s">
        <v>23</v>
      </c>
      <c r="W68" s="184" t="s">
        <v>23</v>
      </c>
      <c r="X68" s="186" t="s">
        <v>1277</v>
      </c>
    </row>
    <row r="69" spans="1:24" ht="42" customHeight="1" x14ac:dyDescent="0.25">
      <c r="A69" s="38" t="s">
        <v>1018</v>
      </c>
      <c r="B69" s="41" t="s">
        <v>1278</v>
      </c>
      <c r="C69" s="41" t="s">
        <v>1016</v>
      </c>
      <c r="D69" s="40" t="s">
        <v>1279</v>
      </c>
      <c r="E69" s="11"/>
      <c r="F69" s="11"/>
      <c r="G69" s="54" t="s">
        <v>1280</v>
      </c>
      <c r="H69" s="47" t="s">
        <v>1281</v>
      </c>
      <c r="I69" s="47" t="s">
        <v>1043</v>
      </c>
      <c r="J69" s="47" t="s">
        <v>1096</v>
      </c>
      <c r="K69" s="47" t="s">
        <v>1005</v>
      </c>
      <c r="L69" s="47"/>
      <c r="M69" s="47" t="s">
        <v>1006</v>
      </c>
      <c r="N69" s="47"/>
      <c r="O69" s="47"/>
      <c r="P69" s="62" t="s">
        <v>1282</v>
      </c>
      <c r="Q69" s="47"/>
      <c r="R69" s="21"/>
      <c r="S69" s="2"/>
      <c r="T69" s="3" t="s">
        <v>1098</v>
      </c>
      <c r="U69" s="2" t="s">
        <v>1283</v>
      </c>
      <c r="V69" s="184" t="s">
        <v>23</v>
      </c>
      <c r="W69" s="184" t="s">
        <v>23</v>
      </c>
      <c r="X69" s="186" t="s">
        <v>1284</v>
      </c>
    </row>
    <row r="70" spans="1:24" s="63" customFormat="1" ht="21.95" customHeight="1" x14ac:dyDescent="0.25">
      <c r="B70" s="64" t="s">
        <v>1285</v>
      </c>
      <c r="E70" s="71"/>
      <c r="F70" s="71"/>
      <c r="G70" s="71"/>
      <c r="H70" s="67"/>
      <c r="I70" s="67"/>
      <c r="J70" s="67"/>
      <c r="K70" s="67"/>
      <c r="L70" s="67"/>
      <c r="M70" s="67"/>
      <c r="N70" s="67"/>
      <c r="O70" s="67"/>
      <c r="P70" s="67"/>
      <c r="Q70" s="67"/>
      <c r="R70" s="68"/>
      <c r="W70" s="67"/>
    </row>
    <row r="71" spans="1:24" ht="42" customHeight="1" x14ac:dyDescent="0.25">
      <c r="A71" s="3" t="s">
        <v>998</v>
      </c>
      <c r="B71" s="7" t="s">
        <v>90</v>
      </c>
      <c r="C71" s="7" t="s">
        <v>1286</v>
      </c>
      <c r="D71" s="10" t="s">
        <v>1287</v>
      </c>
      <c r="E71" s="35" t="s">
        <v>1288</v>
      </c>
      <c r="F71" s="11"/>
      <c r="G71" s="8" t="s">
        <v>1289</v>
      </c>
      <c r="H71" s="47" t="s">
        <v>1290</v>
      </c>
      <c r="I71" s="47" t="s">
        <v>1291</v>
      </c>
      <c r="J71" s="47" t="s">
        <v>1292</v>
      </c>
      <c r="K71" s="59" t="s">
        <v>1055</v>
      </c>
      <c r="L71" s="47" t="s">
        <v>1293</v>
      </c>
      <c r="M71" s="47"/>
      <c r="N71" s="47"/>
      <c r="O71" s="47" t="s">
        <v>1135</v>
      </c>
      <c r="P71" s="47" t="s">
        <v>1294</v>
      </c>
      <c r="Q71" s="47"/>
      <c r="R71" s="21"/>
      <c r="S71" s="2"/>
      <c r="T71" s="4" t="s">
        <v>1295</v>
      </c>
      <c r="U71" s="2" t="s">
        <v>1296</v>
      </c>
      <c r="V71" s="184" t="s">
        <v>23</v>
      </c>
      <c r="W71" s="187" t="s">
        <v>1297</v>
      </c>
      <c r="X71" s="184" t="s">
        <v>23</v>
      </c>
    </row>
    <row r="72" spans="1:24" ht="42" customHeight="1" x14ac:dyDescent="0.25">
      <c r="A72" s="3" t="s">
        <v>998</v>
      </c>
      <c r="B72" s="7" t="s">
        <v>95</v>
      </c>
      <c r="C72" s="7" t="s">
        <v>1298</v>
      </c>
      <c r="D72" s="10" t="s">
        <v>1299</v>
      </c>
      <c r="E72" s="35" t="s">
        <v>1288</v>
      </c>
      <c r="F72" s="11"/>
      <c r="G72" s="8" t="s">
        <v>1300</v>
      </c>
      <c r="H72" s="47" t="s">
        <v>1290</v>
      </c>
      <c r="I72" s="47" t="s">
        <v>1291</v>
      </c>
      <c r="J72" s="47" t="s">
        <v>1292</v>
      </c>
      <c r="K72" s="59" t="s">
        <v>1055</v>
      </c>
      <c r="L72" s="47" t="s">
        <v>1301</v>
      </c>
      <c r="M72" s="47"/>
      <c r="N72" s="47"/>
      <c r="O72" s="47" t="s">
        <v>1135</v>
      </c>
      <c r="P72" s="47"/>
      <c r="Q72" s="47"/>
      <c r="R72" s="21"/>
      <c r="S72" s="2"/>
      <c r="T72" s="3" t="s">
        <v>1302</v>
      </c>
      <c r="U72" s="2" t="s">
        <v>1303</v>
      </c>
      <c r="V72" s="184" t="s">
        <v>23</v>
      </c>
      <c r="W72" s="187" t="s">
        <v>1304</v>
      </c>
      <c r="X72" s="184" t="s">
        <v>23</v>
      </c>
    </row>
    <row r="73" spans="1:24" ht="42" customHeight="1" x14ac:dyDescent="0.25">
      <c r="A73" s="3" t="s">
        <v>998</v>
      </c>
      <c r="B73" s="7" t="s">
        <v>100</v>
      </c>
      <c r="C73" s="7" t="s">
        <v>1298</v>
      </c>
      <c r="D73" s="10" t="s">
        <v>1299</v>
      </c>
      <c r="E73" s="35" t="s">
        <v>1288</v>
      </c>
      <c r="F73" s="11"/>
      <c r="G73" s="8" t="s">
        <v>1305</v>
      </c>
      <c r="H73" s="47" t="s">
        <v>1290</v>
      </c>
      <c r="I73" s="47" t="s">
        <v>1291</v>
      </c>
      <c r="J73" s="47" t="s">
        <v>1292</v>
      </c>
      <c r="K73" s="59" t="s">
        <v>1055</v>
      </c>
      <c r="L73" s="47" t="s">
        <v>1306</v>
      </c>
      <c r="M73" s="47"/>
      <c r="N73" s="47"/>
      <c r="O73" s="47" t="s">
        <v>1135</v>
      </c>
      <c r="P73" s="47"/>
      <c r="Q73" s="47"/>
      <c r="R73" s="21"/>
      <c r="S73" s="2"/>
      <c r="T73" s="3" t="s">
        <v>1302</v>
      </c>
      <c r="U73" s="2" t="s">
        <v>1303</v>
      </c>
      <c r="V73" s="184" t="s">
        <v>23</v>
      </c>
      <c r="W73" s="187" t="s">
        <v>1307</v>
      </c>
      <c r="X73" s="184" t="s">
        <v>23</v>
      </c>
    </row>
    <row r="74" spans="1:24" ht="42" customHeight="1" x14ac:dyDescent="0.25">
      <c r="A74" s="3" t="s">
        <v>998</v>
      </c>
      <c r="B74" s="7" t="s">
        <v>104</v>
      </c>
      <c r="C74" s="7" t="s">
        <v>1298</v>
      </c>
      <c r="D74" s="10" t="s">
        <v>1299</v>
      </c>
      <c r="E74" s="35" t="s">
        <v>1288</v>
      </c>
      <c r="F74" s="11"/>
      <c r="G74" s="8" t="s">
        <v>1308</v>
      </c>
      <c r="H74" s="47" t="s">
        <v>1290</v>
      </c>
      <c r="I74" s="47" t="s">
        <v>1291</v>
      </c>
      <c r="J74" s="47" t="s">
        <v>1292</v>
      </c>
      <c r="K74" s="59" t="s">
        <v>1055</v>
      </c>
      <c r="L74" s="47" t="s">
        <v>1309</v>
      </c>
      <c r="M74" s="47"/>
      <c r="N74" s="47"/>
      <c r="O74" s="47" t="s">
        <v>1135</v>
      </c>
      <c r="P74" s="47"/>
      <c r="Q74" s="47"/>
      <c r="R74" s="21"/>
      <c r="S74" s="2"/>
      <c r="T74" s="3" t="s">
        <v>1302</v>
      </c>
      <c r="U74" s="2" t="s">
        <v>1303</v>
      </c>
      <c r="V74" s="184" t="s">
        <v>23</v>
      </c>
      <c r="W74" s="187" t="s">
        <v>1310</v>
      </c>
      <c r="X74" s="184" t="s">
        <v>23</v>
      </c>
    </row>
    <row r="75" spans="1:24" ht="42" customHeight="1" x14ac:dyDescent="0.25">
      <c r="A75" s="3" t="s">
        <v>998</v>
      </c>
      <c r="B75" s="7" t="s">
        <v>107</v>
      </c>
      <c r="C75" s="7" t="s">
        <v>1298</v>
      </c>
      <c r="D75" s="10" t="s">
        <v>1299</v>
      </c>
      <c r="E75" s="35" t="s">
        <v>1288</v>
      </c>
      <c r="F75" s="11"/>
      <c r="G75" s="8" t="s">
        <v>1311</v>
      </c>
      <c r="H75" s="47" t="s">
        <v>1290</v>
      </c>
      <c r="I75" s="47" t="s">
        <v>1291</v>
      </c>
      <c r="J75" s="47" t="s">
        <v>1292</v>
      </c>
      <c r="K75" s="59" t="s">
        <v>1055</v>
      </c>
      <c r="L75" s="47" t="s">
        <v>1312</v>
      </c>
      <c r="M75" s="47"/>
      <c r="N75" s="47"/>
      <c r="O75" s="47" t="s">
        <v>1135</v>
      </c>
      <c r="P75" s="47"/>
      <c r="Q75" s="47"/>
      <c r="R75" s="21"/>
      <c r="S75" s="2"/>
      <c r="T75" s="3" t="s">
        <v>1302</v>
      </c>
      <c r="U75" s="2" t="s">
        <v>1303</v>
      </c>
      <c r="V75" s="184" t="s">
        <v>23</v>
      </c>
      <c r="W75" s="187" t="s">
        <v>1313</v>
      </c>
      <c r="X75" s="184" t="s">
        <v>23</v>
      </c>
    </row>
    <row r="76" spans="1:24" ht="42" customHeight="1" x14ac:dyDescent="0.25">
      <c r="A76" s="3" t="s">
        <v>998</v>
      </c>
      <c r="B76" s="7" t="s">
        <v>109</v>
      </c>
      <c r="C76" s="7" t="s">
        <v>1298</v>
      </c>
      <c r="D76" s="10" t="s">
        <v>1299</v>
      </c>
      <c r="E76" s="35" t="s">
        <v>1288</v>
      </c>
      <c r="F76" s="11"/>
      <c r="G76" s="8" t="s">
        <v>1314</v>
      </c>
      <c r="H76" s="47" t="s">
        <v>1290</v>
      </c>
      <c r="I76" s="47" t="s">
        <v>1291</v>
      </c>
      <c r="J76" s="47" t="s">
        <v>1292</v>
      </c>
      <c r="K76" s="59" t="s">
        <v>1055</v>
      </c>
      <c r="L76" s="47" t="s">
        <v>1315</v>
      </c>
      <c r="M76" s="47"/>
      <c r="N76" s="47"/>
      <c r="O76" s="47" t="s">
        <v>1135</v>
      </c>
      <c r="P76" s="47"/>
      <c r="Q76" s="47"/>
      <c r="R76" s="21"/>
      <c r="S76" s="2"/>
      <c r="T76" s="3" t="s">
        <v>1302</v>
      </c>
      <c r="U76" s="2" t="s">
        <v>1303</v>
      </c>
      <c r="V76" s="184" t="s">
        <v>23</v>
      </c>
      <c r="W76" s="187" t="s">
        <v>1316</v>
      </c>
      <c r="X76" s="184" t="s">
        <v>23</v>
      </c>
    </row>
    <row r="77" spans="1:24" ht="42" customHeight="1" x14ac:dyDescent="0.25">
      <c r="A77" s="3" t="s">
        <v>998</v>
      </c>
      <c r="B77" s="7" t="s">
        <v>112</v>
      </c>
      <c r="C77" s="7" t="s">
        <v>1298</v>
      </c>
      <c r="D77" s="10" t="s">
        <v>1317</v>
      </c>
      <c r="E77" s="35"/>
      <c r="F77" s="11"/>
      <c r="G77" s="8" t="s">
        <v>1318</v>
      </c>
      <c r="H77" s="47" t="s">
        <v>1290</v>
      </c>
      <c r="I77" s="47" t="s">
        <v>1291</v>
      </c>
      <c r="J77" s="47" t="s">
        <v>1292</v>
      </c>
      <c r="K77" s="59" t="s">
        <v>1055</v>
      </c>
      <c r="L77" s="47"/>
      <c r="M77" s="47" t="s">
        <v>1006</v>
      </c>
      <c r="N77" s="47"/>
      <c r="O77" s="47" t="s">
        <v>1135</v>
      </c>
      <c r="P77" s="47" t="s">
        <v>1319</v>
      </c>
      <c r="Q77" s="47"/>
      <c r="R77" s="21"/>
      <c r="S77" s="2"/>
      <c r="T77" s="3"/>
      <c r="U77" s="2"/>
      <c r="V77" s="184" t="s">
        <v>23</v>
      </c>
      <c r="W77" s="187" t="s">
        <v>1320</v>
      </c>
      <c r="X77" s="184" t="s">
        <v>23</v>
      </c>
    </row>
    <row r="78" spans="1:24" ht="42" customHeight="1" x14ac:dyDescent="0.25">
      <c r="A78" s="3" t="s">
        <v>998</v>
      </c>
      <c r="B78" s="7" t="s">
        <v>117</v>
      </c>
      <c r="C78" s="7" t="s">
        <v>1298</v>
      </c>
      <c r="D78" s="10" t="s">
        <v>1321</v>
      </c>
      <c r="E78" s="35" t="s">
        <v>1322</v>
      </c>
      <c r="F78" s="11"/>
      <c r="G78" s="11" t="s">
        <v>1323</v>
      </c>
      <c r="H78" s="47" t="s">
        <v>1324</v>
      </c>
      <c r="I78" s="47" t="s">
        <v>1043</v>
      </c>
      <c r="J78" s="47" t="s">
        <v>1096</v>
      </c>
      <c r="K78" s="47" t="s">
        <v>1005</v>
      </c>
      <c r="L78" s="47"/>
      <c r="M78" s="47" t="s">
        <v>1006</v>
      </c>
      <c r="N78" s="47"/>
      <c r="O78" s="47" t="s">
        <v>1135</v>
      </c>
      <c r="P78" s="47" t="s">
        <v>1325</v>
      </c>
      <c r="Q78" s="47"/>
      <c r="R78" s="21"/>
      <c r="S78" s="2"/>
      <c r="T78" s="3"/>
      <c r="U78" s="2"/>
      <c r="V78" s="184" t="s">
        <v>23</v>
      </c>
      <c r="W78" s="187" t="s">
        <v>1326</v>
      </c>
      <c r="X78" s="184" t="s">
        <v>23</v>
      </c>
    </row>
    <row r="79" spans="1:24" ht="42" customHeight="1" x14ac:dyDescent="0.25">
      <c r="A79" s="3" t="s">
        <v>998</v>
      </c>
      <c r="B79" s="7" t="s">
        <v>122</v>
      </c>
      <c r="C79" s="7" t="s">
        <v>1298</v>
      </c>
      <c r="D79" s="10" t="s">
        <v>1327</v>
      </c>
      <c r="E79" s="35" t="s">
        <v>1328</v>
      </c>
      <c r="F79" s="11" t="s">
        <v>1329</v>
      </c>
      <c r="G79" s="8" t="s">
        <v>1330</v>
      </c>
      <c r="H79" s="46" t="s">
        <v>1331</v>
      </c>
      <c r="I79" s="47" t="s">
        <v>1291</v>
      </c>
      <c r="J79" s="47" t="s">
        <v>1332</v>
      </c>
      <c r="K79" s="47" t="s">
        <v>1005</v>
      </c>
      <c r="L79" s="47"/>
      <c r="M79" s="47" t="s">
        <v>1333</v>
      </c>
      <c r="O79" s="47" t="s">
        <v>1135</v>
      </c>
      <c r="Q79" s="47"/>
      <c r="R79" s="21"/>
      <c r="S79" s="2"/>
      <c r="T79" s="3"/>
      <c r="U79" s="2"/>
      <c r="V79" s="184" t="s">
        <v>23</v>
      </c>
      <c r="W79" s="187" t="s">
        <v>1334</v>
      </c>
      <c r="X79" s="184" t="s">
        <v>23</v>
      </c>
    </row>
    <row r="80" spans="1:24" s="63" customFormat="1" ht="21.95" customHeight="1" x14ac:dyDescent="0.25">
      <c r="B80" s="69" t="s">
        <v>1335</v>
      </c>
      <c r="E80" s="71"/>
      <c r="F80" s="71"/>
      <c r="G80" s="71"/>
      <c r="H80" s="67"/>
      <c r="I80" s="67"/>
      <c r="J80" s="67"/>
      <c r="K80" s="67"/>
      <c r="L80" s="67"/>
      <c r="M80" s="67"/>
      <c r="N80" s="67"/>
      <c r="O80" s="67"/>
      <c r="P80" s="67"/>
      <c r="Q80" s="67"/>
      <c r="R80" s="68"/>
      <c r="W80" s="67"/>
    </row>
    <row r="81" spans="1:24" ht="42" customHeight="1" x14ac:dyDescent="0.25">
      <c r="A81" s="38" t="s">
        <v>1018</v>
      </c>
      <c r="B81" s="41" t="s">
        <v>186</v>
      </c>
      <c r="C81" s="41" t="s">
        <v>1336</v>
      </c>
      <c r="D81" s="40" t="s">
        <v>1337</v>
      </c>
      <c r="E81" s="11"/>
      <c r="F81" s="11"/>
      <c r="G81" s="51" t="s">
        <v>1338</v>
      </c>
      <c r="H81" s="47" t="s">
        <v>925</v>
      </c>
      <c r="I81" s="47" t="s">
        <v>1043</v>
      </c>
      <c r="J81" s="47" t="s">
        <v>1339</v>
      </c>
      <c r="K81" s="47" t="s">
        <v>1005</v>
      </c>
      <c r="L81" s="62" t="s">
        <v>1340</v>
      </c>
      <c r="M81" s="62" t="s">
        <v>1340</v>
      </c>
      <c r="N81" s="47"/>
      <c r="O81" s="62" t="s">
        <v>1340</v>
      </c>
      <c r="P81" s="62" t="s">
        <v>1340</v>
      </c>
      <c r="Q81" s="47"/>
      <c r="R81" s="21"/>
      <c r="S81" s="2"/>
      <c r="T81" s="3" t="s">
        <v>1341</v>
      </c>
      <c r="U81" s="2" t="s">
        <v>1342</v>
      </c>
      <c r="V81" s="184" t="s">
        <v>23</v>
      </c>
      <c r="W81" s="187" t="s">
        <v>1343</v>
      </c>
      <c r="X81" s="186" t="s">
        <v>1344</v>
      </c>
    </row>
    <row r="82" spans="1:24" ht="42" customHeight="1" x14ac:dyDescent="0.25">
      <c r="A82" s="38" t="s">
        <v>1018</v>
      </c>
      <c r="B82" s="41" t="s">
        <v>195</v>
      </c>
      <c r="C82" s="41" t="s">
        <v>1336</v>
      </c>
      <c r="D82" s="43" t="s">
        <v>1345</v>
      </c>
      <c r="E82" s="42" t="s">
        <v>1346</v>
      </c>
      <c r="F82" s="11"/>
      <c r="G82" s="51" t="s">
        <v>1347</v>
      </c>
      <c r="H82" s="49" t="s">
        <v>928</v>
      </c>
      <c r="I82" s="47" t="s">
        <v>1003</v>
      </c>
      <c r="J82" s="47" t="s">
        <v>1348</v>
      </c>
      <c r="K82" s="47"/>
      <c r="L82" s="62" t="s">
        <v>1340</v>
      </c>
      <c r="M82" s="62" t="s">
        <v>1340</v>
      </c>
      <c r="N82" s="47"/>
      <c r="O82" s="62" t="s">
        <v>1340</v>
      </c>
      <c r="P82" s="62" t="s">
        <v>1340</v>
      </c>
      <c r="Q82" s="47"/>
      <c r="R82" s="21"/>
      <c r="S82" s="2"/>
      <c r="T82" s="3"/>
      <c r="U82" s="2"/>
      <c r="V82" s="184" t="s">
        <v>23</v>
      </c>
      <c r="W82" s="187" t="s">
        <v>1349</v>
      </c>
      <c r="X82" s="186" t="s">
        <v>1350</v>
      </c>
    </row>
    <row r="83" spans="1:24" ht="42" customHeight="1" x14ac:dyDescent="0.25">
      <c r="A83" s="38"/>
      <c r="B83" s="41" t="s">
        <v>1351</v>
      </c>
      <c r="C83" s="41" t="s">
        <v>1336</v>
      </c>
      <c r="D83" s="43" t="s">
        <v>1352</v>
      </c>
      <c r="E83" s="13"/>
      <c r="F83" s="51" t="s">
        <v>1353</v>
      </c>
      <c r="G83" s="51"/>
      <c r="H83" s="49" t="s">
        <v>1354</v>
      </c>
      <c r="I83" s="47" t="s">
        <v>1003</v>
      </c>
      <c r="J83" s="47" t="s">
        <v>1355</v>
      </c>
      <c r="K83" s="47"/>
      <c r="L83" s="62" t="s">
        <v>1340</v>
      </c>
      <c r="M83" s="62" t="s">
        <v>1340</v>
      </c>
      <c r="N83" s="47"/>
      <c r="O83" s="62" t="s">
        <v>1340</v>
      </c>
      <c r="P83" s="62" t="s">
        <v>1340</v>
      </c>
      <c r="Q83" s="47"/>
      <c r="R83" s="21"/>
      <c r="S83" s="2"/>
      <c r="T83" s="3"/>
      <c r="U83" s="2"/>
      <c r="V83" s="184" t="s">
        <v>23</v>
      </c>
      <c r="W83" s="187" t="s">
        <v>1356</v>
      </c>
      <c r="X83" s="186" t="s">
        <v>1357</v>
      </c>
    </row>
    <row r="84" spans="1:24" ht="42" customHeight="1" x14ac:dyDescent="0.25">
      <c r="A84" s="38" t="s">
        <v>1018</v>
      </c>
      <c r="B84" s="41" t="s">
        <v>201</v>
      </c>
      <c r="C84" s="41" t="s">
        <v>1336</v>
      </c>
      <c r="D84" s="44" t="s">
        <v>1358</v>
      </c>
      <c r="E84" s="11"/>
      <c r="F84" s="11"/>
      <c r="G84" s="51" t="s">
        <v>1359</v>
      </c>
      <c r="H84" s="46" t="s">
        <v>1360</v>
      </c>
      <c r="I84" s="47" t="s">
        <v>1003</v>
      </c>
      <c r="J84" s="47" t="s">
        <v>1361</v>
      </c>
      <c r="K84" s="47"/>
      <c r="L84" s="62" t="s">
        <v>1340</v>
      </c>
      <c r="M84" s="62" t="s">
        <v>1340</v>
      </c>
      <c r="N84" s="47"/>
      <c r="O84" s="62" t="s">
        <v>1340</v>
      </c>
      <c r="P84" s="62" t="s">
        <v>1340</v>
      </c>
      <c r="Q84" s="47"/>
      <c r="R84" s="21"/>
      <c r="S84" s="2"/>
      <c r="T84" s="3"/>
      <c r="U84" s="2"/>
      <c r="V84" s="184" t="s">
        <v>23</v>
      </c>
      <c r="W84" s="187" t="s">
        <v>1362</v>
      </c>
      <c r="X84" s="186" t="s">
        <v>1363</v>
      </c>
    </row>
    <row r="85" spans="1:24" ht="42" customHeight="1" x14ac:dyDescent="0.25">
      <c r="A85" s="38" t="s">
        <v>1018</v>
      </c>
      <c r="B85" s="41" t="s">
        <v>210</v>
      </c>
      <c r="C85" s="41" t="s">
        <v>1336</v>
      </c>
      <c r="D85" s="40" t="s">
        <v>1364</v>
      </c>
      <c r="E85" s="11"/>
      <c r="F85" s="51" t="s">
        <v>1365</v>
      </c>
      <c r="G85" s="52" t="s">
        <v>1366</v>
      </c>
      <c r="H85" s="47" t="s">
        <v>1133</v>
      </c>
      <c r="I85" s="47" t="s">
        <v>1043</v>
      </c>
      <c r="J85" s="47" t="s">
        <v>1339</v>
      </c>
      <c r="K85" s="47" t="s">
        <v>1005</v>
      </c>
      <c r="L85" s="62" t="s">
        <v>1340</v>
      </c>
      <c r="M85" s="62" t="s">
        <v>1340</v>
      </c>
      <c r="N85" s="47"/>
      <c r="O85" s="62" t="s">
        <v>1340</v>
      </c>
      <c r="P85" s="62" t="s">
        <v>1340</v>
      </c>
      <c r="Q85" s="47"/>
      <c r="R85" s="21"/>
      <c r="S85" s="2"/>
      <c r="T85" s="3" t="s">
        <v>1341</v>
      </c>
      <c r="U85" s="2" t="s">
        <v>1367</v>
      </c>
      <c r="V85" s="184" t="s">
        <v>23</v>
      </c>
      <c r="W85" s="187" t="s">
        <v>1368</v>
      </c>
      <c r="X85" s="186" t="s">
        <v>1369</v>
      </c>
    </row>
    <row r="86" spans="1:24" s="63" customFormat="1" ht="21.95" customHeight="1" x14ac:dyDescent="0.25">
      <c r="B86" s="69" t="s">
        <v>1370</v>
      </c>
      <c r="E86" s="71"/>
      <c r="F86" s="71"/>
      <c r="G86" s="71"/>
      <c r="H86" s="67"/>
      <c r="I86" s="67"/>
      <c r="J86" s="67"/>
      <c r="K86" s="67"/>
      <c r="L86" s="67"/>
      <c r="M86" s="67"/>
      <c r="N86" s="67"/>
      <c r="O86" s="67"/>
      <c r="P86" s="67"/>
      <c r="Q86" s="67"/>
      <c r="R86" s="68"/>
      <c r="V86" s="184" t="s">
        <v>23</v>
      </c>
      <c r="W86" s="187" t="s">
        <v>1371</v>
      </c>
      <c r="X86" s="184" t="s">
        <v>23</v>
      </c>
    </row>
    <row r="87" spans="1:24" ht="42" customHeight="1" x14ac:dyDescent="0.25">
      <c r="A87" s="39" t="s">
        <v>1372</v>
      </c>
      <c r="B87" s="7" t="s">
        <v>1373</v>
      </c>
      <c r="C87" s="2"/>
      <c r="D87" s="53" t="s">
        <v>1374</v>
      </c>
      <c r="E87" s="54" t="s">
        <v>1375</v>
      </c>
      <c r="F87" s="11" t="s">
        <v>1132</v>
      </c>
      <c r="G87" s="11"/>
      <c r="H87" s="47" t="s">
        <v>1112</v>
      </c>
      <c r="I87" s="47" t="s">
        <v>1043</v>
      </c>
      <c r="J87" s="47" t="s">
        <v>1376</v>
      </c>
      <c r="K87" s="47" t="s">
        <v>1005</v>
      </c>
      <c r="L87" s="47" t="s">
        <v>1377</v>
      </c>
      <c r="M87" s="47" t="s">
        <v>1114</v>
      </c>
      <c r="N87" s="47"/>
      <c r="O87" s="47" t="s">
        <v>1115</v>
      </c>
      <c r="P87" s="47" t="s">
        <v>1377</v>
      </c>
      <c r="Q87" s="47"/>
      <c r="R87" s="21"/>
      <c r="S87" s="2"/>
      <c r="T87" s="3" t="s">
        <v>1378</v>
      </c>
      <c r="U87" s="72" t="s">
        <v>1379</v>
      </c>
      <c r="V87" s="184" t="s">
        <v>23</v>
      </c>
      <c r="W87" s="187" t="s">
        <v>1380</v>
      </c>
      <c r="X87" s="186" t="s">
        <v>1381</v>
      </c>
    </row>
    <row r="88" spans="1:24" ht="14.25" customHeight="1" x14ac:dyDescent="0.25">
      <c r="A88" s="55"/>
      <c r="B88" s="29"/>
      <c r="C88" s="6"/>
      <c r="D88" s="53"/>
      <c r="E88" s="56"/>
      <c r="F88" s="57" t="s">
        <v>1382</v>
      </c>
      <c r="G88" s="58" t="s">
        <v>1383</v>
      </c>
      <c r="H88" s="48"/>
      <c r="I88" s="48"/>
      <c r="J88" s="48"/>
      <c r="K88" s="48"/>
      <c r="L88" s="48"/>
      <c r="M88" s="48"/>
      <c r="N88" s="48"/>
      <c r="O88" s="48"/>
      <c r="P88" s="48"/>
      <c r="Q88" s="48"/>
      <c r="R88" s="24"/>
      <c r="S88" s="6"/>
      <c r="T88" s="36"/>
      <c r="U88" s="6"/>
      <c r="V88" s="6"/>
    </row>
    <row r="89" spans="1:24" ht="14.25" customHeight="1" x14ac:dyDescent="0.25">
      <c r="A89" s="55"/>
      <c r="B89" s="29"/>
      <c r="C89" s="6"/>
      <c r="D89" s="53"/>
      <c r="E89" s="56"/>
      <c r="F89" s="57" t="s">
        <v>1384</v>
      </c>
      <c r="G89" s="58" t="s">
        <v>1385</v>
      </c>
      <c r="H89" s="48"/>
      <c r="I89" s="48"/>
      <c r="J89" s="48"/>
      <c r="K89" s="48"/>
      <c r="L89" s="48"/>
      <c r="M89" s="48"/>
      <c r="N89" s="48"/>
      <c r="O89" s="48"/>
      <c r="P89" s="48"/>
      <c r="Q89" s="48"/>
      <c r="R89" s="24"/>
      <c r="S89" s="6"/>
      <c r="T89" s="36"/>
      <c r="U89" s="6"/>
      <c r="V89" s="6"/>
    </row>
    <row r="90" spans="1:24" ht="14.25" customHeight="1" x14ac:dyDescent="0.25">
      <c r="A90" s="55"/>
      <c r="B90" s="29"/>
      <c r="C90" s="6"/>
      <c r="D90" s="53"/>
      <c r="E90" s="56"/>
      <c r="F90" s="57" t="s">
        <v>1386</v>
      </c>
      <c r="G90" s="58" t="s">
        <v>1387</v>
      </c>
      <c r="H90" s="48"/>
      <c r="I90" s="48"/>
      <c r="J90" s="48"/>
      <c r="K90" s="48"/>
      <c r="L90" s="48"/>
      <c r="M90" s="48"/>
      <c r="N90" s="48"/>
      <c r="O90" s="48"/>
      <c r="P90" s="48"/>
      <c r="Q90" s="48"/>
      <c r="R90" s="24"/>
      <c r="S90" s="6"/>
      <c r="T90" s="36"/>
      <c r="U90" s="6"/>
      <c r="V90" s="6"/>
    </row>
    <row r="91" spans="1:24" ht="14.25" customHeight="1" x14ac:dyDescent="0.25">
      <c r="A91" s="55"/>
      <c r="B91" s="29"/>
      <c r="C91" s="6"/>
      <c r="D91" s="53"/>
      <c r="E91" s="56"/>
      <c r="F91" s="57" t="s">
        <v>1388</v>
      </c>
      <c r="G91" s="58" t="s">
        <v>1389</v>
      </c>
      <c r="H91" s="48"/>
      <c r="I91" s="48"/>
      <c r="J91" s="48"/>
      <c r="K91" s="48"/>
      <c r="L91" s="48"/>
      <c r="M91" s="48"/>
      <c r="N91" s="48"/>
      <c r="O91" s="48"/>
      <c r="P91" s="48"/>
      <c r="Q91" s="48"/>
      <c r="R91" s="24"/>
      <c r="S91" s="6"/>
      <c r="T91" s="36"/>
      <c r="U91" s="6"/>
      <c r="V91" s="6"/>
    </row>
    <row r="92" spans="1:24" ht="14.25" customHeight="1" x14ac:dyDescent="0.25">
      <c r="A92" s="55"/>
      <c r="B92" s="29"/>
      <c r="C92" s="6"/>
      <c r="D92" s="53"/>
      <c r="E92" s="56"/>
      <c r="F92" s="57" t="s">
        <v>1390</v>
      </c>
      <c r="G92" s="58" t="s">
        <v>1391</v>
      </c>
      <c r="H92" s="48"/>
      <c r="I92" s="48"/>
      <c r="J92" s="48"/>
      <c r="K92" s="48"/>
      <c r="L92" s="48"/>
      <c r="M92" s="48"/>
      <c r="N92" s="48"/>
      <c r="O92" s="48"/>
      <c r="P92" s="48"/>
      <c r="Q92" s="48"/>
      <c r="R92" s="24"/>
      <c r="S92" s="6"/>
      <c r="T92" s="36"/>
      <c r="U92" s="6"/>
      <c r="V92" s="6"/>
    </row>
    <row r="93" spans="1:24" ht="14.25" customHeight="1" x14ac:dyDescent="0.25">
      <c r="A93" s="55"/>
      <c r="B93" s="29"/>
      <c r="C93" s="6"/>
      <c r="D93" s="53"/>
      <c r="E93" s="56"/>
      <c r="F93" s="57" t="s">
        <v>1392</v>
      </c>
      <c r="G93" s="58" t="s">
        <v>1393</v>
      </c>
      <c r="H93" s="48"/>
      <c r="I93" s="48"/>
      <c r="J93" s="48"/>
      <c r="K93" s="48"/>
      <c r="L93" s="48"/>
      <c r="M93" s="48"/>
      <c r="N93" s="48"/>
      <c r="O93" s="48"/>
      <c r="P93" s="48"/>
      <c r="Q93" s="48"/>
      <c r="R93" s="24"/>
      <c r="S93" s="6"/>
      <c r="T93" s="36"/>
      <c r="U93" s="6"/>
      <c r="V93" s="6"/>
    </row>
    <row r="94" spans="1:24" ht="14.25" customHeight="1" x14ac:dyDescent="0.25">
      <c r="A94" s="55"/>
      <c r="B94" s="29"/>
      <c r="C94" s="6"/>
      <c r="D94" s="53"/>
      <c r="E94" s="56"/>
      <c r="F94" s="57" t="s">
        <v>1394</v>
      </c>
      <c r="G94" s="58" t="s">
        <v>1395</v>
      </c>
      <c r="H94" s="48"/>
      <c r="I94" s="48"/>
      <c r="J94" s="48"/>
      <c r="K94" s="48"/>
      <c r="L94" s="48"/>
      <c r="M94" s="48"/>
      <c r="N94" s="48"/>
      <c r="O94" s="48"/>
      <c r="P94" s="48"/>
      <c r="Q94" s="48"/>
      <c r="R94" s="24"/>
      <c r="S94" s="6"/>
      <c r="T94" s="36"/>
      <c r="U94" s="6"/>
      <c r="V94" s="6"/>
    </row>
    <row r="95" spans="1:24" ht="14.25" customHeight="1" x14ac:dyDescent="0.25">
      <c r="A95" s="55"/>
      <c r="B95" s="29"/>
      <c r="C95" s="6"/>
      <c r="D95" s="53"/>
      <c r="E95" s="56"/>
      <c r="F95" s="57" t="s">
        <v>1396</v>
      </c>
      <c r="G95" s="58" t="s">
        <v>1397</v>
      </c>
      <c r="H95" s="48"/>
      <c r="I95" s="48"/>
      <c r="J95" s="48"/>
      <c r="K95" s="48"/>
      <c r="L95" s="48"/>
      <c r="M95" s="48"/>
      <c r="N95" s="48"/>
      <c r="O95" s="48"/>
      <c r="P95" s="48"/>
      <c r="Q95" s="48"/>
      <c r="R95" s="24"/>
      <c r="S95" s="6"/>
      <c r="T95" s="36"/>
      <c r="U95" s="6"/>
      <c r="V95" s="6"/>
    </row>
    <row r="96" spans="1:24" ht="14.25" customHeight="1" x14ac:dyDescent="0.25">
      <c r="A96" s="55"/>
      <c r="B96" s="29"/>
      <c r="C96" s="6"/>
      <c r="D96" s="53"/>
      <c r="E96" s="56"/>
      <c r="F96" s="57" t="s">
        <v>1398</v>
      </c>
      <c r="G96" s="58" t="s">
        <v>1399</v>
      </c>
      <c r="H96" s="48"/>
      <c r="I96" s="48"/>
      <c r="J96" s="48"/>
      <c r="K96" s="48"/>
      <c r="L96" s="48"/>
      <c r="M96" s="48"/>
      <c r="N96" s="48"/>
      <c r="O96" s="48"/>
      <c r="P96" s="48"/>
      <c r="Q96" s="48"/>
      <c r="R96" s="24"/>
      <c r="S96" s="6"/>
      <c r="T96" s="36"/>
      <c r="U96" s="6"/>
      <c r="V96" s="6"/>
    </row>
    <row r="97" spans="1:24" ht="14.25" customHeight="1" x14ac:dyDescent="0.25">
      <c r="A97" s="55"/>
      <c r="B97" s="29"/>
      <c r="C97" s="6"/>
      <c r="D97" s="53"/>
      <c r="E97" s="56"/>
      <c r="F97" s="57" t="s">
        <v>1400</v>
      </c>
      <c r="G97" s="58" t="s">
        <v>1401</v>
      </c>
      <c r="H97" s="48"/>
      <c r="I97" s="48"/>
      <c r="J97" s="48"/>
      <c r="K97" s="48"/>
      <c r="L97" s="48"/>
      <c r="M97" s="48"/>
      <c r="N97" s="48"/>
      <c r="O97" s="48"/>
      <c r="P97" s="48"/>
      <c r="Q97" s="48"/>
      <c r="R97" s="24"/>
      <c r="S97" s="6"/>
      <c r="T97" s="36"/>
      <c r="U97" s="6"/>
      <c r="V97" s="6"/>
    </row>
    <row r="98" spans="1:24" ht="14.25" customHeight="1" x14ac:dyDescent="0.25">
      <c r="A98" s="55"/>
      <c r="B98" s="29"/>
      <c r="C98" s="6"/>
      <c r="D98" s="53"/>
      <c r="E98" s="56"/>
      <c r="F98" s="57" t="s">
        <v>1402</v>
      </c>
      <c r="G98" s="58" t="s">
        <v>1403</v>
      </c>
      <c r="H98" s="48"/>
      <c r="I98" s="48"/>
      <c r="J98" s="48"/>
      <c r="K98" s="48"/>
      <c r="L98" s="48"/>
      <c r="M98" s="48"/>
      <c r="N98" s="48"/>
      <c r="O98" s="48"/>
      <c r="P98" s="48"/>
      <c r="Q98" s="48"/>
      <c r="R98" s="24"/>
      <c r="S98" s="6"/>
      <c r="T98" s="36"/>
      <c r="U98" s="6"/>
      <c r="V98" s="6"/>
    </row>
    <row r="99" spans="1:24" ht="14.25" customHeight="1" x14ac:dyDescent="0.25">
      <c r="A99" s="55"/>
      <c r="B99" s="29"/>
      <c r="C99" s="6"/>
      <c r="D99" s="53"/>
      <c r="E99" s="56"/>
      <c r="F99" s="57" t="s">
        <v>1404</v>
      </c>
      <c r="G99" s="58" t="s">
        <v>1405</v>
      </c>
      <c r="H99" s="48"/>
      <c r="I99" s="48"/>
      <c r="J99" s="48"/>
      <c r="K99" s="48"/>
      <c r="L99" s="48"/>
      <c r="M99" s="48"/>
      <c r="N99" s="48"/>
      <c r="O99" s="48"/>
      <c r="P99" s="48"/>
      <c r="Q99" s="48"/>
      <c r="R99" s="24"/>
      <c r="S99" s="6"/>
      <c r="T99" s="36"/>
      <c r="U99" s="6"/>
      <c r="V99" s="6"/>
    </row>
    <row r="100" spans="1:24" ht="14.25" customHeight="1" x14ac:dyDescent="0.25">
      <c r="A100" s="55"/>
      <c r="B100" s="29"/>
      <c r="C100" s="6"/>
      <c r="D100" s="53"/>
      <c r="E100" s="56"/>
      <c r="F100" s="57" t="s">
        <v>1406</v>
      </c>
      <c r="G100" s="58" t="s">
        <v>1407</v>
      </c>
      <c r="H100" s="48"/>
      <c r="I100" s="48"/>
      <c r="J100" s="48"/>
      <c r="K100" s="48"/>
      <c r="L100" s="48"/>
      <c r="M100" s="48"/>
      <c r="N100" s="48"/>
      <c r="O100" s="48"/>
      <c r="P100" s="48"/>
      <c r="Q100" s="48"/>
      <c r="R100" s="24"/>
      <c r="S100" s="6"/>
      <c r="T100" s="36"/>
      <c r="U100" s="6"/>
      <c r="V100" s="6"/>
    </row>
    <row r="101" spans="1:24" ht="14.25" customHeight="1" x14ac:dyDescent="0.25">
      <c r="A101" s="55"/>
      <c r="B101" s="29"/>
      <c r="C101" s="6"/>
      <c r="D101" s="53"/>
      <c r="E101" s="56"/>
      <c r="F101" s="57" t="s">
        <v>1408</v>
      </c>
      <c r="G101" s="58" t="s">
        <v>1409</v>
      </c>
      <c r="H101" s="48"/>
      <c r="I101" s="48"/>
      <c r="J101" s="48"/>
      <c r="K101" s="48"/>
      <c r="L101" s="48"/>
      <c r="M101" s="48"/>
      <c r="N101" s="48"/>
      <c r="O101" s="48"/>
      <c r="P101" s="48"/>
      <c r="Q101" s="48"/>
      <c r="R101" s="24"/>
      <c r="S101" s="6"/>
      <c r="T101" s="36"/>
      <c r="U101" s="6"/>
      <c r="V101" s="6"/>
    </row>
    <row r="102" spans="1:24" ht="14.25" customHeight="1" x14ac:dyDescent="0.25">
      <c r="A102" s="55"/>
      <c r="B102" s="29"/>
      <c r="C102" s="6"/>
      <c r="D102" s="53"/>
      <c r="E102" s="56"/>
      <c r="F102" s="57" t="s">
        <v>1410</v>
      </c>
      <c r="G102" s="58" t="s">
        <v>1411</v>
      </c>
      <c r="H102" s="48"/>
      <c r="I102" s="48"/>
      <c r="J102" s="48"/>
      <c r="K102" s="48"/>
      <c r="L102" s="48"/>
      <c r="M102" s="48"/>
      <c r="N102" s="48"/>
      <c r="O102" s="48"/>
      <c r="P102" s="48"/>
      <c r="Q102" s="48"/>
      <c r="R102" s="24"/>
      <c r="S102" s="6"/>
      <c r="T102" s="36"/>
      <c r="U102" s="6"/>
      <c r="V102" s="6"/>
    </row>
    <row r="103" spans="1:24" ht="14.25" customHeight="1" x14ac:dyDescent="0.25">
      <c r="A103" s="55"/>
      <c r="B103" s="29"/>
      <c r="C103" s="6"/>
      <c r="D103" s="53"/>
      <c r="E103" s="56"/>
      <c r="F103" s="57" t="s">
        <v>1412</v>
      </c>
      <c r="G103" s="58" t="s">
        <v>1413</v>
      </c>
      <c r="H103" s="48"/>
      <c r="I103" s="48"/>
      <c r="J103" s="48"/>
      <c r="K103" s="48"/>
      <c r="L103" s="48"/>
      <c r="M103" s="48"/>
      <c r="N103" s="48"/>
      <c r="O103" s="48"/>
      <c r="P103" s="48"/>
      <c r="Q103" s="48"/>
      <c r="R103" s="24"/>
      <c r="S103" s="6"/>
      <c r="T103" s="36"/>
      <c r="U103" s="6"/>
      <c r="V103" s="6"/>
    </row>
    <row r="104" spans="1:24" s="63" customFormat="1" ht="21.95" customHeight="1" x14ac:dyDescent="0.25">
      <c r="B104" s="69" t="s">
        <v>1414</v>
      </c>
      <c r="E104" s="71"/>
      <c r="F104" s="71"/>
      <c r="G104" s="71"/>
      <c r="H104" s="67"/>
      <c r="I104" s="67"/>
      <c r="J104" s="67"/>
      <c r="K104" s="67"/>
      <c r="L104" s="67"/>
      <c r="M104" s="67"/>
      <c r="N104" s="67"/>
      <c r="O104" s="67"/>
      <c r="P104" s="67"/>
      <c r="Q104" s="67"/>
      <c r="R104" s="68"/>
      <c r="W104" s="67"/>
    </row>
    <row r="105" spans="1:24" ht="42" customHeight="1" x14ac:dyDescent="0.25">
      <c r="A105" s="39" t="s">
        <v>1372</v>
      </c>
      <c r="B105" s="2" t="s">
        <v>1415</v>
      </c>
      <c r="C105" s="2"/>
      <c r="D105" s="53" t="s">
        <v>1416</v>
      </c>
      <c r="E105" s="74" t="s">
        <v>1417</v>
      </c>
      <c r="F105" s="11" t="s">
        <v>1132</v>
      </c>
      <c r="G105" s="75" t="s">
        <v>1418</v>
      </c>
      <c r="H105" s="47" t="s">
        <v>1419</v>
      </c>
      <c r="I105" s="47" t="s">
        <v>1043</v>
      </c>
      <c r="J105" s="47" t="s">
        <v>1420</v>
      </c>
      <c r="K105" s="47" t="s">
        <v>1005</v>
      </c>
      <c r="L105" s="47" t="s">
        <v>1421</v>
      </c>
      <c r="M105" s="47" t="s">
        <v>1006</v>
      </c>
      <c r="N105" s="47"/>
      <c r="O105" s="47" t="s">
        <v>1115</v>
      </c>
      <c r="P105" s="47"/>
      <c r="Q105" s="47"/>
      <c r="R105" s="21"/>
      <c r="S105" s="2"/>
      <c r="T105" s="3" t="s">
        <v>1422</v>
      </c>
      <c r="U105" s="2" t="s">
        <v>1423</v>
      </c>
      <c r="V105" s="184" t="s">
        <v>23</v>
      </c>
      <c r="W105" s="187" t="s">
        <v>1424</v>
      </c>
      <c r="X105" s="186" t="s">
        <v>1425</v>
      </c>
    </row>
    <row r="106" spans="1:24" ht="42" customHeight="1" x14ac:dyDescent="0.25">
      <c r="A106" s="73" t="s">
        <v>1372</v>
      </c>
      <c r="B106" s="2" t="s">
        <v>1415</v>
      </c>
      <c r="C106" s="2"/>
      <c r="D106" s="10" t="s">
        <v>1160</v>
      </c>
      <c r="E106" s="12"/>
      <c r="F106" s="75" t="s">
        <v>1426</v>
      </c>
      <c r="G106" s="76"/>
      <c r="H106" s="47" t="s">
        <v>909</v>
      </c>
      <c r="I106" s="47" t="s">
        <v>1043</v>
      </c>
      <c r="J106" s="47" t="s">
        <v>1420</v>
      </c>
      <c r="K106" s="47" t="s">
        <v>1005</v>
      </c>
      <c r="L106" s="47" t="s">
        <v>1421</v>
      </c>
      <c r="M106" s="47" t="s">
        <v>1006</v>
      </c>
      <c r="N106" s="47"/>
      <c r="O106" s="47"/>
      <c r="P106" s="47"/>
      <c r="Q106" s="47"/>
      <c r="R106" s="21"/>
      <c r="S106" s="2"/>
      <c r="T106" s="3" t="s">
        <v>1422</v>
      </c>
      <c r="U106" s="2" t="s">
        <v>1423</v>
      </c>
      <c r="V106" s="184" t="s">
        <v>23</v>
      </c>
      <c r="W106" s="187" t="s">
        <v>1427</v>
      </c>
      <c r="X106" s="186" t="s">
        <v>1428</v>
      </c>
    </row>
    <row r="107" spans="1:24" ht="42" customHeight="1" x14ac:dyDescent="0.25">
      <c r="A107" s="39" t="s">
        <v>1372</v>
      </c>
      <c r="B107" s="2" t="s">
        <v>1415</v>
      </c>
      <c r="C107" s="2"/>
      <c r="D107" s="40" t="s">
        <v>1429</v>
      </c>
      <c r="E107" s="74" t="s">
        <v>1430</v>
      </c>
      <c r="F107" s="9"/>
      <c r="G107" s="75" t="s">
        <v>1431</v>
      </c>
      <c r="H107" s="47" t="s">
        <v>934</v>
      </c>
      <c r="I107" s="47" t="s">
        <v>1003</v>
      </c>
      <c r="J107" s="47" t="s">
        <v>1003</v>
      </c>
      <c r="K107" s="47" t="s">
        <v>1005</v>
      </c>
      <c r="L107" s="47" t="s">
        <v>1421</v>
      </c>
      <c r="M107" s="47" t="s">
        <v>1006</v>
      </c>
      <c r="N107" s="47"/>
      <c r="O107" s="47" t="s">
        <v>1115</v>
      </c>
      <c r="P107" s="47"/>
      <c r="Q107" s="47"/>
      <c r="R107" s="21"/>
      <c r="S107" s="2"/>
      <c r="T107" s="3" t="s">
        <v>1422</v>
      </c>
      <c r="U107" s="2" t="s">
        <v>1423</v>
      </c>
      <c r="V107" s="184" t="s">
        <v>23</v>
      </c>
      <c r="W107" s="187" t="s">
        <v>1432</v>
      </c>
      <c r="X107" s="186" t="s">
        <v>1428</v>
      </c>
    </row>
    <row r="108" spans="1:24" s="63" customFormat="1" ht="21.95" customHeight="1" x14ac:dyDescent="0.25">
      <c r="B108" s="69" t="s">
        <v>1433</v>
      </c>
      <c r="E108" s="71"/>
      <c r="F108" s="71"/>
      <c r="G108" s="71"/>
      <c r="H108" s="67"/>
      <c r="I108" s="67"/>
      <c r="J108" s="67"/>
      <c r="K108" s="67"/>
      <c r="L108" s="67"/>
      <c r="M108" s="67"/>
      <c r="N108" s="67"/>
      <c r="O108" s="67"/>
      <c r="P108" s="67"/>
      <c r="Q108" s="67"/>
      <c r="R108" s="68"/>
      <c r="W108" s="67"/>
    </row>
    <row r="109" spans="1:24" ht="42" customHeight="1" x14ac:dyDescent="0.25">
      <c r="A109" s="39" t="s">
        <v>1372</v>
      </c>
      <c r="B109" s="2" t="s">
        <v>241</v>
      </c>
      <c r="C109" s="2"/>
      <c r="D109" s="53" t="s">
        <v>1434</v>
      </c>
      <c r="E109" s="11" t="s">
        <v>1435</v>
      </c>
      <c r="F109" s="11" t="s">
        <v>1436</v>
      </c>
      <c r="G109" s="11"/>
      <c r="H109" s="47" t="s">
        <v>1437</v>
      </c>
      <c r="I109" s="47" t="s">
        <v>1177</v>
      </c>
      <c r="J109" s="47" t="s">
        <v>1438</v>
      </c>
      <c r="K109" s="60" t="s">
        <v>1082</v>
      </c>
      <c r="L109" s="47" t="s">
        <v>1421</v>
      </c>
      <c r="M109" s="47" t="s">
        <v>1179</v>
      </c>
      <c r="N109" s="47"/>
      <c r="O109" s="47"/>
      <c r="P109" s="47"/>
      <c r="Q109" s="47"/>
      <c r="R109" s="21"/>
      <c r="S109" s="2" t="s">
        <v>1439</v>
      </c>
      <c r="T109" s="3" t="s">
        <v>1181</v>
      </c>
      <c r="U109" s="7" t="s">
        <v>1440</v>
      </c>
      <c r="V109" s="185" t="s">
        <v>1441</v>
      </c>
      <c r="W109" s="187" t="s">
        <v>1442</v>
      </c>
      <c r="X109" s="186" t="s">
        <v>1443</v>
      </c>
    </row>
    <row r="110" spans="1:24" ht="14.25" customHeight="1" x14ac:dyDescent="0.25">
      <c r="A110" s="55"/>
      <c r="C110" s="24" t="s">
        <v>1444</v>
      </c>
      <c r="D110" s="77" t="s">
        <v>1445</v>
      </c>
      <c r="E110" s="56"/>
      <c r="F110" s="57" t="s">
        <v>1382</v>
      </c>
      <c r="G110" s="58" t="s">
        <v>1446</v>
      </c>
      <c r="H110" s="48"/>
      <c r="I110" s="48"/>
      <c r="J110" s="48"/>
      <c r="K110" s="48"/>
      <c r="L110" s="48"/>
      <c r="M110" s="48"/>
      <c r="N110" s="48"/>
      <c r="O110" s="48"/>
      <c r="P110" s="48"/>
      <c r="Q110" s="48"/>
      <c r="R110" s="24"/>
      <c r="S110" s="6"/>
      <c r="T110" s="36"/>
      <c r="U110" s="78" t="s">
        <v>1447</v>
      </c>
      <c r="V110" s="184" t="s">
        <v>23</v>
      </c>
      <c r="W110" s="187" t="s">
        <v>1448</v>
      </c>
      <c r="X110" s="184" t="s">
        <v>23</v>
      </c>
    </row>
    <row r="111" spans="1:24" ht="14.25" customHeight="1" x14ac:dyDescent="0.25">
      <c r="A111" s="55"/>
      <c r="C111" s="24" t="s">
        <v>1449</v>
      </c>
      <c r="D111" s="29" t="s">
        <v>1450</v>
      </c>
      <c r="E111" s="56"/>
      <c r="F111" s="57" t="s">
        <v>1384</v>
      </c>
      <c r="G111" s="58" t="s">
        <v>1451</v>
      </c>
      <c r="H111" s="48"/>
      <c r="I111" s="48"/>
      <c r="J111" s="48"/>
      <c r="K111" s="48"/>
      <c r="L111" s="48"/>
      <c r="M111" s="48"/>
      <c r="N111" s="48"/>
      <c r="O111" s="48"/>
      <c r="P111" s="48"/>
      <c r="Q111" s="48"/>
      <c r="R111" s="24"/>
      <c r="S111" s="6"/>
      <c r="T111" s="36"/>
      <c r="U111" s="6"/>
      <c r="V111" s="184" t="s">
        <v>23</v>
      </c>
      <c r="W111" s="187" t="s">
        <v>1448</v>
      </c>
      <c r="X111" s="184" t="s">
        <v>23</v>
      </c>
    </row>
    <row r="112" spans="1:24" ht="14.25" customHeight="1" x14ac:dyDescent="0.25">
      <c r="A112" s="55"/>
      <c r="C112" s="24" t="s">
        <v>1452</v>
      </c>
      <c r="D112" s="29" t="s">
        <v>1453</v>
      </c>
      <c r="E112" s="56"/>
      <c r="F112" s="57" t="s">
        <v>1386</v>
      </c>
      <c r="G112" s="58" t="s">
        <v>1454</v>
      </c>
      <c r="H112" s="48"/>
      <c r="I112" s="48"/>
      <c r="J112" s="48"/>
      <c r="K112" s="48"/>
      <c r="L112" s="48"/>
      <c r="M112" s="48"/>
      <c r="N112" s="48"/>
      <c r="O112" s="48"/>
      <c r="P112" s="48"/>
      <c r="Q112" s="48"/>
      <c r="R112" s="24"/>
      <c r="S112" s="6"/>
      <c r="T112" s="36"/>
      <c r="U112" s="6"/>
      <c r="V112" s="184" t="s">
        <v>23</v>
      </c>
      <c r="W112" s="187" t="s">
        <v>1448</v>
      </c>
      <c r="X112" s="184" t="s">
        <v>23</v>
      </c>
    </row>
    <row r="113" spans="1:24" ht="14.25" customHeight="1" x14ac:dyDescent="0.25">
      <c r="A113" s="55"/>
      <c r="C113" s="24" t="s">
        <v>1455</v>
      </c>
      <c r="D113" s="81" t="s">
        <v>1456</v>
      </c>
      <c r="E113" s="56"/>
      <c r="F113" s="57" t="s">
        <v>1388</v>
      </c>
      <c r="G113" s="58" t="s">
        <v>1457</v>
      </c>
      <c r="H113" s="48"/>
      <c r="I113" s="48"/>
      <c r="J113" s="48"/>
      <c r="K113" s="48"/>
      <c r="L113" s="48"/>
      <c r="M113" s="48"/>
      <c r="N113" s="48"/>
      <c r="O113" s="48"/>
      <c r="P113" s="48"/>
      <c r="Q113" s="48"/>
      <c r="R113" s="24"/>
      <c r="S113" s="6"/>
      <c r="T113" s="36"/>
      <c r="U113" s="6"/>
      <c r="V113" s="184" t="s">
        <v>23</v>
      </c>
      <c r="W113" s="187" t="s">
        <v>1448</v>
      </c>
      <c r="X113" s="184" t="s">
        <v>23</v>
      </c>
    </row>
    <row r="114" spans="1:24" ht="14.25" customHeight="1" x14ac:dyDescent="0.25">
      <c r="A114" s="55"/>
      <c r="B114" s="29"/>
      <c r="C114" s="24" t="s">
        <v>1458</v>
      </c>
      <c r="E114" s="56"/>
      <c r="F114" s="57" t="s">
        <v>1390</v>
      </c>
      <c r="G114" s="58" t="s">
        <v>1459</v>
      </c>
      <c r="H114" s="48"/>
      <c r="I114" s="48"/>
      <c r="J114" s="48"/>
      <c r="K114" s="48"/>
      <c r="L114" s="48"/>
      <c r="M114" s="48"/>
      <c r="N114" s="48"/>
      <c r="O114" s="48"/>
      <c r="P114" s="48"/>
      <c r="Q114" s="48"/>
      <c r="R114" s="24"/>
      <c r="S114" s="6"/>
      <c r="T114" s="36"/>
      <c r="U114" s="6"/>
      <c r="V114" s="184" t="s">
        <v>23</v>
      </c>
      <c r="W114" s="187" t="s">
        <v>1448</v>
      </c>
      <c r="X114" s="184" t="s">
        <v>23</v>
      </c>
    </row>
    <row r="115" spans="1:24" ht="14.25" customHeight="1" x14ac:dyDescent="0.25">
      <c r="A115" s="55"/>
      <c r="B115" s="29"/>
      <c r="C115" s="6"/>
      <c r="E115" s="56"/>
      <c r="F115" s="57" t="s">
        <v>1392</v>
      </c>
      <c r="G115" s="58" t="s">
        <v>1460</v>
      </c>
      <c r="H115" s="48"/>
      <c r="I115" s="48"/>
      <c r="J115" s="48"/>
      <c r="K115" s="48"/>
      <c r="L115" s="48"/>
      <c r="M115" s="48"/>
      <c r="N115" s="48"/>
      <c r="O115" s="48"/>
      <c r="P115" s="48"/>
      <c r="Q115" s="48"/>
      <c r="R115" s="24"/>
      <c r="S115" s="6"/>
      <c r="T115" s="36"/>
      <c r="U115" s="6"/>
      <c r="V115" s="184" t="s">
        <v>23</v>
      </c>
      <c r="W115" s="187" t="s">
        <v>1448</v>
      </c>
      <c r="X115" s="184" t="s">
        <v>23</v>
      </c>
    </row>
    <row r="116" spans="1:24" ht="14.25" customHeight="1" x14ac:dyDescent="0.25">
      <c r="A116" s="55"/>
      <c r="B116" s="29"/>
      <c r="C116" s="6"/>
      <c r="E116" s="56"/>
      <c r="F116" s="57" t="s">
        <v>1394</v>
      </c>
      <c r="G116" s="58" t="s">
        <v>1461</v>
      </c>
      <c r="H116" s="48"/>
      <c r="I116" s="48"/>
      <c r="J116" s="48"/>
      <c r="K116" s="48"/>
      <c r="L116" s="48"/>
      <c r="M116" s="48"/>
      <c r="N116" s="48"/>
      <c r="O116" s="48"/>
      <c r="P116" s="48"/>
      <c r="Q116" s="48"/>
      <c r="R116" s="24"/>
      <c r="S116" s="6"/>
      <c r="T116" s="36"/>
      <c r="U116" s="6"/>
      <c r="V116" s="184" t="s">
        <v>23</v>
      </c>
      <c r="W116" s="187" t="s">
        <v>1448</v>
      </c>
      <c r="X116" s="184" t="s">
        <v>23</v>
      </c>
    </row>
    <row r="117" spans="1:24" ht="14.25" customHeight="1" x14ac:dyDescent="0.25">
      <c r="A117" s="55"/>
      <c r="B117" s="29"/>
      <c r="C117" s="6"/>
      <c r="E117" s="56"/>
      <c r="F117" s="57" t="s">
        <v>1396</v>
      </c>
      <c r="G117" s="58" t="s">
        <v>1462</v>
      </c>
      <c r="H117" s="48"/>
      <c r="I117" s="48"/>
      <c r="J117" s="48"/>
      <c r="K117" s="48"/>
      <c r="L117" s="48"/>
      <c r="M117" s="48"/>
      <c r="N117" s="48"/>
      <c r="O117" s="48"/>
      <c r="P117" s="48"/>
      <c r="Q117" s="48"/>
      <c r="R117" s="24"/>
      <c r="S117" s="6"/>
      <c r="T117" s="36"/>
      <c r="U117" s="6"/>
      <c r="V117" s="184" t="s">
        <v>23</v>
      </c>
      <c r="W117" s="187" t="s">
        <v>1448</v>
      </c>
      <c r="X117" s="184" t="s">
        <v>23</v>
      </c>
    </row>
    <row r="118" spans="1:24" ht="14.25" customHeight="1" x14ac:dyDescent="0.25">
      <c r="A118" s="55"/>
      <c r="B118" s="29"/>
      <c r="C118" s="6"/>
      <c r="D118" s="53"/>
      <c r="E118" s="56"/>
      <c r="F118" s="57" t="s">
        <v>1463</v>
      </c>
      <c r="G118" s="58" t="s">
        <v>1464</v>
      </c>
      <c r="H118" s="48"/>
      <c r="I118" s="48"/>
      <c r="J118" s="48"/>
      <c r="K118" s="48"/>
      <c r="L118" s="48"/>
      <c r="M118" s="48"/>
      <c r="N118" s="48"/>
      <c r="O118" s="48"/>
      <c r="P118" s="48"/>
      <c r="Q118" s="48"/>
      <c r="R118" s="24"/>
      <c r="S118" s="6"/>
      <c r="T118" s="36"/>
      <c r="U118" s="6"/>
      <c r="V118" s="184" t="s">
        <v>23</v>
      </c>
      <c r="W118" s="187" t="s">
        <v>1448</v>
      </c>
      <c r="X118" s="184" t="s">
        <v>23</v>
      </c>
    </row>
    <row r="119" spans="1:24" ht="14.25" customHeight="1" x14ac:dyDescent="0.25">
      <c r="A119" s="55"/>
      <c r="B119" s="29"/>
      <c r="C119" s="6"/>
      <c r="D119" s="53"/>
      <c r="E119" s="56"/>
      <c r="F119" s="57" t="s">
        <v>1398</v>
      </c>
      <c r="G119" s="58" t="s">
        <v>1465</v>
      </c>
      <c r="H119" s="48"/>
      <c r="I119" s="48"/>
      <c r="J119" s="48"/>
      <c r="K119" s="48"/>
      <c r="L119" s="48"/>
      <c r="M119" s="48"/>
      <c r="N119" s="48"/>
      <c r="O119" s="48"/>
      <c r="P119" s="48"/>
      <c r="Q119" s="48"/>
      <c r="R119" s="24"/>
      <c r="S119" s="6"/>
      <c r="T119" s="36"/>
      <c r="U119" s="6"/>
      <c r="V119" s="184" t="s">
        <v>23</v>
      </c>
      <c r="W119" s="187" t="s">
        <v>1448</v>
      </c>
      <c r="X119" s="184" t="s">
        <v>23</v>
      </c>
    </row>
    <row r="120" spans="1:24" ht="14.25" customHeight="1" x14ac:dyDescent="0.25">
      <c r="A120" s="55"/>
      <c r="B120" s="29"/>
      <c r="C120" s="6"/>
      <c r="D120" s="53"/>
      <c r="E120" s="56"/>
      <c r="F120" s="57" t="s">
        <v>1400</v>
      </c>
      <c r="G120" s="58" t="s">
        <v>1466</v>
      </c>
      <c r="H120" s="48"/>
      <c r="I120" s="48"/>
      <c r="J120" s="48"/>
      <c r="K120" s="48"/>
      <c r="L120" s="48"/>
      <c r="M120" s="48"/>
      <c r="N120" s="48"/>
      <c r="O120" s="48"/>
      <c r="P120" s="48"/>
      <c r="Q120" s="48"/>
      <c r="R120" s="24"/>
      <c r="S120" s="6"/>
      <c r="T120" s="36"/>
      <c r="U120" s="6"/>
      <c r="V120" s="184" t="s">
        <v>23</v>
      </c>
      <c r="W120" s="187" t="s">
        <v>1448</v>
      </c>
      <c r="X120" s="184" t="s">
        <v>23</v>
      </c>
    </row>
    <row r="121" spans="1:24" s="63" customFormat="1" ht="21.95" customHeight="1" x14ac:dyDescent="0.25">
      <c r="B121" s="69" t="s">
        <v>1467</v>
      </c>
      <c r="E121" s="71"/>
      <c r="F121" s="71"/>
      <c r="G121" s="71"/>
      <c r="H121" s="67"/>
      <c r="I121" s="67"/>
      <c r="J121" s="67"/>
      <c r="K121" s="67"/>
      <c r="L121" s="67"/>
      <c r="M121" s="67"/>
      <c r="N121" s="67"/>
      <c r="O121" s="67"/>
      <c r="P121" s="67"/>
      <c r="Q121" s="67"/>
      <c r="R121" s="68"/>
      <c r="W121" s="67"/>
    </row>
    <row r="122" spans="1:24" ht="42" customHeight="1" x14ac:dyDescent="0.25">
      <c r="A122" s="39" t="s">
        <v>1372</v>
      </c>
      <c r="B122" s="7" t="s">
        <v>1468</v>
      </c>
      <c r="C122" s="2"/>
      <c r="D122" s="53" t="s">
        <v>1416</v>
      </c>
      <c r="E122" s="74" t="s">
        <v>1417</v>
      </c>
      <c r="F122" s="11" t="s">
        <v>1132</v>
      </c>
      <c r="G122" s="75" t="s">
        <v>1418</v>
      </c>
      <c r="H122" s="47" t="s">
        <v>1419</v>
      </c>
      <c r="I122" s="47" t="s">
        <v>1043</v>
      </c>
      <c r="J122" s="47" t="s">
        <v>1420</v>
      </c>
      <c r="K122" s="47" t="s">
        <v>1005</v>
      </c>
      <c r="L122" s="47" t="s">
        <v>1421</v>
      </c>
      <c r="M122" s="47" t="s">
        <v>1006</v>
      </c>
      <c r="N122" s="47"/>
      <c r="O122" s="47" t="s">
        <v>1115</v>
      </c>
      <c r="P122" s="47"/>
      <c r="Q122" s="47"/>
      <c r="R122" s="21"/>
      <c r="S122" s="2"/>
      <c r="T122" s="3" t="s">
        <v>1422</v>
      </c>
      <c r="U122" s="2" t="s">
        <v>1423</v>
      </c>
      <c r="V122" s="184" t="s">
        <v>23</v>
      </c>
      <c r="W122" s="187" t="s">
        <v>1469</v>
      </c>
      <c r="X122" s="186" t="s">
        <v>1470</v>
      </c>
    </row>
    <row r="123" spans="1:24" ht="42" customHeight="1" x14ac:dyDescent="0.25">
      <c r="A123" s="73" t="s">
        <v>1372</v>
      </c>
      <c r="B123" s="7" t="s">
        <v>1468</v>
      </c>
      <c r="C123" s="2"/>
      <c r="D123" s="10" t="s">
        <v>1160</v>
      </c>
      <c r="E123" s="12"/>
      <c r="F123" s="75" t="s">
        <v>1426</v>
      </c>
      <c r="G123" s="76"/>
      <c r="H123" s="47" t="s">
        <v>909</v>
      </c>
      <c r="I123" s="47" t="s">
        <v>1043</v>
      </c>
      <c r="J123" s="47" t="s">
        <v>1420</v>
      </c>
      <c r="K123" s="47" t="s">
        <v>1005</v>
      </c>
      <c r="L123" s="47" t="s">
        <v>1421</v>
      </c>
      <c r="M123" s="47" t="s">
        <v>1006</v>
      </c>
      <c r="N123" s="47"/>
      <c r="O123" s="47" t="s">
        <v>1115</v>
      </c>
      <c r="P123" s="47"/>
      <c r="Q123" s="47"/>
      <c r="R123" s="21"/>
      <c r="S123" s="2"/>
      <c r="T123" s="3" t="s">
        <v>1422</v>
      </c>
      <c r="U123" s="2" t="s">
        <v>1423</v>
      </c>
      <c r="V123" s="184" t="s">
        <v>23</v>
      </c>
      <c r="W123" s="187" t="s">
        <v>1471</v>
      </c>
      <c r="X123" s="186" t="s">
        <v>1472</v>
      </c>
    </row>
    <row r="124" spans="1:24" ht="42" customHeight="1" x14ac:dyDescent="0.25">
      <c r="A124" s="39" t="s">
        <v>1372</v>
      </c>
      <c r="B124" s="7" t="s">
        <v>1468</v>
      </c>
      <c r="C124" s="2"/>
      <c r="D124" s="40" t="s">
        <v>1429</v>
      </c>
      <c r="E124" s="74" t="s">
        <v>1430</v>
      </c>
      <c r="F124" s="9"/>
      <c r="G124" s="75" t="s">
        <v>1431</v>
      </c>
      <c r="H124" s="47" t="s">
        <v>934</v>
      </c>
      <c r="I124" s="47" t="s">
        <v>1003</v>
      </c>
      <c r="J124" s="47" t="s">
        <v>1003</v>
      </c>
      <c r="K124" s="47" t="s">
        <v>1005</v>
      </c>
      <c r="L124" s="47" t="s">
        <v>1421</v>
      </c>
      <c r="M124" s="47" t="s">
        <v>1006</v>
      </c>
      <c r="N124" s="47"/>
      <c r="O124" s="47" t="s">
        <v>1115</v>
      </c>
      <c r="P124" s="47"/>
      <c r="Q124" s="47"/>
      <c r="R124" s="21"/>
      <c r="S124" s="2"/>
      <c r="T124" s="3" t="s">
        <v>1422</v>
      </c>
      <c r="U124" s="2" t="s">
        <v>1423</v>
      </c>
      <c r="V124" s="184" t="s">
        <v>23</v>
      </c>
      <c r="W124" s="187" t="s">
        <v>1473</v>
      </c>
      <c r="X124" s="186" t="s">
        <v>1474</v>
      </c>
    </row>
    <row r="125" spans="1:24" s="63" customFormat="1" ht="21.95" customHeight="1" x14ac:dyDescent="0.25">
      <c r="B125" s="69" t="s">
        <v>1475</v>
      </c>
      <c r="E125" s="71"/>
      <c r="F125" s="71"/>
      <c r="G125" s="71"/>
      <c r="H125" s="67"/>
      <c r="I125" s="67"/>
      <c r="J125" s="67"/>
      <c r="K125" s="67"/>
      <c r="L125" s="67"/>
      <c r="M125" s="67"/>
      <c r="N125" s="67"/>
      <c r="O125" s="67"/>
      <c r="P125" s="67"/>
      <c r="Q125" s="67"/>
      <c r="R125" s="68"/>
      <c r="W125" s="67"/>
    </row>
    <row r="126" spans="1:24" ht="42" customHeight="1" x14ac:dyDescent="0.25">
      <c r="A126" s="3" t="s">
        <v>998</v>
      </c>
      <c r="B126" s="7" t="s">
        <v>1476</v>
      </c>
      <c r="C126" s="2"/>
      <c r="D126" s="10" t="s">
        <v>1477</v>
      </c>
      <c r="E126" s="11"/>
      <c r="F126" s="11"/>
      <c r="G126" s="8" t="s">
        <v>1478</v>
      </c>
      <c r="H126" s="47" t="s">
        <v>1133</v>
      </c>
      <c r="I126" s="47" t="s">
        <v>1043</v>
      </c>
      <c r="J126" s="47" t="s">
        <v>1339</v>
      </c>
      <c r="K126" s="47" t="s">
        <v>1005</v>
      </c>
      <c r="L126" s="47" t="s">
        <v>1421</v>
      </c>
      <c r="M126" s="47" t="s">
        <v>1114</v>
      </c>
      <c r="N126" s="47"/>
      <c r="O126" s="47" t="s">
        <v>1479</v>
      </c>
      <c r="P126" s="47"/>
      <c r="Q126" s="47"/>
      <c r="R126" s="21"/>
      <c r="S126" s="2"/>
      <c r="T126" s="3" t="s">
        <v>1341</v>
      </c>
      <c r="U126" s="2" t="s">
        <v>1480</v>
      </c>
      <c r="V126" s="184" t="s">
        <v>23</v>
      </c>
      <c r="W126" s="187" t="s">
        <v>1481</v>
      </c>
      <c r="X126" s="184" t="s">
        <v>23</v>
      </c>
    </row>
    <row r="127" spans="1:24" ht="42" customHeight="1" x14ac:dyDescent="0.45">
      <c r="A127" s="39" t="s">
        <v>1372</v>
      </c>
      <c r="B127" s="7" t="s">
        <v>943</v>
      </c>
      <c r="C127" s="2"/>
      <c r="D127" s="26" t="s">
        <v>1482</v>
      </c>
      <c r="E127" s="80" t="s">
        <v>1483</v>
      </c>
      <c r="F127" s="11" t="s">
        <v>1484</v>
      </c>
      <c r="G127" s="11"/>
      <c r="H127" s="47" t="s">
        <v>1042</v>
      </c>
      <c r="I127" s="47" t="s">
        <v>1043</v>
      </c>
      <c r="J127" s="47" t="s">
        <v>1096</v>
      </c>
      <c r="K127" s="47" t="s">
        <v>1005</v>
      </c>
      <c r="L127" s="47" t="s">
        <v>1421</v>
      </c>
      <c r="M127" s="47" t="s">
        <v>1006</v>
      </c>
      <c r="N127" s="47"/>
      <c r="O127" s="47"/>
      <c r="P127" s="47" t="s">
        <v>1485</v>
      </c>
      <c r="Q127" s="47"/>
      <c r="R127" s="21"/>
      <c r="S127" s="2"/>
      <c r="T127" s="3" t="s">
        <v>1098</v>
      </c>
      <c r="U127" s="2" t="s">
        <v>1486</v>
      </c>
      <c r="V127" s="184" t="s">
        <v>23</v>
      </c>
      <c r="W127" s="187" t="s">
        <v>1487</v>
      </c>
      <c r="X127" s="186" t="s">
        <v>1488</v>
      </c>
    </row>
    <row r="128" spans="1:24" ht="42" customHeight="1" x14ac:dyDescent="0.45">
      <c r="A128" s="39" t="s">
        <v>1372</v>
      </c>
      <c r="B128" s="7" t="s">
        <v>945</v>
      </c>
      <c r="C128" s="2"/>
      <c r="D128" s="26" t="s">
        <v>1489</v>
      </c>
      <c r="E128" s="27"/>
      <c r="F128" s="11" t="s">
        <v>1490</v>
      </c>
      <c r="G128" s="11"/>
      <c r="H128" s="47" t="s">
        <v>1042</v>
      </c>
      <c r="I128" s="47" t="s">
        <v>1043</v>
      </c>
      <c r="J128" s="47" t="s">
        <v>1096</v>
      </c>
      <c r="K128" s="47" t="s">
        <v>1005</v>
      </c>
      <c r="L128" s="47" t="s">
        <v>1421</v>
      </c>
      <c r="M128" s="47" t="s">
        <v>1006</v>
      </c>
      <c r="N128" s="47"/>
      <c r="O128" s="47"/>
      <c r="P128" s="47" t="s">
        <v>1485</v>
      </c>
      <c r="Q128" s="47"/>
      <c r="R128" s="21"/>
      <c r="S128" s="2"/>
      <c r="T128" s="3" t="s">
        <v>1098</v>
      </c>
      <c r="U128" s="2" t="s">
        <v>1491</v>
      </c>
      <c r="V128" s="184" t="s">
        <v>23</v>
      </c>
      <c r="W128" s="187" t="s">
        <v>1492</v>
      </c>
      <c r="X128" s="186" t="s">
        <v>1493</v>
      </c>
    </row>
    <row r="129" spans="1:24" ht="42" customHeight="1" x14ac:dyDescent="0.45">
      <c r="A129" s="39" t="s">
        <v>1372</v>
      </c>
      <c r="B129" s="7" t="s">
        <v>947</v>
      </c>
      <c r="C129" s="2"/>
      <c r="D129" s="26" t="s">
        <v>1494</v>
      </c>
      <c r="E129" s="27"/>
      <c r="F129" s="11" t="s">
        <v>1495</v>
      </c>
      <c r="G129" s="11"/>
      <c r="H129" s="47" t="s">
        <v>1042</v>
      </c>
      <c r="I129" s="47" t="s">
        <v>1043</v>
      </c>
      <c r="J129" s="47" t="s">
        <v>1096</v>
      </c>
      <c r="K129" s="47" t="s">
        <v>1005</v>
      </c>
      <c r="L129" s="47" t="s">
        <v>1421</v>
      </c>
      <c r="M129" s="47" t="s">
        <v>1006</v>
      </c>
      <c r="N129" s="47"/>
      <c r="O129" s="47"/>
      <c r="P129" s="47" t="s">
        <v>1485</v>
      </c>
      <c r="Q129" s="47"/>
      <c r="R129" s="21"/>
      <c r="S129" s="2"/>
      <c r="T129" s="3" t="s">
        <v>1098</v>
      </c>
      <c r="U129" s="2" t="s">
        <v>1496</v>
      </c>
      <c r="V129" s="184" t="s">
        <v>23</v>
      </c>
      <c r="W129" s="187" t="s">
        <v>1497</v>
      </c>
      <c r="X129" s="186" t="s">
        <v>1498</v>
      </c>
    </row>
    <row r="130" spans="1:24" s="63" customFormat="1" ht="21.95" customHeight="1" x14ac:dyDescent="0.25">
      <c r="B130" s="69" t="s">
        <v>1499</v>
      </c>
      <c r="E130" s="71"/>
      <c r="F130" s="71"/>
      <c r="G130" s="71"/>
      <c r="H130" s="67"/>
      <c r="I130" s="67"/>
      <c r="J130" s="67"/>
      <c r="K130" s="67"/>
      <c r="L130" s="67"/>
      <c r="M130" s="67"/>
      <c r="N130" s="67"/>
      <c r="O130" s="67"/>
      <c r="P130" s="67"/>
      <c r="Q130" s="67"/>
      <c r="R130" s="68"/>
      <c r="W130" s="67"/>
    </row>
    <row r="131" spans="1:24" ht="42" customHeight="1" x14ac:dyDescent="0.25">
      <c r="A131" s="38" t="s">
        <v>1018</v>
      </c>
      <c r="B131" s="7" t="s">
        <v>1500</v>
      </c>
      <c r="C131" s="2"/>
      <c r="D131" s="10" t="s">
        <v>1501</v>
      </c>
      <c r="E131" s="11"/>
      <c r="F131" s="11" t="s">
        <v>1502</v>
      </c>
      <c r="G131" s="11"/>
      <c r="H131" s="47" t="s">
        <v>1503</v>
      </c>
      <c r="I131" s="47" t="s">
        <v>1043</v>
      </c>
      <c r="J131" s="47" t="s">
        <v>1504</v>
      </c>
      <c r="K131" s="47" t="s">
        <v>1005</v>
      </c>
      <c r="L131" s="47" t="s">
        <v>1505</v>
      </c>
      <c r="M131" s="47" t="s">
        <v>1114</v>
      </c>
      <c r="N131" s="47"/>
      <c r="O131" s="47" t="s">
        <v>1115</v>
      </c>
      <c r="P131" s="47" t="s">
        <v>1506</v>
      </c>
      <c r="Q131" s="47"/>
      <c r="R131" s="21"/>
      <c r="S131" s="2"/>
      <c r="T131" s="3" t="s">
        <v>1378</v>
      </c>
      <c r="U131" s="2" t="s">
        <v>1507</v>
      </c>
      <c r="V131" s="184" t="s">
        <v>23</v>
      </c>
      <c r="W131" s="187" t="s">
        <v>1508</v>
      </c>
      <c r="X131" s="186" t="s">
        <v>1509</v>
      </c>
    </row>
    <row r="132" spans="1:24" ht="15" customHeight="1" x14ac:dyDescent="0.25">
      <c r="A132" s="84"/>
      <c r="B132" s="6"/>
      <c r="C132" s="6"/>
      <c r="D132" s="23"/>
      <c r="E132" s="30"/>
      <c r="F132" s="30"/>
      <c r="G132" s="85" t="s">
        <v>1510</v>
      </c>
      <c r="H132" s="48"/>
      <c r="I132" s="48"/>
      <c r="J132" s="48"/>
      <c r="K132" s="48"/>
      <c r="L132" s="48"/>
      <c r="M132" s="48"/>
      <c r="N132" s="48"/>
      <c r="O132" s="48"/>
      <c r="P132" s="48"/>
      <c r="Q132" s="48"/>
      <c r="R132" s="24"/>
      <c r="S132" s="6"/>
      <c r="T132" s="36"/>
      <c r="U132" s="6"/>
      <c r="V132" s="6"/>
    </row>
    <row r="133" spans="1:24" ht="15" customHeight="1" x14ac:dyDescent="0.25">
      <c r="A133" s="84"/>
      <c r="B133" s="6"/>
      <c r="C133" s="6"/>
      <c r="D133" s="23"/>
      <c r="E133" s="30"/>
      <c r="F133" s="30"/>
      <c r="G133" s="86" t="s">
        <v>1511</v>
      </c>
      <c r="H133" s="48"/>
      <c r="I133" s="48"/>
      <c r="J133" s="48"/>
      <c r="K133" s="48"/>
      <c r="L133" s="48"/>
      <c r="M133" s="48"/>
      <c r="N133" s="48"/>
      <c r="O133" s="48"/>
      <c r="P133" s="48"/>
      <c r="Q133" s="48"/>
      <c r="R133" s="24"/>
      <c r="S133" s="6"/>
      <c r="T133" s="36"/>
      <c r="U133" s="6"/>
      <c r="V133" s="6"/>
    </row>
    <row r="134" spans="1:24" ht="15" customHeight="1" x14ac:dyDescent="0.25">
      <c r="A134" s="84"/>
      <c r="B134" s="6"/>
      <c r="C134" s="6"/>
      <c r="D134" s="23"/>
      <c r="E134" s="30"/>
      <c r="F134" s="30" t="s">
        <v>1512</v>
      </c>
      <c r="G134" s="86" t="s">
        <v>1513</v>
      </c>
      <c r="H134" s="48"/>
      <c r="I134" s="48"/>
      <c r="J134" s="48"/>
      <c r="K134" s="48"/>
      <c r="L134" s="48"/>
      <c r="M134" s="48"/>
      <c r="N134" s="48"/>
      <c r="O134" s="48"/>
      <c r="P134" s="48"/>
      <c r="Q134" s="48"/>
      <c r="R134" s="24"/>
      <c r="S134" s="6"/>
      <c r="T134" s="36"/>
      <c r="U134" s="6"/>
      <c r="V134" s="6"/>
    </row>
    <row r="135" spans="1:24" ht="15" customHeight="1" x14ac:dyDescent="0.25">
      <c r="A135" s="84"/>
      <c r="B135" s="6"/>
      <c r="C135" s="6"/>
      <c r="D135" s="23"/>
      <c r="E135" s="30"/>
      <c r="F135" s="88" t="s">
        <v>1514</v>
      </c>
      <c r="G135" s="85" t="s">
        <v>1515</v>
      </c>
      <c r="H135" s="48"/>
      <c r="I135" s="48"/>
      <c r="J135" s="48"/>
      <c r="K135" s="48"/>
      <c r="L135" s="48"/>
      <c r="M135" s="48"/>
      <c r="N135" s="48"/>
      <c r="O135" s="48"/>
      <c r="P135" s="48"/>
      <c r="Q135" s="48"/>
      <c r="R135" s="24"/>
      <c r="S135" s="6"/>
      <c r="T135" s="36"/>
      <c r="U135" s="6"/>
      <c r="V135" s="6"/>
    </row>
    <row r="136" spans="1:24" ht="15" customHeight="1" x14ac:dyDescent="0.25">
      <c r="A136" s="84"/>
      <c r="B136" s="6"/>
      <c r="C136" s="6"/>
      <c r="D136" s="23"/>
      <c r="E136" s="30"/>
      <c r="F136" s="88" t="s">
        <v>1516</v>
      </c>
      <c r="G136" s="86" t="s">
        <v>1517</v>
      </c>
      <c r="H136" s="48"/>
      <c r="I136" s="48"/>
      <c r="J136" s="48"/>
      <c r="K136" s="48"/>
      <c r="L136" s="48"/>
      <c r="M136" s="48"/>
      <c r="N136" s="48"/>
      <c r="O136" s="48"/>
      <c r="P136" s="48"/>
      <c r="Q136" s="48"/>
      <c r="R136" s="24"/>
      <c r="S136" s="6"/>
      <c r="T136" s="36"/>
      <c r="U136" s="6"/>
      <c r="V136" s="6"/>
    </row>
    <row r="137" spans="1:24" ht="15" customHeight="1" x14ac:dyDescent="0.25">
      <c r="A137" s="84"/>
      <c r="B137" s="6"/>
      <c r="C137" s="6"/>
      <c r="D137" s="23"/>
      <c r="E137" s="30"/>
      <c r="F137" s="88" t="s">
        <v>1518</v>
      </c>
      <c r="G137" s="86" t="s">
        <v>1519</v>
      </c>
      <c r="H137" s="48"/>
      <c r="I137" s="48"/>
      <c r="J137" s="48"/>
      <c r="K137" s="48"/>
      <c r="L137" s="48"/>
      <c r="M137" s="48"/>
      <c r="N137" s="48"/>
      <c r="O137" s="48"/>
      <c r="P137" s="48"/>
      <c r="Q137" s="48"/>
      <c r="R137" s="24"/>
      <c r="S137" s="6"/>
      <c r="T137" s="36"/>
      <c r="U137" s="6"/>
      <c r="V137" s="6"/>
    </row>
    <row r="138" spans="1:24" ht="15" customHeight="1" x14ac:dyDescent="0.25">
      <c r="A138" s="84"/>
      <c r="B138" s="6"/>
      <c r="C138" s="6"/>
      <c r="D138" s="23"/>
      <c r="E138" s="30"/>
      <c r="F138" s="88" t="s">
        <v>1518</v>
      </c>
      <c r="G138" s="86" t="s">
        <v>1520</v>
      </c>
      <c r="H138" s="48"/>
      <c r="I138" s="48"/>
      <c r="J138" s="48"/>
      <c r="K138" s="48"/>
      <c r="L138" s="48"/>
      <c r="M138" s="48"/>
      <c r="N138" s="48"/>
      <c r="O138" s="48"/>
      <c r="P138" s="48"/>
      <c r="Q138" s="48"/>
      <c r="R138" s="24"/>
      <c r="S138" s="6"/>
      <c r="T138" s="36"/>
      <c r="U138" s="6"/>
      <c r="V138" s="6"/>
    </row>
    <row r="139" spans="1:24" ht="15" customHeight="1" x14ac:dyDescent="0.25">
      <c r="A139" s="84"/>
      <c r="B139" s="6"/>
      <c r="C139" s="6"/>
      <c r="D139" s="23"/>
      <c r="E139" s="30"/>
      <c r="F139" s="88" t="s">
        <v>1518</v>
      </c>
      <c r="G139" s="86" t="s">
        <v>1521</v>
      </c>
      <c r="H139" s="48"/>
      <c r="I139" s="48"/>
      <c r="J139" s="48"/>
      <c r="K139" s="48"/>
      <c r="L139" s="48"/>
      <c r="M139" s="48"/>
      <c r="N139" s="48"/>
      <c r="O139" s="48"/>
      <c r="P139" s="48"/>
      <c r="Q139" s="48"/>
      <c r="R139" s="24"/>
      <c r="S139" s="6"/>
      <c r="T139" s="36"/>
      <c r="U139" s="6"/>
      <c r="V139" s="6"/>
    </row>
    <row r="140" spans="1:24" ht="15" customHeight="1" x14ac:dyDescent="0.25">
      <c r="A140" s="84"/>
      <c r="B140" s="6"/>
      <c r="C140" s="6"/>
      <c r="D140" s="23"/>
      <c r="E140" s="30"/>
      <c r="F140" s="88" t="s">
        <v>1522</v>
      </c>
      <c r="G140" s="87" t="s">
        <v>1523</v>
      </c>
      <c r="H140" s="48"/>
      <c r="I140" s="48"/>
      <c r="J140" s="48"/>
      <c r="K140" s="48"/>
      <c r="L140" s="48"/>
      <c r="M140" s="48"/>
      <c r="N140" s="48"/>
      <c r="O140" s="48"/>
      <c r="P140" s="48"/>
      <c r="Q140" s="48"/>
      <c r="R140" s="24"/>
      <c r="S140" s="6"/>
      <c r="T140" s="36"/>
      <c r="U140" s="6"/>
      <c r="V140" s="6"/>
    </row>
    <row r="141" spans="1:24" ht="15" customHeight="1" x14ac:dyDescent="0.25">
      <c r="A141" s="84"/>
      <c r="B141" s="6"/>
      <c r="C141" s="6"/>
      <c r="D141" s="23"/>
      <c r="E141" s="30"/>
      <c r="F141" s="30"/>
      <c r="G141" s="86" t="s">
        <v>1524</v>
      </c>
      <c r="H141" s="48"/>
      <c r="I141" s="48"/>
      <c r="J141" s="48"/>
      <c r="K141" s="48"/>
      <c r="L141" s="48"/>
      <c r="M141" s="48"/>
      <c r="N141" s="48"/>
      <c r="O141" s="48"/>
      <c r="P141" s="48"/>
      <c r="Q141" s="48"/>
      <c r="R141" s="24"/>
      <c r="S141" s="6"/>
      <c r="T141" s="36"/>
      <c r="U141" s="6"/>
      <c r="V141" s="6"/>
    </row>
    <row r="142" spans="1:24" s="63" customFormat="1" ht="21.95" customHeight="1" x14ac:dyDescent="0.25">
      <c r="B142" s="64" t="s">
        <v>1525</v>
      </c>
      <c r="E142" s="71"/>
      <c r="F142" s="71"/>
      <c r="G142" s="71"/>
      <c r="H142" s="67"/>
      <c r="I142" s="67"/>
      <c r="J142" s="67"/>
      <c r="K142" s="67"/>
      <c r="L142" s="67"/>
      <c r="M142" s="67"/>
      <c r="N142" s="67"/>
      <c r="O142" s="67"/>
      <c r="P142" s="67"/>
      <c r="Q142" s="67"/>
      <c r="R142" s="68"/>
      <c r="W142" s="67"/>
    </row>
    <row r="143" spans="1:24" ht="42" customHeight="1" x14ac:dyDescent="0.25">
      <c r="A143" s="3" t="s">
        <v>998</v>
      </c>
      <c r="B143" s="7" t="s">
        <v>949</v>
      </c>
      <c r="C143" s="2"/>
      <c r="D143" s="10" t="s">
        <v>1526</v>
      </c>
      <c r="E143" s="11"/>
      <c r="F143" s="11" t="s">
        <v>1527</v>
      </c>
      <c r="G143" s="11"/>
      <c r="H143" s="46" t="s">
        <v>1360</v>
      </c>
      <c r="I143" s="47" t="s">
        <v>1528</v>
      </c>
      <c r="J143" s="47"/>
      <c r="K143" s="47" t="s">
        <v>1005</v>
      </c>
      <c r="L143" s="47"/>
      <c r="M143" s="47" t="s">
        <v>1006</v>
      </c>
      <c r="N143" s="47"/>
      <c r="O143" s="47"/>
      <c r="P143" s="47" t="s">
        <v>1529</v>
      </c>
      <c r="Q143" s="47"/>
      <c r="R143" s="21"/>
      <c r="S143" s="2"/>
      <c r="T143" s="3" t="s">
        <v>1046</v>
      </c>
      <c r="U143" s="2" t="s">
        <v>1530</v>
      </c>
      <c r="V143" s="184" t="s">
        <v>23</v>
      </c>
      <c r="W143" s="184" t="s">
        <v>1531</v>
      </c>
      <c r="X143" s="184" t="s">
        <v>23</v>
      </c>
    </row>
    <row r="144" spans="1:24" ht="42" customHeight="1" x14ac:dyDescent="0.25">
      <c r="A144" s="3" t="s">
        <v>998</v>
      </c>
      <c r="B144" s="7" t="s">
        <v>952</v>
      </c>
      <c r="C144" s="2"/>
      <c r="D144" s="10" t="s">
        <v>1532</v>
      </c>
      <c r="E144" s="11"/>
      <c r="F144" s="11"/>
      <c r="G144" s="8" t="s">
        <v>1533</v>
      </c>
      <c r="H144" s="47" t="s">
        <v>925</v>
      </c>
      <c r="I144" s="47" t="s">
        <v>1528</v>
      </c>
      <c r="J144" s="47"/>
      <c r="K144" s="47" t="s">
        <v>1005</v>
      </c>
      <c r="L144" s="47" t="s">
        <v>1534</v>
      </c>
      <c r="M144" s="47" t="s">
        <v>1006</v>
      </c>
      <c r="N144" s="47"/>
      <c r="O144" s="47"/>
      <c r="P144" s="47" t="s">
        <v>1535</v>
      </c>
      <c r="Q144" s="47"/>
      <c r="R144" s="21"/>
      <c r="S144" s="2"/>
      <c r="T144" s="3" t="s">
        <v>1046</v>
      </c>
      <c r="U144" s="2" t="s">
        <v>1536</v>
      </c>
      <c r="V144" s="184" t="s">
        <v>23</v>
      </c>
      <c r="W144" s="184" t="s">
        <v>1531</v>
      </c>
      <c r="X144" s="184" t="s">
        <v>23</v>
      </c>
    </row>
    <row r="145" spans="1:24" ht="42" customHeight="1" x14ac:dyDescent="0.45">
      <c r="A145" s="3" t="s">
        <v>998</v>
      </c>
      <c r="B145" s="7" t="s">
        <v>954</v>
      </c>
      <c r="C145" s="2"/>
      <c r="D145" s="92" t="s">
        <v>1537</v>
      </c>
      <c r="E145" s="11"/>
      <c r="F145" s="11" t="s">
        <v>1538</v>
      </c>
      <c r="G145" s="11"/>
      <c r="H145" s="46" t="s">
        <v>1354</v>
      </c>
      <c r="I145" s="47" t="s">
        <v>1528</v>
      </c>
      <c r="J145" s="47"/>
      <c r="K145" s="47" t="s">
        <v>1005</v>
      </c>
      <c r="L145" s="47" t="s">
        <v>1534</v>
      </c>
      <c r="M145" s="47" t="s">
        <v>1006</v>
      </c>
      <c r="N145" s="47"/>
      <c r="O145" s="47"/>
      <c r="P145" s="47" t="s">
        <v>1539</v>
      </c>
      <c r="Q145" s="47"/>
      <c r="R145" s="21"/>
      <c r="S145" s="2"/>
      <c r="T145" s="3" t="s">
        <v>1046</v>
      </c>
      <c r="U145" s="2" t="s">
        <v>1540</v>
      </c>
      <c r="V145" s="184" t="s">
        <v>23</v>
      </c>
      <c r="W145" s="184" t="s">
        <v>1531</v>
      </c>
      <c r="X145" s="184" t="s">
        <v>23</v>
      </c>
    </row>
    <row r="146" spans="1:24" ht="42" customHeight="1" x14ac:dyDescent="0.45">
      <c r="A146" s="3" t="s">
        <v>998</v>
      </c>
      <c r="B146" s="7" t="s">
        <v>955</v>
      </c>
      <c r="C146" s="2"/>
      <c r="D146" s="92" t="s">
        <v>1541</v>
      </c>
      <c r="E146" s="11"/>
      <c r="F146" s="11"/>
      <c r="G146" s="11" t="s">
        <v>1542</v>
      </c>
      <c r="H146" s="47" t="s">
        <v>925</v>
      </c>
      <c r="I146" s="47" t="s">
        <v>1528</v>
      </c>
      <c r="J146" s="47"/>
      <c r="K146" s="47" t="s">
        <v>1005</v>
      </c>
      <c r="L146" s="47" t="s">
        <v>1534</v>
      </c>
      <c r="M146" s="47" t="s">
        <v>1006</v>
      </c>
      <c r="N146" s="47"/>
      <c r="O146" s="47"/>
      <c r="P146" s="47" t="s">
        <v>1543</v>
      </c>
      <c r="Q146" s="47"/>
      <c r="R146" s="21"/>
      <c r="S146" s="2"/>
      <c r="T146" s="3" t="s">
        <v>1046</v>
      </c>
      <c r="U146" s="2" t="s">
        <v>1544</v>
      </c>
      <c r="V146" s="184" t="s">
        <v>23</v>
      </c>
      <c r="W146" s="184" t="s">
        <v>1531</v>
      </c>
      <c r="X146" s="184" t="s">
        <v>23</v>
      </c>
    </row>
    <row r="147" spans="1:24" ht="42" customHeight="1" x14ac:dyDescent="0.25">
      <c r="A147" s="3" t="s">
        <v>998</v>
      </c>
      <c r="B147" s="7" t="s">
        <v>1545</v>
      </c>
      <c r="C147" s="2"/>
      <c r="D147" s="10" t="s">
        <v>1546</v>
      </c>
      <c r="E147" s="11"/>
      <c r="F147" s="11"/>
      <c r="G147" s="11" t="s">
        <v>1547</v>
      </c>
      <c r="H147" s="47" t="s">
        <v>1042</v>
      </c>
      <c r="I147" s="47" t="s">
        <v>1043</v>
      </c>
      <c r="J147" s="47" t="s">
        <v>1096</v>
      </c>
      <c r="K147" s="47" t="s">
        <v>1005</v>
      </c>
      <c r="L147" s="47"/>
      <c r="M147" s="47" t="s">
        <v>1006</v>
      </c>
      <c r="N147" s="47"/>
      <c r="O147" s="47"/>
      <c r="P147" s="47" t="s">
        <v>1548</v>
      </c>
      <c r="Q147" s="47"/>
      <c r="R147" s="21"/>
      <c r="S147" s="2"/>
      <c r="T147" s="3" t="s">
        <v>1098</v>
      </c>
      <c r="U147" s="2" t="s">
        <v>1549</v>
      </c>
      <c r="V147" s="184" t="s">
        <v>23</v>
      </c>
      <c r="W147" s="184" t="s">
        <v>23</v>
      </c>
      <c r="X147" s="186" t="s">
        <v>1550</v>
      </c>
    </row>
    <row r="148" spans="1:24" ht="42" customHeight="1" x14ac:dyDescent="0.25">
      <c r="A148" s="3" t="s">
        <v>998</v>
      </c>
      <c r="B148" s="7" t="s">
        <v>1551</v>
      </c>
      <c r="C148" s="2"/>
      <c r="D148" s="10" t="s">
        <v>1552</v>
      </c>
      <c r="E148" s="11"/>
      <c r="F148" s="7"/>
      <c r="G148" s="11" t="s">
        <v>1553</v>
      </c>
      <c r="H148" s="47" t="s">
        <v>1281</v>
      </c>
      <c r="I148" s="47" t="s">
        <v>1043</v>
      </c>
      <c r="J148" s="47" t="s">
        <v>1265</v>
      </c>
      <c r="K148" s="47" t="s">
        <v>1005</v>
      </c>
      <c r="L148" s="47"/>
      <c r="M148" s="47" t="s">
        <v>1006</v>
      </c>
      <c r="N148" s="47"/>
      <c r="O148" s="47"/>
      <c r="P148" s="47" t="s">
        <v>1548</v>
      </c>
      <c r="Q148" s="47" t="s">
        <v>1554</v>
      </c>
      <c r="R148" s="21"/>
      <c r="S148" s="2"/>
      <c r="T148" s="3" t="s">
        <v>1268</v>
      </c>
      <c r="U148" s="2" t="s">
        <v>1555</v>
      </c>
      <c r="V148" s="184" t="s">
        <v>23</v>
      </c>
      <c r="W148" s="184" t="s">
        <v>23</v>
      </c>
      <c r="X148" s="186" t="s">
        <v>1556</v>
      </c>
    </row>
    <row r="149" spans="1:24" ht="42" customHeight="1" x14ac:dyDescent="0.25">
      <c r="A149" s="3" t="s">
        <v>998</v>
      </c>
      <c r="B149" s="7" t="s">
        <v>958</v>
      </c>
      <c r="C149" s="2"/>
      <c r="D149" s="10" t="s">
        <v>1557</v>
      </c>
      <c r="E149" s="11"/>
      <c r="F149" s="11"/>
      <c r="G149" s="11" t="s">
        <v>1558</v>
      </c>
      <c r="H149" s="47" t="s">
        <v>1042</v>
      </c>
      <c r="I149" s="47" t="s">
        <v>1043</v>
      </c>
      <c r="J149" s="47" t="s">
        <v>1096</v>
      </c>
      <c r="K149" s="47" t="s">
        <v>1005</v>
      </c>
      <c r="L149" s="47"/>
      <c r="M149" s="47" t="s">
        <v>1006</v>
      </c>
      <c r="N149" s="47"/>
      <c r="O149" s="47"/>
      <c r="P149" s="47" t="s">
        <v>1559</v>
      </c>
      <c r="Q149" s="47"/>
      <c r="R149" s="21"/>
      <c r="S149" s="2"/>
      <c r="T149" s="3" t="s">
        <v>1098</v>
      </c>
      <c r="U149" s="2" t="s">
        <v>1560</v>
      </c>
      <c r="V149" s="184" t="s">
        <v>23</v>
      </c>
      <c r="W149" s="184" t="s">
        <v>23</v>
      </c>
      <c r="X149" s="184" t="s">
        <v>1561</v>
      </c>
    </row>
    <row r="150" spans="1:24" ht="42" customHeight="1" x14ac:dyDescent="0.25">
      <c r="A150" s="3" t="s">
        <v>998</v>
      </c>
      <c r="B150" s="7" t="s">
        <v>959</v>
      </c>
      <c r="C150" s="2"/>
      <c r="D150" s="10" t="s">
        <v>1562</v>
      </c>
      <c r="E150" s="11"/>
      <c r="F150" s="11"/>
      <c r="G150" s="11" t="s">
        <v>1547</v>
      </c>
      <c r="H150" s="47" t="s">
        <v>1042</v>
      </c>
      <c r="I150" s="47" t="s">
        <v>1043</v>
      </c>
      <c r="J150" s="47" t="s">
        <v>1096</v>
      </c>
      <c r="K150" s="47" t="s">
        <v>1005</v>
      </c>
      <c r="L150" s="47"/>
      <c r="M150" s="47" t="s">
        <v>1006</v>
      </c>
      <c r="N150" s="47"/>
      <c r="O150" s="47"/>
      <c r="P150" s="47" t="s">
        <v>1257</v>
      </c>
      <c r="Q150" s="47"/>
      <c r="R150" s="21"/>
      <c r="S150" s="2"/>
      <c r="T150" s="3" t="s">
        <v>1098</v>
      </c>
      <c r="U150" s="2" t="s">
        <v>1563</v>
      </c>
      <c r="V150" s="184" t="s">
        <v>23</v>
      </c>
      <c r="W150" s="184" t="s">
        <v>23</v>
      </c>
      <c r="X150" s="184" t="s">
        <v>1564</v>
      </c>
    </row>
    <row r="151" spans="1:24" ht="42" customHeight="1" x14ac:dyDescent="0.25">
      <c r="A151" s="3" t="s">
        <v>998</v>
      </c>
      <c r="B151" s="7" t="s">
        <v>136</v>
      </c>
      <c r="C151" s="2"/>
      <c r="D151" s="10" t="s">
        <v>1565</v>
      </c>
      <c r="E151" s="11"/>
      <c r="F151" s="11"/>
      <c r="G151" s="11" t="s">
        <v>1566</v>
      </c>
      <c r="H151" s="47" t="s">
        <v>1567</v>
      </c>
      <c r="I151" s="47" t="s">
        <v>1043</v>
      </c>
      <c r="J151" s="47" t="s">
        <v>1265</v>
      </c>
      <c r="K151" s="47" t="s">
        <v>1005</v>
      </c>
      <c r="L151" s="47"/>
      <c r="M151" s="47" t="s">
        <v>1006</v>
      </c>
      <c r="N151" s="47"/>
      <c r="O151" s="47"/>
      <c r="P151" s="47" t="s">
        <v>1568</v>
      </c>
      <c r="Q151" s="47" t="s">
        <v>1569</v>
      </c>
      <c r="R151" s="21"/>
      <c r="S151" s="2"/>
      <c r="T151" s="3" t="s">
        <v>1268</v>
      </c>
      <c r="U151" s="2" t="s">
        <v>1570</v>
      </c>
      <c r="V151" s="184" t="s">
        <v>23</v>
      </c>
      <c r="W151" s="184" t="s">
        <v>23</v>
      </c>
      <c r="X151" s="186" t="s">
        <v>1571</v>
      </c>
    </row>
    <row r="152" spans="1:24" ht="42" customHeight="1" x14ac:dyDescent="0.25">
      <c r="A152" s="3" t="s">
        <v>998</v>
      </c>
      <c r="B152" s="7" t="s">
        <v>961</v>
      </c>
      <c r="C152" s="2"/>
      <c r="D152" s="10" t="s">
        <v>1572</v>
      </c>
      <c r="E152" s="11"/>
      <c r="F152" s="11"/>
      <c r="G152" s="11" t="s">
        <v>1573</v>
      </c>
      <c r="H152" s="47" t="s">
        <v>1567</v>
      </c>
      <c r="I152" s="47" t="s">
        <v>1043</v>
      </c>
      <c r="J152" s="47" t="s">
        <v>1265</v>
      </c>
      <c r="K152" s="47" t="s">
        <v>1005</v>
      </c>
      <c r="L152" s="47"/>
      <c r="M152" s="47" t="s">
        <v>1006</v>
      </c>
      <c r="N152" s="47"/>
      <c r="O152" s="47"/>
      <c r="P152" s="47" t="s">
        <v>1574</v>
      </c>
      <c r="Q152" s="47"/>
      <c r="R152" s="21"/>
      <c r="S152" s="2"/>
      <c r="T152" s="3" t="s">
        <v>1268</v>
      </c>
      <c r="U152" s="2" t="s">
        <v>1575</v>
      </c>
      <c r="V152" s="184" t="s">
        <v>23</v>
      </c>
      <c r="W152" s="184" t="s">
        <v>23</v>
      </c>
      <c r="X152" s="184" t="s">
        <v>1576</v>
      </c>
    </row>
    <row r="153" spans="1:24" ht="42" customHeight="1" x14ac:dyDescent="0.25">
      <c r="A153" s="3" t="s">
        <v>998</v>
      </c>
      <c r="B153" s="7" t="s">
        <v>963</v>
      </c>
      <c r="C153" s="2"/>
      <c r="D153" s="10" t="s">
        <v>1577</v>
      </c>
      <c r="E153" s="11"/>
      <c r="F153" s="11"/>
      <c r="G153" s="11" t="s">
        <v>1547</v>
      </c>
      <c r="H153" s="47" t="s">
        <v>1042</v>
      </c>
      <c r="I153" s="47" t="s">
        <v>1043</v>
      </c>
      <c r="J153" s="47" t="s">
        <v>1096</v>
      </c>
      <c r="K153" s="47" t="s">
        <v>1005</v>
      </c>
      <c r="L153" s="47" t="s">
        <v>1578</v>
      </c>
      <c r="M153" s="47" t="s">
        <v>1006</v>
      </c>
      <c r="N153" s="47"/>
      <c r="O153" s="47"/>
      <c r="P153" s="47" t="s">
        <v>1257</v>
      </c>
      <c r="Q153" s="47" t="s">
        <v>1579</v>
      </c>
      <c r="R153" s="21"/>
      <c r="S153" s="2"/>
      <c r="T153" s="3" t="s">
        <v>1098</v>
      </c>
      <c r="U153" s="2" t="s">
        <v>1580</v>
      </c>
      <c r="V153" s="184" t="s">
        <v>23</v>
      </c>
      <c r="W153" s="184" t="s">
        <v>23</v>
      </c>
      <c r="X153" s="184" t="s">
        <v>1581</v>
      </c>
    </row>
    <row r="154" spans="1:24" ht="42" customHeight="1" x14ac:dyDescent="0.25">
      <c r="A154" s="3" t="s">
        <v>998</v>
      </c>
      <c r="B154" s="7" t="s">
        <v>140</v>
      </c>
      <c r="C154" s="2"/>
      <c r="D154" s="10" t="s">
        <v>1582</v>
      </c>
      <c r="E154" s="11"/>
      <c r="F154" s="11"/>
      <c r="G154" s="11" t="s">
        <v>1583</v>
      </c>
      <c r="H154" s="47" t="s">
        <v>1567</v>
      </c>
      <c r="I154" s="47" t="s">
        <v>1043</v>
      </c>
      <c r="J154" s="47" t="s">
        <v>1265</v>
      </c>
      <c r="K154" s="47" t="s">
        <v>1005</v>
      </c>
      <c r="L154" s="47"/>
      <c r="M154" s="47" t="s">
        <v>1006</v>
      </c>
      <c r="N154" s="47"/>
      <c r="O154" s="47"/>
      <c r="P154" s="47" t="s">
        <v>1584</v>
      </c>
      <c r="Q154" s="47" t="s">
        <v>1585</v>
      </c>
      <c r="R154" s="21"/>
      <c r="S154" s="2"/>
      <c r="T154" s="3" t="s">
        <v>1268</v>
      </c>
      <c r="U154" s="2" t="s">
        <v>1586</v>
      </c>
      <c r="V154" s="184" t="s">
        <v>23</v>
      </c>
      <c r="W154" s="184" t="s">
        <v>23</v>
      </c>
      <c r="X154" s="186" t="s">
        <v>1587</v>
      </c>
    </row>
    <row r="155" spans="1:24" s="63" customFormat="1" ht="21.95" customHeight="1" x14ac:dyDescent="0.25">
      <c r="B155" s="64" t="s">
        <v>1588</v>
      </c>
      <c r="E155" s="71"/>
      <c r="F155" s="71"/>
      <c r="G155" s="71"/>
      <c r="H155" s="67"/>
      <c r="I155" s="67"/>
      <c r="J155" s="67"/>
      <c r="K155" s="67"/>
      <c r="L155" s="67"/>
      <c r="M155" s="67"/>
      <c r="N155" s="67"/>
      <c r="O155" s="67"/>
      <c r="P155" s="67"/>
      <c r="Q155" s="67"/>
      <c r="R155" s="68"/>
      <c r="W155" s="67"/>
    </row>
    <row r="156" spans="1:24" ht="42" customHeight="1" x14ac:dyDescent="0.25">
      <c r="A156" s="3" t="s">
        <v>998</v>
      </c>
      <c r="B156" s="7" t="s">
        <v>144</v>
      </c>
      <c r="C156" s="2"/>
      <c r="D156" s="91" t="s">
        <v>1589</v>
      </c>
      <c r="E156" s="35" t="s">
        <v>1590</v>
      </c>
      <c r="F156" s="11"/>
      <c r="G156" s="11"/>
      <c r="H156" s="47" t="s">
        <v>1281</v>
      </c>
      <c r="I156" s="47" t="s">
        <v>1043</v>
      </c>
      <c r="J156" s="47" t="s">
        <v>1096</v>
      </c>
      <c r="K156" s="47" t="s">
        <v>1005</v>
      </c>
      <c r="L156" s="47"/>
      <c r="M156" s="47" t="s">
        <v>1006</v>
      </c>
      <c r="N156" s="47"/>
      <c r="O156" s="47"/>
      <c r="P156" s="47"/>
      <c r="Q156" s="47"/>
      <c r="R156" s="21"/>
      <c r="S156" s="2"/>
      <c r="T156" s="3" t="s">
        <v>1098</v>
      </c>
      <c r="U156" s="2" t="s">
        <v>1591</v>
      </c>
      <c r="V156" s="184" t="s">
        <v>23</v>
      </c>
      <c r="W156" s="187" t="s">
        <v>1592</v>
      </c>
      <c r="X156" s="184" t="s">
        <v>23</v>
      </c>
    </row>
    <row r="157" spans="1:24" ht="42" customHeight="1" x14ac:dyDescent="0.25">
      <c r="A157" s="3" t="s">
        <v>998</v>
      </c>
      <c r="B157" s="7" t="s">
        <v>966</v>
      </c>
      <c r="C157" s="2"/>
      <c r="D157" s="12" t="s">
        <v>1593</v>
      </c>
      <c r="E157" s="11"/>
      <c r="F157" s="11"/>
      <c r="G157" s="11"/>
      <c r="H157" s="47" t="s">
        <v>1594</v>
      </c>
      <c r="I157" s="47" t="s">
        <v>1595</v>
      </c>
      <c r="J157" s="47" t="s">
        <v>1596</v>
      </c>
      <c r="K157" s="59" t="s">
        <v>1055</v>
      </c>
      <c r="L157" s="47" t="s">
        <v>1597</v>
      </c>
      <c r="M157" s="47" t="s">
        <v>1598</v>
      </c>
      <c r="N157" s="47"/>
      <c r="O157" s="47"/>
      <c r="P157" s="47"/>
      <c r="Q157" s="47"/>
      <c r="R157" s="21"/>
      <c r="S157" s="2"/>
      <c r="T157" s="3" t="s">
        <v>1599</v>
      </c>
      <c r="U157" s="2" t="s">
        <v>1600</v>
      </c>
      <c r="V157" s="184" t="s">
        <v>23</v>
      </c>
      <c r="W157" s="184" t="s">
        <v>1601</v>
      </c>
      <c r="X157" s="184" t="s">
        <v>23</v>
      </c>
    </row>
    <row r="158" spans="1:24" ht="42" customHeight="1" x14ac:dyDescent="0.25">
      <c r="A158" s="3" t="s">
        <v>998</v>
      </c>
      <c r="B158" s="7" t="s">
        <v>968</v>
      </c>
      <c r="C158" s="2"/>
      <c r="D158" s="12"/>
      <c r="E158" s="11"/>
      <c r="F158" s="11"/>
      <c r="G158" s="11"/>
      <c r="H158" s="47" t="s">
        <v>1602</v>
      </c>
      <c r="I158" s="47" t="s">
        <v>1603</v>
      </c>
      <c r="J158" s="47" t="s">
        <v>1596</v>
      </c>
      <c r="K158" s="59" t="s">
        <v>1055</v>
      </c>
      <c r="L158" s="47" t="s">
        <v>1604</v>
      </c>
      <c r="M158" s="47" t="s">
        <v>1605</v>
      </c>
      <c r="N158" s="47"/>
      <c r="O158" s="47"/>
      <c r="P158" s="47"/>
      <c r="Q158" s="47"/>
      <c r="R158" s="21"/>
      <c r="S158" s="2"/>
      <c r="T158" s="3" t="s">
        <v>1599</v>
      </c>
      <c r="U158" s="2" t="s">
        <v>1606</v>
      </c>
      <c r="V158" s="184" t="s">
        <v>23</v>
      </c>
      <c r="W158" s="184" t="s">
        <v>1607</v>
      </c>
      <c r="X158" s="184" t="s">
        <v>23</v>
      </c>
    </row>
    <row r="159" spans="1:24" ht="42" customHeight="1" x14ac:dyDescent="0.25">
      <c r="A159" s="3" t="s">
        <v>998</v>
      </c>
      <c r="B159" s="7" t="s">
        <v>969</v>
      </c>
      <c r="C159" s="2"/>
      <c r="D159" s="12" t="s">
        <v>1608</v>
      </c>
      <c r="E159" s="11"/>
      <c r="F159" s="11"/>
      <c r="G159" s="11"/>
      <c r="H159" s="47" t="s">
        <v>1609</v>
      </c>
      <c r="I159" s="47" t="s">
        <v>1291</v>
      </c>
      <c r="J159" s="47" t="s">
        <v>1610</v>
      </c>
      <c r="K159" s="59" t="s">
        <v>1055</v>
      </c>
      <c r="L159" s="47" t="s">
        <v>1604</v>
      </c>
      <c r="M159" s="47" t="s">
        <v>1611</v>
      </c>
      <c r="N159" s="47"/>
      <c r="O159" s="47"/>
      <c r="P159" s="47"/>
      <c r="Q159" s="47"/>
      <c r="R159" s="21"/>
      <c r="S159" s="2"/>
      <c r="T159" s="3" t="s">
        <v>1612</v>
      </c>
      <c r="U159" s="2" t="s">
        <v>1613</v>
      </c>
      <c r="V159" s="184" t="s">
        <v>23</v>
      </c>
      <c r="W159" s="184" t="s">
        <v>1614</v>
      </c>
      <c r="X159" s="184" t="s">
        <v>23</v>
      </c>
    </row>
    <row r="160" spans="1:24" s="63" customFormat="1" ht="21.95" customHeight="1" x14ac:dyDescent="0.25">
      <c r="B160" s="64" t="s">
        <v>1615</v>
      </c>
      <c r="E160" s="71"/>
      <c r="F160" s="71"/>
      <c r="G160" s="71"/>
      <c r="H160" s="67"/>
      <c r="I160" s="67"/>
      <c r="J160" s="67"/>
      <c r="K160" s="67"/>
      <c r="L160" s="67"/>
      <c r="M160" s="67"/>
      <c r="N160" s="67"/>
      <c r="O160" s="67"/>
      <c r="P160" s="67"/>
      <c r="Q160" s="67"/>
      <c r="R160" s="68"/>
      <c r="W160" s="67"/>
    </row>
    <row r="161" spans="2:24" ht="42" customHeight="1" x14ac:dyDescent="0.25">
      <c r="B161" s="2" t="s">
        <v>847</v>
      </c>
      <c r="C161" s="2"/>
      <c r="D161" s="2" t="s">
        <v>1616</v>
      </c>
      <c r="E161" s="11"/>
      <c r="F161" s="11"/>
      <c r="G161" s="11"/>
      <c r="H161" s="47" t="s">
        <v>1617</v>
      </c>
      <c r="I161" s="47" t="s">
        <v>1618</v>
      </c>
      <c r="J161" s="47" t="s">
        <v>1619</v>
      </c>
      <c r="K161" s="59" t="s">
        <v>1055</v>
      </c>
      <c r="L161" s="47"/>
      <c r="M161" s="47"/>
      <c r="N161" s="47"/>
      <c r="O161" s="47"/>
      <c r="P161" s="47"/>
      <c r="Q161" s="47"/>
      <c r="R161" s="21"/>
      <c r="S161" s="2"/>
      <c r="T161" s="3" t="s">
        <v>1620</v>
      </c>
      <c r="U161" s="2" t="s">
        <v>1621</v>
      </c>
      <c r="V161" s="184" t="s">
        <v>23</v>
      </c>
      <c r="W161" s="184" t="s">
        <v>23</v>
      </c>
      <c r="X161" s="184" t="s">
        <v>23</v>
      </c>
    </row>
    <row r="162" spans="2:24" ht="42" customHeight="1" x14ac:dyDescent="0.25">
      <c r="B162" s="2" t="s">
        <v>1622</v>
      </c>
      <c r="C162" s="2"/>
      <c r="D162" s="2" t="s">
        <v>1623</v>
      </c>
      <c r="E162" s="11"/>
      <c r="F162" s="11"/>
      <c r="G162" s="11"/>
      <c r="H162" s="47" t="s">
        <v>1624</v>
      </c>
      <c r="I162" s="47" t="s">
        <v>1625</v>
      </c>
      <c r="J162" s="47" t="s">
        <v>1626</v>
      </c>
      <c r="K162" s="59" t="s">
        <v>1055</v>
      </c>
      <c r="L162" s="47"/>
      <c r="M162" s="47"/>
      <c r="N162" s="47"/>
      <c r="O162" s="47"/>
      <c r="P162" s="47"/>
      <c r="Q162" s="47"/>
      <c r="R162" s="21"/>
      <c r="S162" s="2"/>
      <c r="T162" s="3" t="s">
        <v>1620</v>
      </c>
      <c r="U162" s="2" t="s">
        <v>1627</v>
      </c>
      <c r="V162" s="184" t="s">
        <v>23</v>
      </c>
      <c r="W162" s="184" t="s">
        <v>23</v>
      </c>
      <c r="X162" s="184" t="s">
        <v>23</v>
      </c>
    </row>
    <row r="163" spans="2:24" ht="42" customHeight="1" x14ac:dyDescent="0.25">
      <c r="B163" s="2" t="s">
        <v>1628</v>
      </c>
      <c r="C163" s="2"/>
      <c r="D163" s="2" t="e">
        <v>#VALUE!</v>
      </c>
      <c r="E163" s="11"/>
      <c r="F163" s="11"/>
      <c r="G163" s="11"/>
      <c r="H163" s="47"/>
      <c r="I163" s="47"/>
      <c r="J163" s="47"/>
      <c r="K163" s="59" t="s">
        <v>1055</v>
      </c>
      <c r="L163" s="47"/>
      <c r="M163" s="47"/>
      <c r="N163" s="47"/>
      <c r="O163" s="47"/>
      <c r="P163" s="47"/>
      <c r="Q163" s="47"/>
      <c r="R163" s="21"/>
      <c r="S163" s="2"/>
      <c r="T163" s="3" t="s">
        <v>1620</v>
      </c>
      <c r="U163" s="2" t="s">
        <v>1629</v>
      </c>
      <c r="V163" s="184" t="s">
        <v>23</v>
      </c>
      <c r="W163" s="184" t="s">
        <v>23</v>
      </c>
      <c r="X163" s="184" t="s">
        <v>23</v>
      </c>
    </row>
    <row r="164" spans="2:24" ht="42" customHeight="1" x14ac:dyDescent="0.25">
      <c r="B164" s="2" t="s">
        <v>1630</v>
      </c>
      <c r="C164" s="2"/>
      <c r="D164" s="2" t="s">
        <v>1631</v>
      </c>
      <c r="E164" s="11"/>
      <c r="F164" s="11"/>
      <c r="G164" s="11"/>
      <c r="H164" s="47" t="s">
        <v>1632</v>
      </c>
      <c r="I164" s="47" t="s">
        <v>1633</v>
      </c>
      <c r="J164" s="47" t="s">
        <v>1634</v>
      </c>
      <c r="K164" s="59" t="s">
        <v>1055</v>
      </c>
      <c r="L164" s="47"/>
      <c r="M164" s="47"/>
      <c r="N164" s="47"/>
      <c r="O164" s="47"/>
      <c r="P164" s="47"/>
      <c r="Q164" s="47"/>
      <c r="R164" s="21"/>
      <c r="S164" s="2"/>
      <c r="T164" s="3" t="s">
        <v>1620</v>
      </c>
      <c r="U164" s="2" t="s">
        <v>1635</v>
      </c>
      <c r="V164" s="184" t="s">
        <v>23</v>
      </c>
      <c r="W164" s="184" t="s">
        <v>23</v>
      </c>
      <c r="X164" s="184" t="s">
        <v>23</v>
      </c>
    </row>
    <row r="165" spans="2:24" ht="42" customHeight="1" x14ac:dyDescent="0.25">
      <c r="B165" s="2" t="s">
        <v>1636</v>
      </c>
      <c r="C165" s="2"/>
      <c r="D165" s="2" t="s">
        <v>1637</v>
      </c>
      <c r="E165" s="11"/>
      <c r="F165" s="11"/>
      <c r="G165" s="11"/>
      <c r="H165" s="47" t="s">
        <v>1632</v>
      </c>
      <c r="I165" s="47" t="s">
        <v>1638</v>
      </c>
      <c r="J165" s="47" t="s">
        <v>1634</v>
      </c>
      <c r="K165" s="59" t="s">
        <v>1055</v>
      </c>
      <c r="L165" s="47"/>
      <c r="M165" s="47"/>
      <c r="N165" s="47"/>
      <c r="O165" s="47"/>
      <c r="P165" s="47"/>
      <c r="Q165" s="47"/>
      <c r="R165" s="21"/>
      <c r="S165" s="2"/>
      <c r="T165" s="3" t="s">
        <v>1620</v>
      </c>
      <c r="U165" s="2" t="s">
        <v>1639</v>
      </c>
      <c r="V165" s="184" t="s">
        <v>23</v>
      </c>
      <c r="W165" s="184" t="s">
        <v>23</v>
      </c>
      <c r="X165" s="184" t="s">
        <v>23</v>
      </c>
    </row>
    <row r="166" spans="2:24" ht="42" customHeight="1" x14ac:dyDescent="0.25">
      <c r="B166" s="2" t="s">
        <v>853</v>
      </c>
      <c r="C166" s="2"/>
      <c r="D166" s="2" t="s">
        <v>1640</v>
      </c>
      <c r="E166" s="11"/>
      <c r="F166" s="11"/>
      <c r="G166" s="11"/>
      <c r="H166" s="47" t="s">
        <v>1632</v>
      </c>
      <c r="I166" s="47" t="s">
        <v>1638</v>
      </c>
      <c r="J166" s="47" t="s">
        <v>1641</v>
      </c>
      <c r="K166" s="59" t="s">
        <v>1055</v>
      </c>
      <c r="L166" s="47"/>
      <c r="M166" s="47"/>
      <c r="N166" s="47"/>
      <c r="O166" s="47"/>
      <c r="P166" s="47"/>
      <c r="Q166" s="47"/>
      <c r="R166" s="21"/>
      <c r="S166" s="2"/>
      <c r="T166" s="3" t="s">
        <v>1620</v>
      </c>
      <c r="U166" s="2" t="s">
        <v>1642</v>
      </c>
      <c r="V166" s="184" t="s">
        <v>23</v>
      </c>
      <c r="W166" s="184" t="s">
        <v>23</v>
      </c>
      <c r="X166" s="184" t="s">
        <v>23</v>
      </c>
    </row>
    <row r="167" spans="2:24" ht="21.95" customHeight="1" x14ac:dyDescent="0.25">
      <c r="B167" s="5" t="s">
        <v>1643</v>
      </c>
      <c r="V167" s="184" t="s">
        <v>23</v>
      </c>
      <c r="W167" s="184" t="s">
        <v>23</v>
      </c>
      <c r="X167" s="184" t="s">
        <v>23</v>
      </c>
    </row>
    <row r="169" spans="2:24" x14ac:dyDescent="0.25">
      <c r="M169" s="46" t="s">
        <v>1644</v>
      </c>
    </row>
    <row r="170" spans="2:24" x14ac:dyDescent="0.25">
      <c r="M170" s="46" t="s">
        <v>1645</v>
      </c>
    </row>
    <row r="171" spans="2:24" x14ac:dyDescent="0.25">
      <c r="M171" s="46" t="s">
        <v>1646</v>
      </c>
    </row>
    <row r="172" spans="2:24" x14ac:dyDescent="0.25">
      <c r="M172" s="46" t="s">
        <v>1647</v>
      </c>
    </row>
    <row r="173" spans="2:24" x14ac:dyDescent="0.25">
      <c r="M173" s="46" t="s">
        <v>1648</v>
      </c>
    </row>
    <row r="174" spans="2:24" x14ac:dyDescent="0.25">
      <c r="M174" s="46" t="s">
        <v>1649</v>
      </c>
    </row>
    <row r="175" spans="2:24" x14ac:dyDescent="0.25">
      <c r="M175" s="46" t="s">
        <v>1650</v>
      </c>
    </row>
    <row r="176" spans="2:24" x14ac:dyDescent="0.25">
      <c r="M176" s="46" t="s">
        <v>1651</v>
      </c>
    </row>
    <row r="177" spans="13:13" x14ac:dyDescent="0.25">
      <c r="M177" s="46" t="s">
        <v>1652</v>
      </c>
    </row>
  </sheetData>
  <hyperlinks>
    <hyperlink ref="U110" r:id="rId1" xr:uid="{00000000-0004-0000-0300-000000000000}"/>
  </hyperlinks>
  <pageMargins left="0.75" right="0.75" top="1" bottom="1" header="0.5" footer="0.5"/>
  <pageSetup orientation="portrait" horizontalDpi="4294967293"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E84"/>
  <sheetViews>
    <sheetView zoomScale="70" zoomScaleNormal="70" workbookViewId="0">
      <selection activeCell="H9" sqref="H9"/>
    </sheetView>
  </sheetViews>
  <sheetFormatPr defaultRowHeight="15" x14ac:dyDescent="0.25"/>
  <cols>
    <col min="1" max="1" width="11.140625" customWidth="1"/>
  </cols>
  <sheetData>
    <row r="2" spans="1:24" x14ac:dyDescent="0.25">
      <c r="A2" s="46" t="s">
        <v>56</v>
      </c>
      <c r="B2" s="179" t="s">
        <v>1653</v>
      </c>
      <c r="C2" s="111" t="s">
        <v>1154</v>
      </c>
      <c r="T2" s="100">
        <v>3</v>
      </c>
      <c r="V2">
        <v>5.0090000000000003</v>
      </c>
      <c r="W2">
        <v>1.28372</v>
      </c>
      <c r="X2" s="180">
        <f>(T2-V2)/W2</f>
        <v>-1.5649830181036366</v>
      </c>
    </row>
    <row r="3" spans="1:24" x14ac:dyDescent="0.25">
      <c r="A3" s="46" t="s">
        <v>61</v>
      </c>
      <c r="B3" s="179" t="s">
        <v>1654</v>
      </c>
      <c r="C3" s="121" t="s">
        <v>1655</v>
      </c>
      <c r="T3" s="100">
        <v>3</v>
      </c>
      <c r="V3">
        <v>5.6310000000000002</v>
      </c>
      <c r="W3">
        <v>1.02132</v>
      </c>
      <c r="X3" s="180">
        <f>(T3-V3)/W3</f>
        <v>-2.5760780166842911</v>
      </c>
    </row>
    <row r="4" spans="1:24" x14ac:dyDescent="0.25">
      <c r="A4" s="46"/>
      <c r="B4" s="179"/>
      <c r="C4" s="121"/>
      <c r="T4" s="93"/>
    </row>
    <row r="5" spans="1:24" x14ac:dyDescent="0.25">
      <c r="A5" s="46"/>
      <c r="B5" s="179"/>
      <c r="C5" s="121"/>
      <c r="T5" s="93"/>
    </row>
    <row r="6" spans="1:24" x14ac:dyDescent="0.25">
      <c r="H6" t="s">
        <v>1656</v>
      </c>
      <c r="T6" s="93"/>
    </row>
    <row r="7" spans="1:24" x14ac:dyDescent="0.25">
      <c r="A7" s="94" t="s">
        <v>1657</v>
      </c>
      <c r="H7">
        <v>1</v>
      </c>
      <c r="I7">
        <v>2</v>
      </c>
      <c r="J7">
        <v>3</v>
      </c>
      <c r="K7">
        <v>4</v>
      </c>
      <c r="L7">
        <v>5</v>
      </c>
      <c r="M7">
        <v>6</v>
      </c>
      <c r="N7">
        <v>7</v>
      </c>
      <c r="O7">
        <v>8</v>
      </c>
      <c r="T7" s="93"/>
      <c r="V7" s="95" t="s">
        <v>1658</v>
      </c>
      <c r="W7" s="95" t="s">
        <v>1659</v>
      </c>
    </row>
    <row r="8" spans="1:24" x14ac:dyDescent="0.25">
      <c r="A8" s="96" t="s">
        <v>1382</v>
      </c>
      <c r="B8" s="97" t="s">
        <v>1185</v>
      </c>
      <c r="C8" s="97"/>
      <c r="F8" s="98" t="s">
        <v>1660</v>
      </c>
      <c r="H8" s="99">
        <v>1</v>
      </c>
      <c r="L8" s="99">
        <v>0</v>
      </c>
      <c r="O8" s="99">
        <v>1</v>
      </c>
      <c r="S8" t="s">
        <v>1661</v>
      </c>
      <c r="T8" s="100">
        <f t="shared" ref="T8:T15" si="0">SUM(H8:O8)</f>
        <v>2</v>
      </c>
      <c r="V8">
        <v>-0.45450000000000002</v>
      </c>
      <c r="W8">
        <v>1.0104200000000001</v>
      </c>
      <c r="X8" s="101">
        <f t="shared" ref="X8:X15" si="1">(T8-V8)/W8</f>
        <v>2.4291878624730305</v>
      </c>
    </row>
    <row r="9" spans="1:24" x14ac:dyDescent="0.25">
      <c r="A9" s="96" t="s">
        <v>1384</v>
      </c>
      <c r="B9" s="97" t="s">
        <v>1188</v>
      </c>
      <c r="C9" s="97"/>
      <c r="F9" s="98" t="s">
        <v>1660</v>
      </c>
      <c r="I9" s="99">
        <v>0</v>
      </c>
      <c r="L9" s="99">
        <v>0</v>
      </c>
      <c r="S9" t="s">
        <v>1662</v>
      </c>
      <c r="T9" s="100">
        <f t="shared" si="0"/>
        <v>0</v>
      </c>
      <c r="V9">
        <v>-0.25459999999999999</v>
      </c>
      <c r="W9">
        <v>1.1991000000000001</v>
      </c>
      <c r="X9" s="101">
        <f t="shared" si="1"/>
        <v>0.21232591109999163</v>
      </c>
    </row>
    <row r="10" spans="1:24" x14ac:dyDescent="0.25">
      <c r="A10" s="96" t="s">
        <v>1386</v>
      </c>
      <c r="B10" s="97" t="s">
        <v>1191</v>
      </c>
      <c r="C10" s="97"/>
      <c r="F10" s="98" t="s">
        <v>1660</v>
      </c>
      <c r="H10" s="99">
        <v>0</v>
      </c>
      <c r="J10" s="99">
        <v>1</v>
      </c>
      <c r="M10" s="99">
        <v>0</v>
      </c>
      <c r="S10" t="s">
        <v>1663</v>
      </c>
      <c r="T10" s="100">
        <f t="shared" si="0"/>
        <v>1</v>
      </c>
      <c r="V10">
        <v>-0.93279999999999996</v>
      </c>
      <c r="W10">
        <v>1.2241200000000001</v>
      </c>
      <c r="X10" s="101">
        <f t="shared" si="1"/>
        <v>1.5789301702447469</v>
      </c>
    </row>
    <row r="11" spans="1:24" x14ac:dyDescent="0.25">
      <c r="A11" s="96" t="s">
        <v>1388</v>
      </c>
      <c r="B11" s="97" t="s">
        <v>1194</v>
      </c>
      <c r="C11" s="97"/>
      <c r="F11" s="98" t="s">
        <v>1660</v>
      </c>
      <c r="I11" s="99">
        <v>0</v>
      </c>
      <c r="K11" s="99">
        <v>0</v>
      </c>
      <c r="M11" s="99">
        <v>0</v>
      </c>
      <c r="N11" s="99">
        <v>-1</v>
      </c>
      <c r="S11" t="s">
        <v>1664</v>
      </c>
      <c r="T11" s="100">
        <f t="shared" si="0"/>
        <v>-1</v>
      </c>
      <c r="V11">
        <v>3.8600000000000002E-2</v>
      </c>
      <c r="W11">
        <v>1.13192</v>
      </c>
      <c r="X11" s="101">
        <f t="shared" si="1"/>
        <v>-0.9175560110255141</v>
      </c>
    </row>
    <row r="12" spans="1:24" x14ac:dyDescent="0.25">
      <c r="A12" s="96" t="s">
        <v>1390</v>
      </c>
      <c r="B12" s="97" t="s">
        <v>1197</v>
      </c>
      <c r="C12" s="97"/>
      <c r="F12" s="98" t="s">
        <v>1660</v>
      </c>
      <c r="H12" s="99">
        <v>0</v>
      </c>
      <c r="J12" s="99">
        <v>0</v>
      </c>
      <c r="N12" s="99">
        <v>-1</v>
      </c>
      <c r="O12" s="99">
        <v>-1</v>
      </c>
      <c r="S12" t="s">
        <v>1665</v>
      </c>
      <c r="T12" s="100">
        <f t="shared" si="0"/>
        <v>-2</v>
      </c>
      <c r="V12">
        <v>0.99750000000000005</v>
      </c>
      <c r="W12">
        <v>1.3282099999999999</v>
      </c>
      <c r="X12" s="101">
        <f t="shared" si="1"/>
        <v>-2.2567967414791337</v>
      </c>
    </row>
    <row r="13" spans="1:24" x14ac:dyDescent="0.25">
      <c r="A13" s="96" t="s">
        <v>1392</v>
      </c>
      <c r="B13" s="97" t="s">
        <v>1200</v>
      </c>
      <c r="C13" s="97"/>
      <c r="F13" s="98" t="s">
        <v>1660</v>
      </c>
      <c r="I13" s="99">
        <v>1</v>
      </c>
      <c r="K13" s="99">
        <v>1</v>
      </c>
      <c r="N13" s="99">
        <v>0</v>
      </c>
      <c r="O13" s="99">
        <v>0</v>
      </c>
      <c r="S13" t="s">
        <v>1666</v>
      </c>
      <c r="T13" s="100">
        <f t="shared" si="0"/>
        <v>2</v>
      </c>
      <c r="V13">
        <v>-0.18509999999999999</v>
      </c>
      <c r="W13">
        <v>1.00078</v>
      </c>
      <c r="X13" s="101">
        <f t="shared" si="1"/>
        <v>2.1833969503787043</v>
      </c>
    </row>
    <row r="14" spans="1:24" x14ac:dyDescent="0.25">
      <c r="A14" s="96" t="s">
        <v>1394</v>
      </c>
      <c r="B14" s="97" t="s">
        <v>1203</v>
      </c>
      <c r="C14" s="97"/>
      <c r="F14" s="98" t="s">
        <v>1660</v>
      </c>
      <c r="H14" s="99">
        <v>-1</v>
      </c>
      <c r="J14" s="99">
        <v>0</v>
      </c>
      <c r="M14" s="99">
        <v>1</v>
      </c>
      <c r="N14" s="99">
        <v>0</v>
      </c>
      <c r="S14" t="s">
        <v>1667</v>
      </c>
      <c r="T14" s="100">
        <f t="shared" si="0"/>
        <v>0</v>
      </c>
      <c r="V14">
        <v>0.16739999999999999</v>
      </c>
      <c r="W14">
        <v>1.09544</v>
      </c>
      <c r="X14" s="101">
        <f t="shared" si="1"/>
        <v>-0.15281530709121449</v>
      </c>
    </row>
    <row r="15" spans="1:24" x14ac:dyDescent="0.25">
      <c r="A15" s="96" t="s">
        <v>1463</v>
      </c>
      <c r="B15" s="97" t="s">
        <v>1206</v>
      </c>
      <c r="C15" s="97"/>
      <c r="F15" s="98" t="s">
        <v>1660</v>
      </c>
      <c r="J15" s="99">
        <v>-1</v>
      </c>
      <c r="K15">
        <v>0</v>
      </c>
      <c r="L15" s="99">
        <v>-1</v>
      </c>
      <c r="S15" t="s">
        <v>1669</v>
      </c>
      <c r="T15" s="100">
        <f t="shared" si="0"/>
        <v>-2</v>
      </c>
      <c r="V15">
        <v>-0.66710000000000003</v>
      </c>
      <c r="W15">
        <v>1.51346</v>
      </c>
      <c r="X15" s="101">
        <f t="shared" si="1"/>
        <v>-0.88069721036565218</v>
      </c>
    </row>
    <row r="16" spans="1:24" x14ac:dyDescent="0.25">
      <c r="T16" s="93"/>
    </row>
    <row r="17" spans="1:24" x14ac:dyDescent="0.25">
      <c r="T17" s="93"/>
    </row>
    <row r="18" spans="1:24" x14ac:dyDescent="0.25">
      <c r="B18" s="97"/>
      <c r="T18" s="93"/>
    </row>
    <row r="19" spans="1:24" x14ac:dyDescent="0.25">
      <c r="H19" t="s">
        <v>1656</v>
      </c>
      <c r="T19" s="93"/>
    </row>
    <row r="20" spans="1:24" x14ac:dyDescent="0.25">
      <c r="A20" s="102" t="s">
        <v>1671</v>
      </c>
      <c r="H20">
        <v>1</v>
      </c>
      <c r="I20">
        <v>2</v>
      </c>
      <c r="J20">
        <v>3</v>
      </c>
      <c r="K20">
        <v>4</v>
      </c>
      <c r="L20">
        <v>5</v>
      </c>
      <c r="M20">
        <v>6</v>
      </c>
      <c r="N20">
        <v>7</v>
      </c>
      <c r="O20">
        <v>8</v>
      </c>
      <c r="T20" s="93"/>
      <c r="V20" s="95" t="s">
        <v>1658</v>
      </c>
      <c r="W20" s="95" t="s">
        <v>1659</v>
      </c>
    </row>
    <row r="21" spans="1:24" x14ac:dyDescent="0.25">
      <c r="A21" s="103" t="s">
        <v>1382</v>
      </c>
      <c r="B21" t="s">
        <v>1213</v>
      </c>
      <c r="C21" s="97"/>
      <c r="F21" s="98" t="s">
        <v>1660</v>
      </c>
      <c r="H21" s="99">
        <v>1</v>
      </c>
      <c r="O21" s="99">
        <v>-1</v>
      </c>
      <c r="S21" t="s">
        <v>1661</v>
      </c>
      <c r="T21" s="100">
        <f t="shared" ref="T21:T30" si="2">SUM(H21:O21)</f>
        <v>0</v>
      </c>
      <c r="V21">
        <v>0.38508997429305969</v>
      </c>
      <c r="W21">
        <v>1.433822700205551</v>
      </c>
      <c r="X21" s="104">
        <f t="shared" ref="X21:X30" si="3">(T21-V21)/W21</f>
        <v>-0.26857572713687239</v>
      </c>
    </row>
    <row r="22" spans="1:24" x14ac:dyDescent="0.25">
      <c r="A22" s="103" t="s">
        <v>1384</v>
      </c>
      <c r="B22" t="s">
        <v>1215</v>
      </c>
      <c r="C22" s="97"/>
      <c r="F22" s="98" t="s">
        <v>1660</v>
      </c>
      <c r="I22" s="99">
        <v>0</v>
      </c>
      <c r="N22" s="99">
        <v>0</v>
      </c>
      <c r="S22" t="s">
        <v>1662</v>
      </c>
      <c r="T22" s="100">
        <f t="shared" si="2"/>
        <v>0</v>
      </c>
      <c r="V22">
        <v>-0.17377892030848319</v>
      </c>
      <c r="W22">
        <v>1.3358892795243209</v>
      </c>
      <c r="X22" s="104">
        <f t="shared" si="3"/>
        <v>0.13008482287571155</v>
      </c>
    </row>
    <row r="23" spans="1:24" x14ac:dyDescent="0.25">
      <c r="A23" s="103" t="s">
        <v>1388</v>
      </c>
      <c r="B23" t="s">
        <v>1218</v>
      </c>
      <c r="C23" s="97"/>
      <c r="F23" s="98" t="s">
        <v>1660</v>
      </c>
      <c r="I23" s="99">
        <v>0</v>
      </c>
      <c r="K23" s="99">
        <v>0</v>
      </c>
      <c r="M23" s="99">
        <v>1</v>
      </c>
      <c r="N23" s="99">
        <v>0</v>
      </c>
      <c r="S23" t="s">
        <v>1664</v>
      </c>
      <c r="T23" s="100">
        <f t="shared" si="2"/>
        <v>1</v>
      </c>
      <c r="V23">
        <v>-4.0102827763496107E-2</v>
      </c>
      <c r="W23">
        <v>0.99506807970518796</v>
      </c>
      <c r="X23" s="104">
        <f t="shared" si="3"/>
        <v>1.0452579566934261</v>
      </c>
    </row>
    <row r="24" spans="1:24" x14ac:dyDescent="0.25">
      <c r="A24" s="103" t="s">
        <v>1390</v>
      </c>
      <c r="B24" t="s">
        <v>1221</v>
      </c>
      <c r="C24" s="97"/>
      <c r="F24" s="98" t="s">
        <v>1660</v>
      </c>
      <c r="H24" s="99">
        <v>0</v>
      </c>
      <c r="J24" s="99">
        <v>0</v>
      </c>
      <c r="L24" s="99">
        <v>0</v>
      </c>
      <c r="S24" t="s">
        <v>1665</v>
      </c>
      <c r="T24" s="100">
        <f t="shared" si="2"/>
        <v>0</v>
      </c>
      <c r="V24">
        <v>-0.59228791773778822</v>
      </c>
      <c r="W24">
        <v>1.43007171227387</v>
      </c>
      <c r="X24" s="104">
        <f t="shared" si="3"/>
        <v>0.41416658525188732</v>
      </c>
    </row>
    <row r="25" spans="1:24" x14ac:dyDescent="0.25">
      <c r="A25" s="103" t="s">
        <v>1394</v>
      </c>
      <c r="B25" t="s">
        <v>1224</v>
      </c>
      <c r="C25" s="97"/>
      <c r="F25" s="98" t="s">
        <v>1660</v>
      </c>
      <c r="H25" s="99">
        <v>-1</v>
      </c>
      <c r="J25" s="99">
        <v>0</v>
      </c>
      <c r="L25" s="99">
        <v>1</v>
      </c>
      <c r="S25" t="s">
        <v>1667</v>
      </c>
      <c r="T25" s="100">
        <f t="shared" si="2"/>
        <v>0</v>
      </c>
      <c r="V25">
        <v>-2.107969151670952E-2</v>
      </c>
      <c r="W25">
        <v>1.0398776569796571</v>
      </c>
      <c r="X25" s="104">
        <f t="shared" si="3"/>
        <v>2.0271318818346241E-2</v>
      </c>
    </row>
    <row r="26" spans="1:24" x14ac:dyDescent="0.25">
      <c r="A26" s="103" t="s">
        <v>1396</v>
      </c>
      <c r="B26" t="s">
        <v>1227</v>
      </c>
      <c r="C26" s="97"/>
      <c r="F26" s="98" t="s">
        <v>1660</v>
      </c>
      <c r="I26" s="99">
        <v>-1</v>
      </c>
      <c r="K26" s="99">
        <v>-1</v>
      </c>
      <c r="M26" s="99">
        <v>0</v>
      </c>
      <c r="S26" t="s">
        <v>1668</v>
      </c>
      <c r="T26" s="100">
        <f t="shared" si="2"/>
        <v>-2</v>
      </c>
      <c r="V26">
        <v>0.47455012853470391</v>
      </c>
      <c r="W26">
        <v>1.177417448235194</v>
      </c>
      <c r="X26" s="104">
        <f t="shared" si="3"/>
        <v>-2.1016761151652328</v>
      </c>
    </row>
    <row r="27" spans="1:24" x14ac:dyDescent="0.25">
      <c r="A27" s="103" t="s">
        <v>1463</v>
      </c>
      <c r="B27" t="s">
        <v>1230</v>
      </c>
      <c r="C27" s="97"/>
      <c r="F27" s="98" t="s">
        <v>1660</v>
      </c>
      <c r="J27" s="99">
        <v>-1</v>
      </c>
      <c r="L27" s="99">
        <v>-1</v>
      </c>
      <c r="N27" s="99">
        <v>-1</v>
      </c>
      <c r="S27" t="s">
        <v>1669</v>
      </c>
      <c r="T27" s="100">
        <f t="shared" si="2"/>
        <v>-3</v>
      </c>
      <c r="V27">
        <v>-0.37737789203084782</v>
      </c>
      <c r="W27">
        <v>1.0621152479958971</v>
      </c>
      <c r="X27" s="104">
        <f t="shared" si="3"/>
        <v>-2.469244380887829</v>
      </c>
    </row>
    <row r="28" spans="1:24" x14ac:dyDescent="0.25">
      <c r="A28" s="103" t="s">
        <v>1398</v>
      </c>
      <c r="B28" t="s">
        <v>1233</v>
      </c>
      <c r="C28" s="97"/>
      <c r="F28" s="98" t="s">
        <v>1660</v>
      </c>
      <c r="K28" s="99">
        <v>0</v>
      </c>
      <c r="M28" s="99">
        <v>-1</v>
      </c>
      <c r="O28" s="99">
        <v>1</v>
      </c>
      <c r="S28" t="s">
        <v>1670</v>
      </c>
      <c r="T28" s="100">
        <f t="shared" si="2"/>
        <v>0</v>
      </c>
      <c r="V28">
        <v>0.74447300771208169</v>
      </c>
      <c r="W28">
        <v>1.1967039534823549</v>
      </c>
      <c r="X28" s="104">
        <f t="shared" si="3"/>
        <v>-0.62210290652562694</v>
      </c>
    </row>
    <row r="29" spans="1:24" x14ac:dyDescent="0.25">
      <c r="A29" s="103" t="s">
        <v>1400</v>
      </c>
      <c r="B29" t="s">
        <v>1236</v>
      </c>
      <c r="F29" s="98" t="s">
        <v>1660</v>
      </c>
      <c r="L29" s="99">
        <v>0</v>
      </c>
      <c r="N29" s="99">
        <v>1</v>
      </c>
      <c r="S29" t="s">
        <v>1672</v>
      </c>
      <c r="T29" s="100">
        <f t="shared" si="2"/>
        <v>1</v>
      </c>
      <c r="V29">
        <v>-0.403084832904885</v>
      </c>
      <c r="W29">
        <v>1.231442805923435</v>
      </c>
      <c r="X29" s="104">
        <f t="shared" si="3"/>
        <v>1.1393828654938944</v>
      </c>
    </row>
    <row r="30" spans="1:24" x14ac:dyDescent="0.25">
      <c r="A30" s="103" t="s">
        <v>1402</v>
      </c>
      <c r="B30" t="s">
        <v>1239</v>
      </c>
      <c r="F30" s="98" t="s">
        <v>1660</v>
      </c>
      <c r="M30" s="99">
        <v>0</v>
      </c>
      <c r="O30" s="99">
        <v>0</v>
      </c>
      <c r="S30" t="s">
        <v>1673</v>
      </c>
      <c r="T30" s="100">
        <f t="shared" si="2"/>
        <v>0</v>
      </c>
      <c r="V30">
        <v>0.53264781491002311</v>
      </c>
      <c r="W30">
        <v>1.196311388453966</v>
      </c>
      <c r="X30" s="104">
        <f t="shared" si="3"/>
        <v>-0.44524178240782447</v>
      </c>
    </row>
    <row r="31" spans="1:24" x14ac:dyDescent="0.25">
      <c r="A31">
        <v>1</v>
      </c>
      <c r="B31" s="97" t="s">
        <v>1674</v>
      </c>
      <c r="F31" s="98"/>
      <c r="T31" s="93"/>
    </row>
    <row r="32" spans="1:24" x14ac:dyDescent="0.25">
      <c r="A32">
        <v>-1</v>
      </c>
      <c r="B32" s="97" t="s">
        <v>1675</v>
      </c>
      <c r="T32" s="93"/>
    </row>
    <row r="33" spans="1:27" x14ac:dyDescent="0.25">
      <c r="A33">
        <v>0</v>
      </c>
      <c r="B33" s="97" t="s">
        <v>1676</v>
      </c>
      <c r="T33" s="93"/>
    </row>
    <row r="34" spans="1:27" ht="23.25" customHeight="1" x14ac:dyDescent="0.3">
      <c r="A34" s="105" t="s">
        <v>1677</v>
      </c>
      <c r="L34" s="82"/>
      <c r="T34" s="93"/>
      <c r="V34" s="95"/>
      <c r="W34" s="95"/>
    </row>
    <row r="35" spans="1:27" ht="16.5" customHeight="1" thickBot="1" x14ac:dyDescent="0.3">
      <c r="B35" s="108"/>
      <c r="C35" s="109"/>
      <c r="D35" s="110"/>
      <c r="E35" s="111"/>
      <c r="F35" s="111"/>
      <c r="G35" s="111"/>
      <c r="H35" s="111"/>
      <c r="I35" s="111"/>
      <c r="J35" s="111"/>
      <c r="K35" s="111"/>
      <c r="M35" s="111"/>
      <c r="Q35" s="112"/>
      <c r="S35" s="113"/>
      <c r="T35" s="93"/>
    </row>
    <row r="36" spans="1:27" ht="16.5" customHeight="1" thickTop="1" thickBot="1" x14ac:dyDescent="0.3">
      <c r="B36" s="108" t="s">
        <v>1678</v>
      </c>
      <c r="C36" s="109" t="s">
        <v>1653</v>
      </c>
      <c r="D36" s="110" t="s">
        <v>1679</v>
      </c>
      <c r="E36" s="111" t="s">
        <v>1154</v>
      </c>
      <c r="F36" s="111"/>
      <c r="G36" s="111"/>
      <c r="H36" s="111"/>
      <c r="I36" s="111"/>
      <c r="J36" s="111"/>
      <c r="K36" s="111"/>
      <c r="M36" s="111"/>
      <c r="Q36" s="112"/>
      <c r="S36" s="113" t="str">
        <f ca="1">_xlfn.FORMULATEXT(T36)</f>
        <v>=X2</v>
      </c>
      <c r="T36" s="106">
        <f>X2</f>
        <v>-1.5649830181036366</v>
      </c>
      <c r="X36" s="107">
        <f>T36</f>
        <v>-1.5649830181036366</v>
      </c>
    </row>
    <row r="37" spans="1:27" ht="16.5" customHeight="1" thickTop="1" thickBot="1" x14ac:dyDescent="0.3">
      <c r="B37" s="108"/>
      <c r="C37" s="109"/>
      <c r="D37" s="110"/>
      <c r="E37" s="111"/>
      <c r="F37" s="111"/>
      <c r="G37" s="111"/>
      <c r="H37" s="111"/>
      <c r="I37" s="111"/>
      <c r="J37" s="111"/>
      <c r="K37" s="111"/>
      <c r="M37" s="111"/>
      <c r="Q37" s="112"/>
      <c r="S37" s="113"/>
      <c r="T37" s="93"/>
    </row>
    <row r="38" spans="1:27" ht="16.5" customHeight="1" thickTop="1" thickBot="1" x14ac:dyDescent="0.3">
      <c r="B38" s="114" t="s">
        <v>1680</v>
      </c>
      <c r="C38" s="115" t="s">
        <v>1654</v>
      </c>
      <c r="D38" s="116" t="s">
        <v>1681</v>
      </c>
      <c r="E38" s="117" t="s">
        <v>1655</v>
      </c>
      <c r="F38" s="117"/>
      <c r="G38" s="117"/>
      <c r="H38" s="117"/>
      <c r="I38" s="117"/>
      <c r="J38" s="117"/>
      <c r="K38" s="117"/>
      <c r="L38" s="50"/>
      <c r="M38" s="117"/>
      <c r="N38" s="50"/>
      <c r="O38" s="50"/>
      <c r="P38" s="50"/>
      <c r="Q38" s="118"/>
      <c r="R38" s="50"/>
      <c r="S38" s="119" t="str">
        <f ca="1">_xlfn.FORMULATEXT(T38)</f>
        <v>=X3</v>
      </c>
      <c r="T38" s="106">
        <f>X3</f>
        <v>-2.5760780166842911</v>
      </c>
      <c r="X38" s="107">
        <f>T38</f>
        <v>-2.5760780166842911</v>
      </c>
    </row>
    <row r="39" spans="1:27" ht="15.75" customHeight="1" thickTop="1" x14ac:dyDescent="0.25">
      <c r="B39" s="120"/>
      <c r="C39" s="109"/>
      <c r="D39" s="110"/>
      <c r="E39" s="121"/>
      <c r="F39" s="121"/>
      <c r="G39" s="121"/>
      <c r="H39" s="121"/>
      <c r="I39" s="121"/>
      <c r="J39" s="121"/>
      <c r="K39" s="121"/>
      <c r="M39" s="121"/>
      <c r="Q39" s="112"/>
      <c r="S39" s="122"/>
      <c r="T39" s="123"/>
      <c r="U39" s="122"/>
      <c r="V39" s="122"/>
      <c r="W39" s="122"/>
      <c r="X39" s="122"/>
      <c r="Z39" s="122"/>
      <c r="AA39" s="122"/>
    </row>
    <row r="40" spans="1:27" x14ac:dyDescent="0.25">
      <c r="S40" s="122"/>
      <c r="T40" s="93"/>
    </row>
    <row r="41" spans="1:27" x14ac:dyDescent="0.25">
      <c r="S41" s="122"/>
    </row>
    <row r="42" spans="1:27" x14ac:dyDescent="0.25">
      <c r="S42" s="122"/>
    </row>
    <row r="43" spans="1:27" ht="22.5" customHeight="1" x14ac:dyDescent="0.3">
      <c r="A43" s="105" t="s">
        <v>1682</v>
      </c>
      <c r="S43" s="122"/>
    </row>
    <row r="44" spans="1:27" ht="15.75" customHeight="1" thickBot="1" x14ac:dyDescent="0.3">
      <c r="S44" s="122"/>
    </row>
    <row r="45" spans="1:27" ht="27.75" customHeight="1" x14ac:dyDescent="0.4">
      <c r="B45" s="124" t="s">
        <v>1683</v>
      </c>
      <c r="C45" s="125"/>
      <c r="D45" s="125"/>
      <c r="E45" s="125"/>
      <c r="F45" s="125"/>
      <c r="G45" s="125"/>
      <c r="H45" s="125"/>
      <c r="I45" s="125"/>
      <c r="J45" s="125"/>
      <c r="K45" s="125"/>
      <c r="L45" s="242" t="s">
        <v>1684</v>
      </c>
      <c r="M45" s="240"/>
      <c r="N45" s="240"/>
      <c r="O45" s="240"/>
      <c r="P45" s="240"/>
      <c r="Q45" s="241"/>
      <c r="S45" s="122"/>
      <c r="U45" s="126"/>
      <c r="V45" s="126"/>
      <c r="W45" s="126"/>
      <c r="X45" s="126"/>
      <c r="Z45" s="126"/>
      <c r="AA45" s="127"/>
    </row>
    <row r="46" spans="1:27" ht="15.75" customHeight="1" thickBot="1" x14ac:dyDescent="0.3">
      <c r="B46" s="128"/>
      <c r="C46" s="129"/>
      <c r="D46" s="129"/>
      <c r="E46" s="129"/>
      <c r="F46" s="129"/>
      <c r="G46" s="129"/>
      <c r="H46" s="129"/>
      <c r="I46" s="129"/>
      <c r="J46" s="129"/>
      <c r="K46" s="129"/>
      <c r="L46" s="130" t="s">
        <v>1685</v>
      </c>
      <c r="M46" s="130" t="s">
        <v>1686</v>
      </c>
      <c r="N46" s="130" t="s">
        <v>1687</v>
      </c>
      <c r="O46" s="130" t="s">
        <v>1688</v>
      </c>
      <c r="P46" s="130" t="s">
        <v>1689</v>
      </c>
      <c r="Q46" s="131" t="s">
        <v>1690</v>
      </c>
      <c r="S46" s="122"/>
      <c r="U46" s="132" t="s">
        <v>1685</v>
      </c>
      <c r="V46" s="132" t="s">
        <v>1686</v>
      </c>
      <c r="W46" s="132" t="s">
        <v>1687</v>
      </c>
      <c r="X46" s="132" t="s">
        <v>1688</v>
      </c>
      <c r="Y46" s="132" t="s">
        <v>1689</v>
      </c>
      <c r="Z46" s="132" t="s">
        <v>1690</v>
      </c>
      <c r="AA46" s="127"/>
    </row>
    <row r="47" spans="1:27" ht="16.5" customHeight="1" thickTop="1" thickBot="1" x14ac:dyDescent="0.3">
      <c r="B47" s="128" t="s">
        <v>1691</v>
      </c>
      <c r="C47" s="133" t="s">
        <v>1185</v>
      </c>
      <c r="D47" s="129"/>
      <c r="E47" s="129"/>
      <c r="F47" s="129"/>
      <c r="G47" s="129"/>
      <c r="H47" s="129"/>
      <c r="I47" s="129"/>
      <c r="J47" s="129"/>
      <c r="K47" s="129"/>
      <c r="L47" s="129">
        <v>-0.61955610000000005</v>
      </c>
      <c r="M47" s="129">
        <v>-0.18914420000000001</v>
      </c>
      <c r="N47" s="129">
        <v>-0.20569580000000001</v>
      </c>
      <c r="O47" s="129">
        <v>0.27581329999999998</v>
      </c>
      <c r="P47" s="129">
        <v>1.1020487999999999</v>
      </c>
      <c r="Q47" s="134">
        <v>-0.43911410000000001</v>
      </c>
      <c r="S47" s="122" t="str">
        <f t="shared" ref="S47:S56" ca="1" si="4">_xlfn.FORMULATEXT(T47)</f>
        <v>=X8</v>
      </c>
      <c r="T47" s="135">
        <f>X8</f>
        <v>2.4291878624730305</v>
      </c>
      <c r="U47" s="136">
        <f t="shared" ref="U47:U56" si="5">($T47-L47)^2</f>
        <v>9.2948397487157557</v>
      </c>
      <c r="V47" s="136">
        <f t="shared" ref="V47:V56" si="6">($T47-M47)^2</f>
        <v>6.8556627893742732</v>
      </c>
      <c r="W47" s="136">
        <f t="shared" ref="W47:W56" si="7">($T47-N47)^2</f>
        <v>6.9426119147672907</v>
      </c>
      <c r="X47" s="136">
        <f t="shared" ref="X47:X56" si="8">($T47-O47)^2</f>
        <v>4.6370220063059167</v>
      </c>
      <c r="Y47" s="136">
        <f t="shared" ref="Y47:Y56" si="9">($T47-P47)^2</f>
        <v>1.7612980911417946</v>
      </c>
      <c r="Z47" s="136">
        <f t="shared" ref="Z47:Z56" si="10">($T47-Q47)^2</f>
        <v>8.2271561479266371</v>
      </c>
      <c r="AA47" s="137" t="str">
        <f ca="1">_xlfn.FORMULATEXT(Z47)</f>
        <v>=($T47-Q47)^2</v>
      </c>
    </row>
    <row r="48" spans="1:27" ht="16.5" customHeight="1" thickTop="1" thickBot="1" x14ac:dyDescent="0.3">
      <c r="B48" s="128" t="s">
        <v>1692</v>
      </c>
      <c r="C48" s="133" t="s">
        <v>1188</v>
      </c>
      <c r="D48" s="129"/>
      <c r="E48" s="129"/>
      <c r="F48" s="129"/>
      <c r="G48" s="129"/>
      <c r="H48" s="129"/>
      <c r="I48" s="129"/>
      <c r="J48" s="129"/>
      <c r="K48" s="129"/>
      <c r="L48" s="129">
        <v>-0.10326780000000001</v>
      </c>
      <c r="M48" s="129">
        <v>-0.64100460000000004</v>
      </c>
      <c r="N48" s="129">
        <v>-0.56009260000000005</v>
      </c>
      <c r="O48" s="129">
        <v>0.21961130000000001</v>
      </c>
      <c r="P48" s="129">
        <v>0.5993271</v>
      </c>
      <c r="Q48" s="134">
        <v>0.36702659999999998</v>
      </c>
      <c r="S48" s="122" t="str">
        <f t="shared" ca="1" si="4"/>
        <v>=X9</v>
      </c>
      <c r="T48" s="135">
        <f>X9</f>
        <v>0.21232591109999163</v>
      </c>
      <c r="U48" s="136">
        <f t="shared" si="5"/>
        <v>9.9599390485864983E-2</v>
      </c>
      <c r="V48" s="136">
        <f t="shared" si="6"/>
        <v>0.72817296117417307</v>
      </c>
      <c r="W48" s="136">
        <f t="shared" si="7"/>
        <v>0.596630356289928</v>
      </c>
      <c r="X48" s="136">
        <f t="shared" si="8"/>
        <v>5.307689142436527E-5</v>
      </c>
      <c r="Y48" s="136">
        <f t="shared" si="9"/>
        <v>0.14976992021001995</v>
      </c>
      <c r="Z48" s="136">
        <f t="shared" si="10"/>
        <v>2.3932303146137167E-2</v>
      </c>
    </row>
    <row r="49" spans="2:27" ht="16.5" customHeight="1" thickTop="1" thickBot="1" x14ac:dyDescent="0.3">
      <c r="B49" s="128" t="s">
        <v>1693</v>
      </c>
      <c r="C49" s="133" t="s">
        <v>1191</v>
      </c>
      <c r="D49" s="129"/>
      <c r="E49" s="129"/>
      <c r="F49" s="129"/>
      <c r="G49" s="129"/>
      <c r="H49" s="129"/>
      <c r="I49" s="129"/>
      <c r="J49" s="129"/>
      <c r="K49" s="129"/>
      <c r="L49" s="129">
        <v>-0.37433450000000001</v>
      </c>
      <c r="M49" s="129">
        <v>-0.64428399999999997</v>
      </c>
      <c r="N49" s="129">
        <v>-0.42174790000000001</v>
      </c>
      <c r="O49" s="129">
        <v>0.94298340000000003</v>
      </c>
      <c r="P49" s="129">
        <v>0.23985090000000001</v>
      </c>
      <c r="Q49" s="134">
        <v>-0.35583019999999999</v>
      </c>
      <c r="S49" s="122" t="str">
        <f t="shared" ca="1" si="4"/>
        <v>=X10</v>
      </c>
      <c r="T49" s="135">
        <f>X10</f>
        <v>1.5789301702447469</v>
      </c>
      <c r="U49" s="136">
        <f t="shared" si="5"/>
        <v>3.8152428720263201</v>
      </c>
      <c r="V49" s="136">
        <f t="shared" si="6"/>
        <v>4.9426812467770382</v>
      </c>
      <c r="W49" s="136">
        <f t="shared" si="7"/>
        <v>4.0027127407582448</v>
      </c>
      <c r="X49" s="136">
        <f t="shared" si="8"/>
        <v>0.4044282945847249</v>
      </c>
      <c r="Y49" s="136">
        <f t="shared" si="9"/>
        <v>1.793133291999204</v>
      </c>
      <c r="Z49" s="136">
        <f t="shared" si="10"/>
        <v>3.74329769026959</v>
      </c>
    </row>
    <row r="50" spans="2:27" ht="16.5" customHeight="1" thickTop="1" thickBot="1" x14ac:dyDescent="0.3">
      <c r="B50" s="128" t="s">
        <v>1694</v>
      </c>
      <c r="C50" s="133" t="s">
        <v>1194</v>
      </c>
      <c r="D50" s="129"/>
      <c r="E50" s="129"/>
      <c r="F50" s="129"/>
      <c r="G50" s="129"/>
      <c r="H50" s="129"/>
      <c r="I50" s="129"/>
      <c r="J50" s="129"/>
      <c r="K50" s="129"/>
      <c r="L50" s="129">
        <v>0.31059750000000003</v>
      </c>
      <c r="M50" s="129">
        <v>-0.51697919999999997</v>
      </c>
      <c r="N50" s="129">
        <v>0.53883669999999995</v>
      </c>
      <c r="O50" s="129">
        <v>0.44203900000000002</v>
      </c>
      <c r="P50" s="129">
        <v>-4.1602500000000001E-2</v>
      </c>
      <c r="Q50" s="134">
        <v>-0.52379039999999999</v>
      </c>
      <c r="S50" s="122" t="str">
        <f t="shared" ca="1" si="4"/>
        <v>=X11</v>
      </c>
      <c r="T50" s="135">
        <f>X11</f>
        <v>-0.9175560110255141</v>
      </c>
      <c r="U50" s="136">
        <f t="shared" si="5"/>
        <v>1.5083610466442978</v>
      </c>
      <c r="V50" s="136">
        <f t="shared" si="6"/>
        <v>0.16046178153137045</v>
      </c>
      <c r="W50" s="136">
        <f t="shared" si="7"/>
        <v>2.1210797287282466</v>
      </c>
      <c r="X50" s="136">
        <f t="shared" si="8"/>
        <v>1.8484985940054679</v>
      </c>
      <c r="Y50" s="136">
        <f t="shared" si="9"/>
        <v>0.76729455347792552</v>
      </c>
      <c r="Z50" s="136">
        <f t="shared" si="10"/>
        <v>0.15505135642629647</v>
      </c>
    </row>
    <row r="51" spans="2:27" ht="16.5" customHeight="1" thickTop="1" thickBot="1" x14ac:dyDescent="0.3">
      <c r="B51" s="128" t="s">
        <v>1695</v>
      </c>
      <c r="C51" s="133" t="s">
        <v>1197</v>
      </c>
      <c r="D51" s="129"/>
      <c r="E51" s="129"/>
      <c r="F51" s="129"/>
      <c r="G51" s="129"/>
      <c r="H51" s="129"/>
      <c r="I51" s="129"/>
      <c r="J51" s="129"/>
      <c r="K51" s="129"/>
      <c r="L51" s="129">
        <v>0.65947160000000005</v>
      </c>
      <c r="M51" s="129">
        <v>0.2388004</v>
      </c>
      <c r="N51" s="129">
        <v>0.28749930000000001</v>
      </c>
      <c r="O51" s="129">
        <v>0.33139420000000003</v>
      </c>
      <c r="P51" s="129">
        <v>-1.4513895999999999</v>
      </c>
      <c r="Q51" s="134">
        <v>0.3404199</v>
      </c>
      <c r="S51" s="122" t="str">
        <f t="shared" ca="1" si="4"/>
        <v>=X12</v>
      </c>
      <c r="T51" s="135">
        <f>X12</f>
        <v>-2.2567967414791337</v>
      </c>
      <c r="U51" s="136">
        <f t="shared" si="5"/>
        <v>8.5046210395134558</v>
      </c>
      <c r="V51" s="136">
        <f t="shared" si="6"/>
        <v>6.2280050925588242</v>
      </c>
      <c r="W51" s="136">
        <f t="shared" si="7"/>
        <v>6.4734423466863893</v>
      </c>
      <c r="X51" s="136">
        <f t="shared" si="8"/>
        <v>6.6987323495546445</v>
      </c>
      <c r="Y51" s="136">
        <f t="shared" si="9"/>
        <v>0.64868066354558929</v>
      </c>
      <c r="Z51" s="136">
        <f t="shared" si="10"/>
        <v>6.7455342827761511</v>
      </c>
    </row>
    <row r="52" spans="2:27" ht="16.5" customHeight="1" thickTop="1" thickBot="1" x14ac:dyDescent="0.3">
      <c r="B52" s="128" t="s">
        <v>1696</v>
      </c>
      <c r="C52" s="133" t="s">
        <v>1200</v>
      </c>
      <c r="D52" s="129"/>
      <c r="E52" s="129"/>
      <c r="F52" s="129"/>
      <c r="G52" s="129"/>
      <c r="H52" s="129"/>
      <c r="I52" s="129"/>
      <c r="J52" s="129"/>
      <c r="K52" s="129"/>
      <c r="L52" s="129">
        <v>-0.20327500000000001</v>
      </c>
      <c r="M52" s="129">
        <v>4.1822999999999999E-2</v>
      </c>
      <c r="N52" s="129">
        <v>0.36492000000000002</v>
      </c>
      <c r="O52" s="129">
        <v>-4.1264500000000003E-2</v>
      </c>
      <c r="P52" s="129">
        <v>-0.28184399999999998</v>
      </c>
      <c r="Q52" s="134">
        <v>-6.7285700000000004E-2</v>
      </c>
      <c r="S52" s="122" t="str">
        <f t="shared" ca="1" si="4"/>
        <v>=X13</v>
      </c>
      <c r="T52" s="135">
        <f>X13</f>
        <v>2.1833969503787043</v>
      </c>
      <c r="U52" s="136">
        <f t="shared" si="5"/>
        <v>5.6962029987244884</v>
      </c>
      <c r="V52" s="136">
        <f t="shared" si="6"/>
        <v>4.5863389849406495</v>
      </c>
      <c r="W52" s="136">
        <f t="shared" si="7"/>
        <v>3.3068584190586319</v>
      </c>
      <c r="X52" s="136">
        <f t="shared" si="8"/>
        <v>4.9491185688010804</v>
      </c>
      <c r="Y52" s="136">
        <f t="shared" si="9"/>
        <v>6.0774129434240969</v>
      </c>
      <c r="Z52" s="136">
        <f t="shared" si="10"/>
        <v>5.0655723927157075</v>
      </c>
    </row>
    <row r="53" spans="2:27" ht="16.5" customHeight="1" thickTop="1" thickBot="1" x14ac:dyDescent="0.3">
      <c r="B53" s="128" t="s">
        <v>1697</v>
      </c>
      <c r="C53" s="133" t="s">
        <v>1203</v>
      </c>
      <c r="D53" s="129"/>
      <c r="E53" s="129"/>
      <c r="F53" s="129"/>
      <c r="G53" s="129"/>
      <c r="H53" s="129"/>
      <c r="I53" s="129"/>
      <c r="J53" s="129"/>
      <c r="K53" s="129"/>
      <c r="L53" s="129">
        <v>7.9979999999999996E-2</v>
      </c>
      <c r="M53" s="129">
        <v>0.82180350000000002</v>
      </c>
      <c r="N53" s="129">
        <v>1.6168200000000001E-2</v>
      </c>
      <c r="O53" s="129">
        <v>-0.58447099999999996</v>
      </c>
      <c r="P53" s="129">
        <v>-0.28064440000000002</v>
      </c>
      <c r="Q53" s="134">
        <v>-8.9934799999999995E-2</v>
      </c>
      <c r="S53" s="122" t="str">
        <f t="shared" ca="1" si="4"/>
        <v>=X14</v>
      </c>
      <c r="T53" s="135">
        <f>X14</f>
        <v>-0.15281530709121449</v>
      </c>
      <c r="U53" s="136">
        <f t="shared" si="5"/>
        <v>5.4193655003692859E-2</v>
      </c>
      <c r="V53" s="136">
        <f t="shared" si="6"/>
        <v>0.94988181913590197</v>
      </c>
      <c r="W53" s="136">
        <f t="shared" si="7"/>
        <v>2.8555425668846536E-2</v>
      </c>
      <c r="X53" s="136">
        <f t="shared" si="8"/>
        <v>0.1863266372205637</v>
      </c>
      <c r="Y53" s="136">
        <f t="shared" si="9"/>
        <v>1.6340276993882921E-2</v>
      </c>
      <c r="Z53" s="136">
        <f t="shared" si="10"/>
        <v>3.9539581720482763E-3</v>
      </c>
    </row>
    <row r="54" spans="2:27" ht="16.5" customHeight="1" thickTop="1" thickBot="1" x14ac:dyDescent="0.3">
      <c r="B54" s="128" t="s">
        <v>1698</v>
      </c>
      <c r="C54" s="133" t="s">
        <v>1206</v>
      </c>
      <c r="D54" s="129"/>
      <c r="E54" s="129"/>
      <c r="F54" s="129"/>
      <c r="G54" s="129"/>
      <c r="H54" s="129"/>
      <c r="I54" s="129"/>
      <c r="J54" s="129"/>
      <c r="K54" s="129"/>
      <c r="L54" s="129">
        <v>-0.72108819999999996</v>
      </c>
      <c r="M54" s="129">
        <v>1.0038404999999999</v>
      </c>
      <c r="N54" s="129">
        <v>-9.8637299999999997E-2</v>
      </c>
      <c r="O54" s="129">
        <v>0.1098268</v>
      </c>
      <c r="P54" s="129">
        <v>-0.20952580000000001</v>
      </c>
      <c r="Q54" s="134">
        <v>-0.55637400000000004</v>
      </c>
      <c r="S54" s="122" t="str">
        <f t="shared" ca="1" si="4"/>
        <v>=X15</v>
      </c>
      <c r="T54" s="135">
        <f>X15</f>
        <v>-0.88069721036565218</v>
      </c>
      <c r="U54" s="136">
        <f t="shared" si="5"/>
        <v>2.5475036189902881E-2</v>
      </c>
      <c r="V54" s="136">
        <f t="shared" si="6"/>
        <v>3.5514823817902141</v>
      </c>
      <c r="W54" s="136">
        <f t="shared" si="7"/>
        <v>0.61161770340113186</v>
      </c>
      <c r="X54" s="136">
        <f t="shared" si="8"/>
        <v>0.98113781511085463</v>
      </c>
      <c r="Y54" s="136">
        <f t="shared" si="9"/>
        <v>0.45047106209221871</v>
      </c>
      <c r="Z54" s="136">
        <f t="shared" si="10"/>
        <v>0.10518554478188305</v>
      </c>
    </row>
    <row r="55" spans="2:27" ht="16.5" customHeight="1" thickTop="1" thickBot="1" x14ac:dyDescent="0.3">
      <c r="B55" s="128" t="s">
        <v>1699</v>
      </c>
      <c r="C55" s="129" t="s">
        <v>1699</v>
      </c>
      <c r="D55" s="129"/>
      <c r="E55" s="129"/>
      <c r="F55" s="129"/>
      <c r="G55" s="129"/>
      <c r="H55" s="129"/>
      <c r="I55" s="129"/>
      <c r="J55" s="129"/>
      <c r="K55" s="129"/>
      <c r="L55" s="129">
        <v>0.48921110000000001</v>
      </c>
      <c r="M55" s="129">
        <v>0.21572730000000001</v>
      </c>
      <c r="N55" s="129">
        <v>-0.3631568</v>
      </c>
      <c r="O55" s="129">
        <v>-0.49473719999999999</v>
      </c>
      <c r="P55" s="129">
        <v>-0.46150659999999999</v>
      </c>
      <c r="Q55" s="134">
        <v>0.2974851</v>
      </c>
      <c r="S55" s="122" t="str">
        <f t="shared" ca="1" si="4"/>
        <v>=X36</v>
      </c>
      <c r="T55" s="138">
        <f>X36</f>
        <v>-1.5649830181036366</v>
      </c>
      <c r="U55" s="136">
        <f t="shared" si="5"/>
        <v>4.2197134748515772</v>
      </c>
      <c r="V55" s="136">
        <f t="shared" si="6"/>
        <v>3.1709292370007547</v>
      </c>
      <c r="W55" s="136">
        <f t="shared" si="7"/>
        <v>1.4443862585212897</v>
      </c>
      <c r="X55" s="136">
        <f t="shared" si="8"/>
        <v>1.1454261111683226</v>
      </c>
      <c r="Y55" s="136">
        <f t="shared" si="9"/>
        <v>1.2176602053108321</v>
      </c>
      <c r="Z55" s="136">
        <f t="shared" si="10"/>
        <v>3.4687874909525021</v>
      </c>
    </row>
    <row r="56" spans="2:27" ht="16.5" customHeight="1" thickTop="1" thickBot="1" x14ac:dyDescent="0.3">
      <c r="B56" s="139" t="s">
        <v>1700</v>
      </c>
      <c r="C56" s="140" t="s">
        <v>1700</v>
      </c>
      <c r="D56" s="140"/>
      <c r="E56" s="140"/>
      <c r="F56" s="140"/>
      <c r="G56" s="140"/>
      <c r="H56" s="140"/>
      <c r="I56" s="140"/>
      <c r="J56" s="140"/>
      <c r="K56" s="140"/>
      <c r="L56" s="140">
        <v>0.51548910000000003</v>
      </c>
      <c r="M56" s="140">
        <v>6.5332200000000007E-2</v>
      </c>
      <c r="N56" s="140">
        <v>1.7420000000000001E-4</v>
      </c>
      <c r="O56" s="140">
        <v>-0.37011919999999998</v>
      </c>
      <c r="P56" s="140">
        <v>-0.40889609999999998</v>
      </c>
      <c r="Q56" s="141">
        <v>-6.8578600000000003E-2</v>
      </c>
      <c r="S56" s="122" t="str">
        <f t="shared" ca="1" si="4"/>
        <v>=X38</v>
      </c>
      <c r="T56" s="138">
        <f>X38</f>
        <v>-2.5760780166842911</v>
      </c>
      <c r="U56" s="142">
        <f t="shared" si="5"/>
        <v>9.5577872369636214</v>
      </c>
      <c r="V56" s="142">
        <f t="shared" si="6"/>
        <v>6.9770479328041528</v>
      </c>
      <c r="W56" s="142">
        <f t="shared" si="7"/>
        <v>6.6370754839707242</v>
      </c>
      <c r="X56" s="142">
        <f t="shared" si="8"/>
        <v>4.8662543009071584</v>
      </c>
      <c r="Y56" s="142">
        <f t="shared" si="9"/>
        <v>4.6966774600033991</v>
      </c>
      <c r="Z56" s="142">
        <f t="shared" si="10"/>
        <v>6.2875533246720607</v>
      </c>
    </row>
    <row r="57" spans="2:27" ht="17.25" customHeight="1" thickBot="1" x14ac:dyDescent="0.3">
      <c r="D57" s="143"/>
      <c r="S57" t="s">
        <v>1701</v>
      </c>
      <c r="U57" s="144">
        <f>SUM(U47:U56)</f>
        <v>42.776036499118973</v>
      </c>
      <c r="V57" s="144">
        <f>SUM(V47:V56)</f>
        <v>38.150664227087354</v>
      </c>
      <c r="W57" s="144">
        <f>SUM(W47:W56)</f>
        <v>32.164970377850729</v>
      </c>
      <c r="X57" s="144">
        <f>SUM(X47:X56)</f>
        <v>25.71699775455016</v>
      </c>
      <c r="Y57" s="144">
        <f>SUM(Y47:Y56)</f>
        <v>17.578738468198964</v>
      </c>
      <c r="Z57" s="144">
        <f>SUM(Z47:Z56)</f>
        <v>33.826024491839007</v>
      </c>
      <c r="AA57" s="137" t="str">
        <f ca="1">_xlfn.FORMULATEXT(Z57)</f>
        <v>=SUM(Z47:Z56)</v>
      </c>
    </row>
    <row r="58" spans="2:27" ht="16.5" customHeight="1" thickTop="1" x14ac:dyDescent="0.25">
      <c r="D58" s="143"/>
      <c r="S58" s="145" t="s">
        <v>1702</v>
      </c>
      <c r="U58" s="136">
        <f>1-($T$93/U57)</f>
        <v>1</v>
      </c>
      <c r="V58" s="136">
        <f>1-($T$93/V57)</f>
        <v>1</v>
      </c>
      <c r="W58" s="136">
        <f>1-($T$93/W57)</f>
        <v>1</v>
      </c>
      <c r="X58" s="136">
        <f>1-($T$93/X57)</f>
        <v>1</v>
      </c>
      <c r="Y58" s="136">
        <f>1-($T$93/Y57)</f>
        <v>1</v>
      </c>
      <c r="Z58" s="136">
        <f>1-($T$93/Z57)</f>
        <v>1</v>
      </c>
      <c r="AA58" s="137" t="str">
        <f ca="1">_xlfn.FORMULATEXT(Z58)</f>
        <v>=1-($T$93/Z57)</v>
      </c>
    </row>
    <row r="59" spans="2:27" ht="15.75" customHeight="1" x14ac:dyDescent="0.25">
      <c r="D59" s="143"/>
      <c r="S59" t="s">
        <v>1703</v>
      </c>
      <c r="U59" s="46" t="str">
        <f t="shared" ref="U59:Z59" si="11">IF(U58 &gt; 0.2, "Above Threshold", "Below Threshold")</f>
        <v>Above Threshold</v>
      </c>
      <c r="V59" s="46" t="str">
        <f t="shared" si="11"/>
        <v>Above Threshold</v>
      </c>
      <c r="W59" s="46" t="str">
        <f t="shared" si="11"/>
        <v>Above Threshold</v>
      </c>
      <c r="X59" s="46" t="str">
        <f t="shared" si="11"/>
        <v>Above Threshold</v>
      </c>
      <c r="Y59" s="46" t="str">
        <f t="shared" si="11"/>
        <v>Above Threshold</v>
      </c>
      <c r="Z59" s="46" t="str">
        <f t="shared" si="11"/>
        <v>Above Threshold</v>
      </c>
    </row>
    <row r="60" spans="2:27" ht="17.25" customHeight="1" thickBot="1" x14ac:dyDescent="0.3">
      <c r="D60" s="143"/>
      <c r="S60" s="146"/>
      <c r="T60" s="146"/>
      <c r="U60" s="144"/>
      <c r="V60" s="144"/>
      <c r="W60" s="144"/>
      <c r="X60" s="147"/>
      <c r="Y60" s="147"/>
      <c r="Z60" s="147"/>
    </row>
    <row r="61" spans="2:27" ht="24" customHeight="1" thickTop="1" thickBot="1" x14ac:dyDescent="0.35">
      <c r="D61" s="143"/>
      <c r="S61" s="148" t="s">
        <v>1704</v>
      </c>
      <c r="T61" s="149">
        <f>MIN(U57:Z57)</f>
        <v>17.578738468198964</v>
      </c>
      <c r="U61" s="149" t="e">
        <f>INDEX($U$74:$Z$74, MATCH(MIN($U$89:$Z$89), $U$89:$Z$89, 0))</f>
        <v>#N/A</v>
      </c>
      <c r="V61" s="149"/>
      <c r="W61" s="149"/>
      <c r="X61" s="147"/>
      <c r="Y61" s="147"/>
      <c r="Z61" s="147"/>
    </row>
    <row r="62" spans="2:27" ht="24" customHeight="1" thickTop="1" thickBot="1" x14ac:dyDescent="0.35">
      <c r="D62" s="143"/>
      <c r="S62" s="148" t="s">
        <v>1705</v>
      </c>
      <c r="T62" s="149">
        <f>SMALL(U57:Z57, 2)</f>
        <v>25.71699775455016</v>
      </c>
      <c r="U62" s="149" t="e">
        <f>INDEX($U$74:$Z$74, MATCH(SMALL($U$89:$Z$89, 2), $U$89:$Z$89, 0))</f>
        <v>#NUM!</v>
      </c>
      <c r="V62" s="149"/>
      <c r="W62" s="149"/>
      <c r="X62" s="147"/>
      <c r="Y62" s="147"/>
      <c r="Z62" s="147"/>
    </row>
    <row r="63" spans="2:27" ht="23.25" customHeight="1" thickTop="1" x14ac:dyDescent="0.3">
      <c r="B63" s="150"/>
      <c r="C63" s="151"/>
      <c r="D63" s="152"/>
      <c r="E63" s="151"/>
      <c r="F63" s="151"/>
      <c r="G63" s="151"/>
      <c r="H63" s="239" t="s">
        <v>1706</v>
      </c>
      <c r="I63" s="240"/>
      <c r="J63" s="240"/>
      <c r="K63" s="240"/>
      <c r="L63" s="240"/>
      <c r="M63" s="240"/>
      <c r="N63" s="240"/>
      <c r="O63" s="240"/>
      <c r="P63" s="240"/>
      <c r="Q63" s="241"/>
      <c r="S63" s="153"/>
      <c r="T63" s="154"/>
      <c r="U63" s="154"/>
      <c r="V63" s="154"/>
      <c r="W63" s="154"/>
      <c r="X63" s="147"/>
      <c r="Y63" s="147"/>
      <c r="Z63" s="147"/>
    </row>
    <row r="64" spans="2:27" ht="27.75" customHeight="1" x14ac:dyDescent="0.4">
      <c r="B64" s="155" t="s">
        <v>1683</v>
      </c>
      <c r="C64" s="156"/>
      <c r="D64" s="156"/>
      <c r="E64" s="156"/>
      <c r="F64" s="156"/>
      <c r="G64" s="156"/>
      <c r="H64" s="157" t="s">
        <v>1707</v>
      </c>
      <c r="I64" s="157" t="s">
        <v>1708</v>
      </c>
      <c r="J64" s="157" t="s">
        <v>1709</v>
      </c>
      <c r="K64" s="157" t="s">
        <v>1710</v>
      </c>
      <c r="L64" s="157" t="s">
        <v>1711</v>
      </c>
      <c r="M64" s="157" t="s">
        <v>1712</v>
      </c>
      <c r="N64" s="157" t="s">
        <v>1713</v>
      </c>
      <c r="O64" s="157" t="s">
        <v>1714</v>
      </c>
      <c r="P64" s="157" t="s">
        <v>1715</v>
      </c>
      <c r="Q64" s="158" t="s">
        <v>1716</v>
      </c>
      <c r="S64" s="122"/>
      <c r="U64" s="126"/>
      <c r="V64" s="126"/>
      <c r="W64" s="126"/>
      <c r="X64" s="126"/>
      <c r="Y64" s="126"/>
      <c r="Z64" s="126"/>
      <c r="AA64" s="127"/>
    </row>
    <row r="65" spans="2:31" ht="15.75" customHeight="1" thickBot="1" x14ac:dyDescent="0.3">
      <c r="B65" s="159"/>
      <c r="C65" s="156"/>
      <c r="D65" s="156"/>
      <c r="E65" s="156"/>
      <c r="F65" s="156"/>
      <c r="G65" s="156"/>
      <c r="H65" s="156">
        <v>1</v>
      </c>
      <c r="I65" s="156">
        <v>2</v>
      </c>
      <c r="J65" s="156">
        <v>3</v>
      </c>
      <c r="K65" s="156">
        <v>4</v>
      </c>
      <c r="L65" s="156">
        <v>5</v>
      </c>
      <c r="M65" s="156">
        <v>6</v>
      </c>
      <c r="N65" s="156">
        <v>7</v>
      </c>
      <c r="O65" s="156">
        <v>8</v>
      </c>
      <c r="P65" s="156">
        <v>9</v>
      </c>
      <c r="Q65" s="160">
        <v>10</v>
      </c>
      <c r="S65" s="122"/>
      <c r="U65" s="132" t="s">
        <v>1707</v>
      </c>
      <c r="V65" s="132" t="s">
        <v>1708</v>
      </c>
      <c r="W65" s="132" t="s">
        <v>1709</v>
      </c>
      <c r="X65" s="132" t="s">
        <v>1710</v>
      </c>
      <c r="Y65" s="132" t="s">
        <v>1711</v>
      </c>
      <c r="Z65" s="132" t="s">
        <v>1712</v>
      </c>
      <c r="AA65" s="127" t="s">
        <v>1713</v>
      </c>
      <c r="AB65" s="132" t="s">
        <v>1714</v>
      </c>
      <c r="AC65" s="132" t="s">
        <v>1715</v>
      </c>
      <c r="AD65" s="132" t="s">
        <v>1716</v>
      </c>
    </row>
    <row r="66" spans="2:31" ht="16.5" customHeight="1" thickTop="1" thickBot="1" x14ac:dyDescent="0.3">
      <c r="B66" s="161" t="s">
        <v>1213</v>
      </c>
      <c r="C66" s="161"/>
      <c r="D66" s="156"/>
      <c r="E66" s="156"/>
      <c r="F66" s="156"/>
      <c r="G66" s="156"/>
      <c r="H66" s="156">
        <v>-0.12609999999999999</v>
      </c>
      <c r="I66" s="156">
        <v>-0.40510000000000002</v>
      </c>
      <c r="J66" s="156">
        <v>1.02234</v>
      </c>
      <c r="K66" s="156">
        <v>0.58465</v>
      </c>
      <c r="L66" s="156">
        <v>-1.2500199999999999</v>
      </c>
      <c r="M66" s="156">
        <v>0.82372999999999996</v>
      </c>
      <c r="N66" s="156">
        <v>-0.62919999999999998</v>
      </c>
      <c r="O66" s="156">
        <v>-1.1851400000000001</v>
      </c>
      <c r="P66" s="156">
        <v>-0.80391999999999997</v>
      </c>
      <c r="Q66" s="160">
        <v>0.20713999999999999</v>
      </c>
      <c r="S66" s="122" t="str">
        <f t="shared" ref="S66:S75" ca="1" si="12">_xlfn.FORMULATEXT(T66)</f>
        <v>=X21</v>
      </c>
      <c r="T66" s="135">
        <f>X21</f>
        <v>-0.26857572713687239</v>
      </c>
      <c r="U66" s="136">
        <f t="shared" ref="U66:U75" si="13">($T66-H66)^2</f>
        <v>2.0299332823180517E-2</v>
      </c>
      <c r="V66" s="136">
        <f t="shared" ref="V66:V75" si="14">($T66-I66)^2</f>
        <v>1.8638877080805728E-2</v>
      </c>
      <c r="W66" s="136">
        <f t="shared" ref="W66:W75" si="15">($T66-J66)^2</f>
        <v>1.6664634145693202</v>
      </c>
      <c r="X66" s="136">
        <f t="shared" ref="X66:X75" si="16">($T66-K66)^2</f>
        <v>0.72799414144824459</v>
      </c>
      <c r="Y66" s="136">
        <f t="shared" ref="Y66:Y75" si="17">($T66-L66)^2</f>
        <v>0.96323286073583314</v>
      </c>
      <c r="Z66" s="136">
        <f t="shared" ref="Z66:Z75" si="18">($T66-M66)^2</f>
        <v>1.1931318015360115</v>
      </c>
      <c r="AA66" s="136">
        <f t="shared" ref="AA66:AA75" si="19">($T66-N66)^2</f>
        <v>0.1300498661780595</v>
      </c>
      <c r="AB66" s="136">
        <f t="shared" ref="AB66:AB75" si="20">($T66-O66)^2</f>
        <v>0.84009006628911398</v>
      </c>
      <c r="AC66" s="136">
        <f t="shared" ref="AC66:AC75" si="21">($T66-P66)^2</f>
        <v>0.28659349048735078</v>
      </c>
      <c r="AD66" s="136">
        <f t="shared" ref="AD66:AD75" si="22">($T66-Q66)^2</f>
        <v>0.2263054530453632</v>
      </c>
    </row>
    <row r="67" spans="2:31" ht="16.5" customHeight="1" thickTop="1" thickBot="1" x14ac:dyDescent="0.3">
      <c r="B67" s="161" t="s">
        <v>1215</v>
      </c>
      <c r="C67" s="161"/>
      <c r="D67" s="156"/>
      <c r="E67" s="156"/>
      <c r="F67" s="156"/>
      <c r="G67" s="156"/>
      <c r="H67" s="156">
        <v>-0.19506000000000001</v>
      </c>
      <c r="I67" s="156">
        <v>-0.46396999999999999</v>
      </c>
      <c r="J67" s="156">
        <v>-1.0748200000000001</v>
      </c>
      <c r="K67" s="156">
        <v>0.14555999999999999</v>
      </c>
      <c r="L67" s="156">
        <v>1.0680099999999999</v>
      </c>
      <c r="M67" s="156">
        <v>-0.42514000000000002</v>
      </c>
      <c r="N67" s="156">
        <v>0.37386000000000003</v>
      </c>
      <c r="O67" s="156">
        <v>1.31134</v>
      </c>
      <c r="P67" s="156">
        <v>0.51100000000000001</v>
      </c>
      <c r="Q67" s="160">
        <v>-0.28626000000000001</v>
      </c>
      <c r="S67" s="122" t="str">
        <f t="shared" ca="1" si="12"/>
        <v>=X22</v>
      </c>
      <c r="T67" s="135">
        <f>X22</f>
        <v>0.13008482287571155</v>
      </c>
      <c r="U67" s="136">
        <f t="shared" si="13"/>
        <v>0.10571915584287785</v>
      </c>
      <c r="V67" s="136">
        <f t="shared" si="14"/>
        <v>0.35290113258189298</v>
      </c>
      <c r="W67" s="136">
        <f t="shared" si="15"/>
        <v>1.4517956321891499</v>
      </c>
      <c r="X67" s="136">
        <f t="shared" si="16"/>
        <v>2.3948110702810046E-4</v>
      </c>
      <c r="Y67" s="136">
        <f t="shared" si="17"/>
        <v>0.87970363788362771</v>
      </c>
      <c r="Z67" s="136">
        <f t="shared" si="18"/>
        <v>0.30827460393736522</v>
      </c>
      <c r="AA67" s="136">
        <f t="shared" si="19"/>
        <v>5.9426336981978217E-2</v>
      </c>
      <c r="AB67" s="136">
        <f t="shared" si="20"/>
        <v>1.3953637934829337</v>
      </c>
      <c r="AC67" s="136">
        <f t="shared" si="21"/>
        <v>0.14509637216362806</v>
      </c>
      <c r="AD67" s="136">
        <f t="shared" si="22"/>
        <v>0.17334301153540763</v>
      </c>
    </row>
    <row r="68" spans="2:31" ht="16.5" customHeight="1" thickTop="1" thickBot="1" x14ac:dyDescent="0.3">
      <c r="B68" s="161" t="s">
        <v>1218</v>
      </c>
      <c r="C68" s="161"/>
      <c r="D68" s="156"/>
      <c r="E68" s="156"/>
      <c r="F68" s="156"/>
      <c r="G68" s="156"/>
      <c r="H68" s="156">
        <v>0.62878000000000001</v>
      </c>
      <c r="I68" s="156">
        <v>0.34974</v>
      </c>
      <c r="J68" s="156">
        <v>2.367E-2</v>
      </c>
      <c r="K68" s="156">
        <v>-1.1360399999999999</v>
      </c>
      <c r="L68" s="156">
        <v>1.18021</v>
      </c>
      <c r="M68" s="156">
        <v>-0.62365000000000004</v>
      </c>
      <c r="N68" s="156">
        <v>0.62733000000000005</v>
      </c>
      <c r="O68" s="156">
        <v>-0.48681000000000002</v>
      </c>
      <c r="P68" s="156">
        <v>3.175E-2</v>
      </c>
      <c r="Q68" s="160">
        <v>1.3977299999999999</v>
      </c>
      <c r="S68" s="122" t="str">
        <f t="shared" ca="1" si="12"/>
        <v>=X23</v>
      </c>
      <c r="T68" s="135">
        <f>X23</f>
        <v>1.0452579566934261</v>
      </c>
      <c r="U68" s="136">
        <f t="shared" si="13"/>
        <v>0.17345388841153134</v>
      </c>
      <c r="V68" s="136">
        <f t="shared" si="14"/>
        <v>0.48374522808299869</v>
      </c>
      <c r="W68" s="136">
        <f t="shared" si="15"/>
        <v>1.0436419532610492</v>
      </c>
      <c r="X68" s="136">
        <f t="shared" si="16"/>
        <v>4.7580607758749158</v>
      </c>
      <c r="Y68" s="136">
        <f t="shared" si="17"/>
        <v>1.8212053992619381E-2</v>
      </c>
      <c r="Z68" s="136">
        <f t="shared" si="18"/>
        <v>2.785253767914627</v>
      </c>
      <c r="AA68" s="136">
        <f t="shared" si="19"/>
        <v>0.17466377698594224</v>
      </c>
      <c r="AB68" s="136">
        <f t="shared" si="20"/>
        <v>2.3472322239267696</v>
      </c>
      <c r="AC68" s="136">
        <f t="shared" si="21"/>
        <v>1.0271983782808838</v>
      </c>
      <c r="AD68" s="136">
        <f t="shared" si="22"/>
        <v>0.12423654131271122</v>
      </c>
    </row>
    <row r="69" spans="2:31" ht="16.5" customHeight="1" thickTop="1" thickBot="1" x14ac:dyDescent="0.3">
      <c r="B69" s="161" t="s">
        <v>1221</v>
      </c>
      <c r="C69" s="161"/>
      <c r="D69" s="156"/>
      <c r="E69" s="156"/>
      <c r="F69" s="156"/>
      <c r="G69" s="156"/>
      <c r="H69" s="156">
        <v>-0.95869000000000004</v>
      </c>
      <c r="I69" s="156">
        <v>0.62692000000000003</v>
      </c>
      <c r="J69" s="156">
        <v>-0.88468999999999998</v>
      </c>
      <c r="K69" s="156">
        <v>1.1120000000000001</v>
      </c>
      <c r="L69" s="156">
        <v>-0.14726</v>
      </c>
      <c r="M69" s="156">
        <v>-0.33019999999999999</v>
      </c>
      <c r="N69" s="156">
        <v>1.1871799999999999</v>
      </c>
      <c r="O69" s="156">
        <v>1.28464</v>
      </c>
      <c r="P69" s="156">
        <v>-0.15409999999999999</v>
      </c>
      <c r="Q69" s="160">
        <v>-4.8710000000000003E-2</v>
      </c>
      <c r="S69" s="122" t="str">
        <f t="shared" ca="1" si="12"/>
        <v>=X24</v>
      </c>
      <c r="T69" s="135">
        <f>X24</f>
        <v>0.41416658525188732</v>
      </c>
      <c r="U69" s="136">
        <f t="shared" si="13"/>
        <v>1.8847352036694729</v>
      </c>
      <c r="V69" s="136">
        <f t="shared" si="14"/>
        <v>4.5264015486982466E-2</v>
      </c>
      <c r="W69" s="136">
        <f t="shared" si="15"/>
        <v>1.6870284290521929</v>
      </c>
      <c r="X69" s="136">
        <f t="shared" si="16"/>
        <v>0.48697147473901159</v>
      </c>
      <c r="Y69" s="136">
        <f t="shared" si="17"/>
        <v>0.31519981062759478</v>
      </c>
      <c r="Z69" s="136">
        <f t="shared" si="18"/>
        <v>0.55408161323955518</v>
      </c>
      <c r="AA69" s="136">
        <f t="shared" si="19"/>
        <v>0.59754973938053757</v>
      </c>
      <c r="AB69" s="136">
        <f t="shared" si="20"/>
        <v>0.75772396578323975</v>
      </c>
      <c r="AC69" s="136">
        <f t="shared" si="21"/>
        <v>0.32292691191384054</v>
      </c>
      <c r="AD69" s="136">
        <f t="shared" si="22"/>
        <v>0.21425473317444774</v>
      </c>
    </row>
    <row r="70" spans="2:31" ht="16.5" customHeight="1" thickTop="1" thickBot="1" x14ac:dyDescent="0.3">
      <c r="B70" s="161" t="s">
        <v>1224</v>
      </c>
      <c r="C70" s="161"/>
      <c r="D70" s="156"/>
      <c r="E70" s="156"/>
      <c r="F70" s="156"/>
      <c r="G70" s="156"/>
      <c r="H70" s="156">
        <v>-0.82889999999999997</v>
      </c>
      <c r="I70" s="156">
        <v>1.34097</v>
      </c>
      <c r="J70" s="156">
        <v>-0.85389999999999999</v>
      </c>
      <c r="K70" s="156">
        <v>6.4869999999999997E-2</v>
      </c>
      <c r="L70" s="156">
        <v>7.3270000000000002E-2</v>
      </c>
      <c r="M70" s="156">
        <v>4.4569999999999999E-2</v>
      </c>
      <c r="N70" s="156">
        <v>4.9889999999999997E-2</v>
      </c>
      <c r="O70" s="156">
        <v>0.86504999999999999</v>
      </c>
      <c r="P70" s="156">
        <v>0.46422999999999998</v>
      </c>
      <c r="Q70" s="160">
        <v>-0.39129999999999998</v>
      </c>
      <c r="S70" s="122" t="str">
        <f t="shared" ca="1" si="12"/>
        <v>=X25</v>
      </c>
      <c r="T70" s="135">
        <f>X25</f>
        <v>2.0271318818346241E-2</v>
      </c>
      <c r="U70" s="136">
        <f t="shared" si="13"/>
        <v>0.72109192870368932</v>
      </c>
      <c r="V70" s="136">
        <f t="shared" si="14"/>
        <v>1.7442450064749593</v>
      </c>
      <c r="W70" s="136">
        <f t="shared" si="15"/>
        <v>0.76417549464460666</v>
      </c>
      <c r="X70" s="136">
        <f t="shared" si="16"/>
        <v>1.989042363142797E-3</v>
      </c>
      <c r="Y70" s="136">
        <f t="shared" si="17"/>
        <v>2.8088602069945806E-3</v>
      </c>
      <c r="Z70" s="136">
        <f t="shared" si="18"/>
        <v>5.9042590716765447E-4</v>
      </c>
      <c r="AA70" s="136">
        <f t="shared" si="19"/>
        <v>8.7726627494045032E-4</v>
      </c>
      <c r="AB70" s="136">
        <f t="shared" si="20"/>
        <v>0.71365102017901427</v>
      </c>
      <c r="AC70" s="136">
        <f t="shared" si="21"/>
        <v>0.19709931059655325</v>
      </c>
      <c r="AD70" s="136">
        <f t="shared" si="22"/>
        <v>0.16939095047387281</v>
      </c>
    </row>
    <row r="71" spans="2:31" ht="16.5" customHeight="1" thickTop="1" thickBot="1" x14ac:dyDescent="0.3">
      <c r="B71" s="161" t="s">
        <v>1227</v>
      </c>
      <c r="C71" s="161"/>
      <c r="D71" s="156"/>
      <c r="E71" s="156"/>
      <c r="F71" s="156"/>
      <c r="G71" s="156"/>
      <c r="H71" s="156">
        <v>-0.57842000000000005</v>
      </c>
      <c r="I71" s="156">
        <v>0.64731000000000005</v>
      </c>
      <c r="J71" s="156">
        <v>-0.60104000000000002</v>
      </c>
      <c r="K71" s="156">
        <v>0.51283999999999996</v>
      </c>
      <c r="L71" s="156">
        <v>-0.68959000000000004</v>
      </c>
      <c r="M71" s="156">
        <v>0.60399000000000003</v>
      </c>
      <c r="N71" s="156">
        <v>-1.59188</v>
      </c>
      <c r="O71" s="156">
        <v>0.65871000000000002</v>
      </c>
      <c r="P71" s="156">
        <v>0.60799999999999998</v>
      </c>
      <c r="Q71" s="160">
        <v>-1.36486</v>
      </c>
      <c r="S71" s="122" t="str">
        <f t="shared" ca="1" si="12"/>
        <v>=X26</v>
      </c>
      <c r="T71" s="135">
        <f>X26</f>
        <v>-2.1016761151652328</v>
      </c>
      <c r="U71" s="136">
        <f t="shared" si="13"/>
        <v>2.3203091923882773</v>
      </c>
      <c r="V71" s="136">
        <f t="shared" si="14"/>
        <v>7.5569246613712391</v>
      </c>
      <c r="W71" s="136">
        <f t="shared" si="15"/>
        <v>2.2519087501382016</v>
      </c>
      <c r="X71" s="136">
        <f t="shared" si="16"/>
        <v>6.8356945164587017</v>
      </c>
      <c r="Y71" s="136">
        <f t="shared" si="17"/>
        <v>1.9939871966424392</v>
      </c>
      <c r="Z71" s="136">
        <f t="shared" si="18"/>
        <v>7.3206291267533228</v>
      </c>
      <c r="AA71" s="136">
        <f t="shared" si="19"/>
        <v>0.25989207903756334</v>
      </c>
      <c r="AB71" s="136">
        <f t="shared" si="20"/>
        <v>7.6197315047970067</v>
      </c>
      <c r="AC71" s="136">
        <f t="shared" si="21"/>
        <v>7.3423446490969484</v>
      </c>
      <c r="AD71" s="136">
        <f t="shared" si="22"/>
        <v>0.54289798756718566</v>
      </c>
    </row>
    <row r="72" spans="2:31" ht="16.5" customHeight="1" thickTop="1" thickBot="1" x14ac:dyDescent="0.3">
      <c r="B72" s="161" t="s">
        <v>1230</v>
      </c>
      <c r="C72" s="161"/>
      <c r="D72" s="156"/>
      <c r="E72" s="156"/>
      <c r="F72" s="156"/>
      <c r="G72" s="156"/>
      <c r="H72" s="156">
        <v>-0.36864999999999998</v>
      </c>
      <c r="I72" s="156">
        <v>0.16667000000000001</v>
      </c>
      <c r="J72" s="156">
        <v>-0.22570999999999999</v>
      </c>
      <c r="K72" s="156">
        <v>0.94960999999999995</v>
      </c>
      <c r="L72" s="156">
        <v>0.12970999999999999</v>
      </c>
      <c r="M72" s="156">
        <v>-0.72424999999999995</v>
      </c>
      <c r="N72" s="156">
        <v>2.0912500000000001</v>
      </c>
      <c r="O72" s="156">
        <v>0.52634999999999998</v>
      </c>
      <c r="P72" s="156">
        <v>-0.34210000000000002</v>
      </c>
      <c r="Q72" s="160">
        <v>-8.7120000000000003E-2</v>
      </c>
      <c r="S72" s="122" t="str">
        <f t="shared" ca="1" si="12"/>
        <v>=X27</v>
      </c>
      <c r="T72" s="135">
        <f>X27</f>
        <v>-2.469244380887829</v>
      </c>
      <c r="U72" s="136">
        <f t="shared" si="13"/>
        <v>4.4124967530175212</v>
      </c>
      <c r="V72" s="136">
        <f t="shared" si="14"/>
        <v>6.948044623371266</v>
      </c>
      <c r="W72" s="136">
        <f t="shared" si="15"/>
        <v>5.0334465182257349</v>
      </c>
      <c r="X72" s="136">
        <f t="shared" si="16"/>
        <v>11.688565277715901</v>
      </c>
      <c r="Y72" s="136">
        <f t="shared" si="17"/>
        <v>6.7545638739360374</v>
      </c>
      <c r="Z72" s="136">
        <f t="shared" si="18"/>
        <v>3.0450053893300977</v>
      </c>
      <c r="AA72" s="136">
        <f t="shared" si="19"/>
        <v>20.798108998109463</v>
      </c>
      <c r="AB72" s="136">
        <f t="shared" si="20"/>
        <v>8.9735856948067347</v>
      </c>
      <c r="AC72" s="136">
        <f t="shared" si="21"/>
        <v>4.5247432171426665</v>
      </c>
      <c r="AD72" s="136">
        <f t="shared" si="22"/>
        <v>5.6745165660202224</v>
      </c>
    </row>
    <row r="73" spans="2:31" ht="16.5" customHeight="1" thickTop="1" thickBot="1" x14ac:dyDescent="0.3">
      <c r="B73" s="161" t="s">
        <v>1233</v>
      </c>
      <c r="C73" s="161"/>
      <c r="D73" s="156"/>
      <c r="E73" s="156"/>
      <c r="F73" s="156"/>
      <c r="G73" s="156"/>
      <c r="H73" s="156">
        <v>1.02773</v>
      </c>
      <c r="I73" s="156">
        <v>-1.3314999999999999</v>
      </c>
      <c r="J73" s="156">
        <v>0.65958000000000006</v>
      </c>
      <c r="K73" s="156">
        <v>-0.99743000000000004</v>
      </c>
      <c r="L73" s="156">
        <v>-7.4120000000000005E-2</v>
      </c>
      <c r="M73" s="156">
        <v>0.35569000000000001</v>
      </c>
      <c r="N73" s="156">
        <v>-1.5071300000000001</v>
      </c>
      <c r="O73" s="156">
        <v>-0.70520000000000005</v>
      </c>
      <c r="P73" s="156">
        <v>0.35966999999999999</v>
      </c>
      <c r="Q73" s="160">
        <v>-0.22933000000000001</v>
      </c>
      <c r="S73" s="122" t="str">
        <f t="shared" ca="1" si="12"/>
        <v>=X28</v>
      </c>
      <c r="T73" s="135">
        <f>X28</f>
        <v>-0.62210290652562694</v>
      </c>
      <c r="U73" s="136">
        <f t="shared" si="13"/>
        <v>2.7219486194547984</v>
      </c>
      <c r="V73" s="136">
        <f t="shared" si="14"/>
        <v>0.50324423622988823</v>
      </c>
      <c r="W73" s="136">
        <f t="shared" si="15"/>
        <v>1.6427110728799792</v>
      </c>
      <c r="X73" s="136">
        <f t="shared" si="16"/>
        <v>0.14087042709592079</v>
      </c>
      <c r="Y73" s="136">
        <f t="shared" si="17"/>
        <v>0.30028526584427401</v>
      </c>
      <c r="Z73" s="136">
        <f t="shared" si="18"/>
        <v>0.95607896805183357</v>
      </c>
      <c r="AA73" s="136">
        <f t="shared" si="19"/>
        <v>0.78327295618369686</v>
      </c>
      <c r="AB73" s="136">
        <f t="shared" si="20"/>
        <v>6.9051269438887017E-3</v>
      </c>
      <c r="AC73" s="136">
        <f t="shared" si="21"/>
        <v>0.96387803998777732</v>
      </c>
      <c r="AD73" s="136">
        <f t="shared" si="22"/>
        <v>0.15427055610058885</v>
      </c>
    </row>
    <row r="74" spans="2:31" ht="16.5" customHeight="1" thickTop="1" thickBot="1" x14ac:dyDescent="0.3">
      <c r="B74" s="156" t="s">
        <v>1236</v>
      </c>
      <c r="C74" s="156"/>
      <c r="D74" s="156"/>
      <c r="E74" s="156"/>
      <c r="F74" s="156"/>
      <c r="G74" s="156"/>
      <c r="H74" s="156">
        <v>0.48010000000000003</v>
      </c>
      <c r="I74" s="156">
        <v>0.21314</v>
      </c>
      <c r="J74" s="156">
        <v>0.86573</v>
      </c>
      <c r="K74" s="156">
        <v>-0.6825</v>
      </c>
      <c r="L74" s="156">
        <v>0.54791999999999996</v>
      </c>
      <c r="M74" s="156">
        <v>-0.61611000000000005</v>
      </c>
      <c r="N74" s="156">
        <v>1.4875400000000001</v>
      </c>
      <c r="O74" s="156">
        <v>-0.94943999999999995</v>
      </c>
      <c r="P74" s="156">
        <v>-0.53529000000000004</v>
      </c>
      <c r="Q74" s="160">
        <v>1.09175</v>
      </c>
      <c r="S74" s="122" t="str">
        <f t="shared" ca="1" si="12"/>
        <v>=X29</v>
      </c>
      <c r="T74" s="135">
        <f>X29</f>
        <v>1.1393828654938944</v>
      </c>
      <c r="U74" s="136">
        <f t="shared" si="13"/>
        <v>0.43465389673384058</v>
      </c>
      <c r="V74" s="136">
        <f t="shared" si="14"/>
        <v>0.85792584587834064</v>
      </c>
      <c r="W74" s="136">
        <f t="shared" si="15"/>
        <v>7.488589079301948E-2</v>
      </c>
      <c r="X74" s="136">
        <f t="shared" si="16"/>
        <v>3.3192571755802436</v>
      </c>
      <c r="Y74" s="136">
        <f t="shared" si="17"/>
        <v>0.3498283212582487</v>
      </c>
      <c r="Z74" s="136">
        <f t="shared" si="18"/>
        <v>3.0817552007999653</v>
      </c>
      <c r="AA74" s="136">
        <f t="shared" si="19"/>
        <v>0.12121339030750253</v>
      </c>
      <c r="AB74" s="136">
        <f t="shared" si="20"/>
        <v>4.363180963410124</v>
      </c>
      <c r="AC74" s="136">
        <f t="shared" si="21"/>
        <v>2.8045292064215315</v>
      </c>
      <c r="AD74" s="136">
        <f t="shared" si="22"/>
        <v>2.2688898751594406E-3</v>
      </c>
    </row>
    <row r="75" spans="2:31" ht="16.5" customHeight="1" thickTop="1" thickBot="1" x14ac:dyDescent="0.3">
      <c r="B75" s="162" t="s">
        <v>1239</v>
      </c>
      <c r="C75" s="162"/>
      <c r="D75" s="162"/>
      <c r="E75" s="162"/>
      <c r="F75" s="162"/>
      <c r="G75" s="162"/>
      <c r="H75" s="162">
        <v>0.85616000000000003</v>
      </c>
      <c r="I75" s="162">
        <v>-0.78398999999999996</v>
      </c>
      <c r="J75" s="162">
        <v>0.89398999999999995</v>
      </c>
      <c r="K75" s="162">
        <v>-0.66896</v>
      </c>
      <c r="L75" s="162">
        <v>-0.76510999999999996</v>
      </c>
      <c r="M75" s="162">
        <v>0.60853999999999997</v>
      </c>
      <c r="N75" s="162">
        <v>-1.9272499999999999</v>
      </c>
      <c r="O75" s="162">
        <v>-1.0239100000000001</v>
      </c>
      <c r="P75" s="162">
        <v>0.13247999999999999</v>
      </c>
      <c r="Q75" s="163">
        <v>-0.23465</v>
      </c>
      <c r="S75" s="122" t="str">
        <f t="shared" ca="1" si="12"/>
        <v>=X30</v>
      </c>
      <c r="T75" s="135">
        <f>X30</f>
        <v>-0.44524178240782447</v>
      </c>
      <c r="U75" s="136">
        <f t="shared" si="13"/>
        <v>1.6936465992542626</v>
      </c>
      <c r="V75" s="136">
        <f t="shared" si="14"/>
        <v>0.11475035492187588</v>
      </c>
      <c r="W75" s="136">
        <f t="shared" si="15"/>
        <v>1.7935417670112381</v>
      </c>
      <c r="X75" s="136">
        <f t="shared" si="16"/>
        <v>5.0049840882619996E-2</v>
      </c>
      <c r="Y75" s="136">
        <f t="shared" si="17"/>
        <v>0.10231567662559532</v>
      </c>
      <c r="Z75" s="136">
        <f t="shared" si="18"/>
        <v>1.1104560449346113</v>
      </c>
      <c r="AA75" s="136">
        <f t="shared" si="19"/>
        <v>2.1963483570107365</v>
      </c>
      <c r="AB75" s="136">
        <f t="shared" si="20"/>
        <v>0.33485690605130547</v>
      </c>
      <c r="AC75" s="136">
        <f t="shared" si="21"/>
        <v>0.33376245786847369</v>
      </c>
      <c r="AD75" s="136">
        <f t="shared" si="22"/>
        <v>4.4348898817704492E-2</v>
      </c>
    </row>
    <row r="76" spans="2:31" ht="17.25" customHeight="1" thickBot="1" x14ac:dyDescent="0.3">
      <c r="D76" s="143"/>
      <c r="S76" t="s">
        <v>1701</v>
      </c>
      <c r="U76" s="164">
        <f>SUM(U66:U75)</f>
        <v>14.488354570299451</v>
      </c>
      <c r="V76" s="164">
        <f>SUM(V66:V75)</f>
        <v>18.625683981480254</v>
      </c>
      <c r="W76" s="164">
        <f>SUM(W66:W75)</f>
        <v>17.409598922764491</v>
      </c>
      <c r="X76" s="164">
        <f>SUM(X66:X75)</f>
        <v>28.009692153265728</v>
      </c>
      <c r="Y76" s="164">
        <f>SUM(Y66:Y75)</f>
        <v>11.680137557753262</v>
      </c>
      <c r="Z76" s="164">
        <f>SUM(Z66:Z75)</f>
        <v>20.355256942404559</v>
      </c>
      <c r="AA76" s="164">
        <f>SUM(AA66:AA75)</f>
        <v>25.121402766450423</v>
      </c>
      <c r="AB76" s="164">
        <f>SUM(AB66:AB75)</f>
        <v>27.352321265670131</v>
      </c>
      <c r="AC76" s="164">
        <f>SUM(AC66:AC75)</f>
        <v>17.948172033959654</v>
      </c>
      <c r="AD76" s="164">
        <f>SUM(AD66:AD75)</f>
        <v>7.3258335879226637</v>
      </c>
    </row>
    <row r="77" spans="2:31" ht="16.5" customHeight="1" thickTop="1" x14ac:dyDescent="0.25">
      <c r="D77" s="143"/>
      <c r="S77" s="165" t="s">
        <v>1702</v>
      </c>
      <c r="U77" s="136" t="e">
        <f t="shared" ref="U77:AD77" si="23">1-($T82/U76)</f>
        <v>#DIV/0!</v>
      </c>
      <c r="V77" s="136" t="e">
        <f t="shared" si="23"/>
        <v>#DIV/0!</v>
      </c>
      <c r="W77" s="136" t="e">
        <f t="shared" si="23"/>
        <v>#DIV/0!</v>
      </c>
      <c r="X77" s="136" t="e">
        <f t="shared" si="23"/>
        <v>#DIV/0!</v>
      </c>
      <c r="Y77" s="136" t="e">
        <f t="shared" si="23"/>
        <v>#DIV/0!</v>
      </c>
      <c r="Z77" s="136" t="e">
        <f t="shared" si="23"/>
        <v>#DIV/0!</v>
      </c>
      <c r="AA77" s="136" t="e">
        <f t="shared" si="23"/>
        <v>#DIV/0!</v>
      </c>
      <c r="AB77" s="136" t="e">
        <f t="shared" si="23"/>
        <v>#DIV/0!</v>
      </c>
      <c r="AC77" s="136" t="e">
        <f t="shared" si="23"/>
        <v>#DIV/0!</v>
      </c>
      <c r="AD77" s="136" t="e">
        <f t="shared" si="23"/>
        <v>#DIV/0!</v>
      </c>
    </row>
    <row r="78" spans="2:31" ht="15.75" customHeight="1" x14ac:dyDescent="0.25">
      <c r="D78" s="143"/>
      <c r="S78" t="s">
        <v>1703</v>
      </c>
      <c r="U78" s="46" t="e">
        <f t="shared" ref="U78:AD78" si="24">IF(U77 &gt; 0.2, "Above Threshold", "Below Threshold")</f>
        <v>#DIV/0!</v>
      </c>
      <c r="V78" s="46" t="e">
        <f t="shared" si="24"/>
        <v>#DIV/0!</v>
      </c>
      <c r="W78" s="46" t="e">
        <f t="shared" si="24"/>
        <v>#DIV/0!</v>
      </c>
      <c r="X78" s="46" t="e">
        <f t="shared" si="24"/>
        <v>#DIV/0!</v>
      </c>
      <c r="Y78" s="46" t="e">
        <f t="shared" si="24"/>
        <v>#DIV/0!</v>
      </c>
      <c r="Z78" s="46" t="e">
        <f t="shared" si="24"/>
        <v>#DIV/0!</v>
      </c>
      <c r="AA78" s="46" t="e">
        <f t="shared" si="24"/>
        <v>#DIV/0!</v>
      </c>
      <c r="AB78" s="46" t="e">
        <f t="shared" si="24"/>
        <v>#DIV/0!</v>
      </c>
      <c r="AC78" s="46" t="e">
        <f t="shared" si="24"/>
        <v>#DIV/0!</v>
      </c>
      <c r="AD78" s="46" t="e">
        <f t="shared" si="24"/>
        <v>#DIV/0!</v>
      </c>
    </row>
    <row r="79" spans="2:31" ht="15.75" customHeight="1" x14ac:dyDescent="0.25">
      <c r="D79" s="143"/>
      <c r="S79" s="166"/>
      <c r="T79" s="166"/>
      <c r="U79" s="167">
        <f t="shared" ref="U79:AD79" si="25">EXP(-U76/2)</f>
        <v>7.1432159408228192E-4</v>
      </c>
      <c r="V79" s="167">
        <f t="shared" si="25"/>
        <v>9.0257668869314251E-5</v>
      </c>
      <c r="W79" s="167">
        <f t="shared" si="25"/>
        <v>1.6578820439305304E-4</v>
      </c>
      <c r="X79" s="167">
        <f t="shared" si="25"/>
        <v>8.2750881545603292E-7</v>
      </c>
      <c r="Y79" s="167">
        <f t="shared" si="25"/>
        <v>2.908642565764515E-3</v>
      </c>
      <c r="Z79" s="167">
        <f t="shared" si="25"/>
        <v>3.8011246891400681E-5</v>
      </c>
      <c r="AA79" s="167">
        <f t="shared" si="25"/>
        <v>3.507169054033115E-6</v>
      </c>
      <c r="AB79" s="167">
        <f t="shared" si="25"/>
        <v>1.1495262777647243E-6</v>
      </c>
      <c r="AC79" s="167">
        <f t="shared" si="25"/>
        <v>1.2664964088909012E-4</v>
      </c>
      <c r="AD79" s="167">
        <f t="shared" si="25"/>
        <v>2.5657565644363417E-2</v>
      </c>
      <c r="AE79" s="168">
        <f>SUM(U79:AD79)</f>
        <v>2.9706720769400327E-2</v>
      </c>
    </row>
    <row r="80" spans="2:31" ht="16.5" customHeight="1" x14ac:dyDescent="0.25">
      <c r="D80" s="143"/>
      <c r="S80" s="169" t="s">
        <v>1717</v>
      </c>
      <c r="T80" s="170"/>
      <c r="U80" s="171" t="e">
        <f t="shared" ref="U80:AD80" si="26">U79/$AE$113</f>
        <v>#DIV/0!</v>
      </c>
      <c r="V80" s="171" t="e">
        <f t="shared" si="26"/>
        <v>#DIV/0!</v>
      </c>
      <c r="W80" s="171" t="e">
        <f t="shared" si="26"/>
        <v>#DIV/0!</v>
      </c>
      <c r="X80" s="171" t="e">
        <f t="shared" si="26"/>
        <v>#DIV/0!</v>
      </c>
      <c r="Y80" s="171" t="e">
        <f t="shared" si="26"/>
        <v>#DIV/0!</v>
      </c>
      <c r="Z80" s="171" t="e">
        <f t="shared" si="26"/>
        <v>#DIV/0!</v>
      </c>
      <c r="AA80" s="171" t="e">
        <f t="shared" si="26"/>
        <v>#DIV/0!</v>
      </c>
      <c r="AB80" s="171" t="e">
        <f t="shared" si="26"/>
        <v>#DIV/0!</v>
      </c>
      <c r="AC80" s="171" t="e">
        <f t="shared" si="26"/>
        <v>#DIV/0!</v>
      </c>
      <c r="AD80" s="171" t="e">
        <f t="shared" si="26"/>
        <v>#DIV/0!</v>
      </c>
    </row>
    <row r="81" spans="4:30" ht="17.25" customHeight="1" thickBot="1" x14ac:dyDescent="0.3">
      <c r="D81" s="143"/>
      <c r="S81" s="170"/>
      <c r="T81" s="170"/>
      <c r="U81" s="172"/>
      <c r="V81" s="172"/>
      <c r="W81" s="172"/>
      <c r="X81" s="172"/>
      <c r="Y81" s="172"/>
      <c r="Z81" s="172"/>
      <c r="AA81" s="172"/>
      <c r="AB81" s="172"/>
      <c r="AC81" s="172"/>
      <c r="AD81" s="172"/>
    </row>
    <row r="82" spans="4:30" ht="24" customHeight="1" thickTop="1" thickBot="1" x14ac:dyDescent="0.35">
      <c r="D82" s="143"/>
      <c r="S82" s="173" t="s">
        <v>897</v>
      </c>
      <c r="T82" s="174" t="e">
        <f>MAX(U80:AD80)</f>
        <v>#DIV/0!</v>
      </c>
      <c r="U82" s="175" t="e">
        <f>INDEX($U$97:$AD$97, MATCH(MAX(U80:AD80),U80:AD80, 0))</f>
        <v>#DIV/0!</v>
      </c>
      <c r="V82" s="176"/>
      <c r="W82" s="176"/>
      <c r="X82" s="147"/>
      <c r="Y82" s="147"/>
      <c r="Z82" s="147"/>
    </row>
    <row r="83" spans="4:30" ht="24" customHeight="1" thickTop="1" thickBot="1" x14ac:dyDescent="0.35">
      <c r="D83" s="143"/>
      <c r="S83" s="177" t="s">
        <v>1718</v>
      </c>
      <c r="T83" s="178" t="e">
        <f>LARGE(U80:AD80,2)</f>
        <v>#DIV/0!</v>
      </c>
      <c r="U83" s="175" t="e">
        <f>INDEX($U$97:$AD$97, MATCH(LARGE(U80:AD80, 2),U80:AD80, 0))</f>
        <v>#DIV/0!</v>
      </c>
      <c r="V83" s="176"/>
      <c r="W83" s="176"/>
      <c r="X83" s="147"/>
      <c r="Y83" s="147"/>
      <c r="Z83" s="147"/>
    </row>
    <row r="84" spans="4:30" ht="23.25" customHeight="1" thickTop="1" x14ac:dyDescent="0.3">
      <c r="D84" s="143"/>
      <c r="S84" s="153" t="s">
        <v>1719</v>
      </c>
      <c r="T84" s="154" t="e">
        <f>T82-T83</f>
        <v>#DIV/0!</v>
      </c>
      <c r="U84" s="154"/>
      <c r="V84" s="154"/>
      <c r="W84" s="154"/>
      <c r="X84" s="147"/>
      <c r="Y84" s="147"/>
      <c r="Z84" s="147"/>
    </row>
  </sheetData>
  <mergeCells count="2">
    <mergeCell ref="H63:Q63"/>
    <mergeCell ref="L45:Q45"/>
  </mergeCells>
  <dataValidations count="2">
    <dataValidation type="list" allowBlank="1" showInputMessage="1" showErrorMessage="1" sqref="H8 H10 H12 H14 H21 H24:H25 I9 I11 I13 I22:I23 I26 J10 J12 J14:J15 J24:J25 J27 K11 K13 K23 K26 K28 L8:L9 L15 L24:L25 L27 L29 M10 M11:N11 M14:N14 M23:N23 M26 M28 M30 N12:O13 N22 N27 N29 O8 O21 O28 O30" xr:uid="{00000000-0002-0000-0400-000000000000}">
      <formula1>$A$48:$A$50</formula1>
    </dataValidation>
    <dataValidation type="list" allowBlank="1" showInputMessage="1" showErrorMessage="1" sqref="T2:T3" xr:uid="{00000000-0002-0000-0400-000001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204"/>
  <sheetViews>
    <sheetView topLeftCell="A106" workbookViewId="0">
      <selection activeCell="A462" sqref="A462:B498"/>
    </sheetView>
  </sheetViews>
  <sheetFormatPr defaultRowHeight="15" x14ac:dyDescent="0.25"/>
  <sheetData>
    <row r="1" spans="1:1" x14ac:dyDescent="0.25">
      <c r="A1" t="s">
        <v>1720</v>
      </c>
    </row>
    <row r="2" spans="1:1" x14ac:dyDescent="0.25">
      <c r="A2" t="s">
        <v>1721</v>
      </c>
    </row>
    <row r="3" spans="1:1" x14ac:dyDescent="0.25">
      <c r="A3" t="s">
        <v>1722</v>
      </c>
    </row>
    <row r="4" spans="1:1" x14ac:dyDescent="0.25">
      <c r="A4" t="s">
        <v>1723</v>
      </c>
    </row>
    <row r="5" spans="1:1" x14ac:dyDescent="0.25">
      <c r="A5" t="s">
        <v>1724</v>
      </c>
    </row>
    <row r="6" spans="1:1" x14ac:dyDescent="0.25">
      <c r="A6" t="s">
        <v>1725</v>
      </c>
    </row>
    <row r="7" spans="1:1" x14ac:dyDescent="0.25">
      <c r="A7" t="s">
        <v>1726</v>
      </c>
    </row>
    <row r="8" spans="1:1" x14ac:dyDescent="0.25">
      <c r="A8" t="s">
        <v>1727</v>
      </c>
    </row>
    <row r="9" spans="1:1" x14ac:dyDescent="0.25">
      <c r="A9" t="s">
        <v>1728</v>
      </c>
    </row>
    <row r="10" spans="1:1" x14ac:dyDescent="0.25">
      <c r="A10" t="s">
        <v>1729</v>
      </c>
    </row>
    <row r="11" spans="1:1" x14ac:dyDescent="0.25">
      <c r="A11" t="s">
        <v>1730</v>
      </c>
    </row>
    <row r="12" spans="1:1" x14ac:dyDescent="0.25">
      <c r="A12" t="s">
        <v>1731</v>
      </c>
    </row>
    <row r="13" spans="1:1" x14ac:dyDescent="0.25">
      <c r="A13" t="s">
        <v>1732</v>
      </c>
    </row>
    <row r="14" spans="1:1" x14ac:dyDescent="0.25">
      <c r="A14" t="s">
        <v>1733</v>
      </c>
    </row>
    <row r="15" spans="1:1" x14ac:dyDescent="0.25">
      <c r="A15" t="s">
        <v>1734</v>
      </c>
    </row>
    <row r="16" spans="1:1" x14ac:dyDescent="0.25">
      <c r="A16" t="s">
        <v>1735</v>
      </c>
    </row>
    <row r="17" spans="1:1" x14ac:dyDescent="0.25">
      <c r="A17" t="s">
        <v>1736</v>
      </c>
    </row>
    <row r="18" spans="1:1" x14ac:dyDescent="0.25">
      <c r="A18" t="s">
        <v>1737</v>
      </c>
    </row>
    <row r="19" spans="1:1" x14ac:dyDescent="0.25">
      <c r="A19" t="s">
        <v>1738</v>
      </c>
    </row>
    <row r="20" spans="1:1" x14ac:dyDescent="0.25">
      <c r="A20" t="s">
        <v>1739</v>
      </c>
    </row>
    <row r="21" spans="1:1" x14ac:dyDescent="0.25">
      <c r="A21" t="s">
        <v>1740</v>
      </c>
    </row>
    <row r="22" spans="1:1" x14ac:dyDescent="0.25">
      <c r="A22" t="s">
        <v>1741</v>
      </c>
    </row>
    <row r="23" spans="1:1" x14ac:dyDescent="0.25">
      <c r="A23" t="s">
        <v>1742</v>
      </c>
    </row>
    <row r="24" spans="1:1" x14ac:dyDescent="0.25">
      <c r="A24" t="s">
        <v>1743</v>
      </c>
    </row>
    <row r="26" spans="1:1" x14ac:dyDescent="0.25">
      <c r="A26" t="s">
        <v>1744</v>
      </c>
    </row>
    <row r="27" spans="1:1" x14ac:dyDescent="0.25">
      <c r="A27" t="s">
        <v>1745</v>
      </c>
    </row>
    <row r="28" spans="1:1" x14ac:dyDescent="0.25">
      <c r="A28" t="s">
        <v>1746</v>
      </c>
    </row>
    <row r="29" spans="1:1" x14ac:dyDescent="0.25">
      <c r="A29" t="s">
        <v>1747</v>
      </c>
    </row>
    <row r="30" spans="1:1" x14ac:dyDescent="0.25">
      <c r="A30" t="s">
        <v>1748</v>
      </c>
    </row>
    <row r="31" spans="1:1" x14ac:dyDescent="0.25">
      <c r="A31" t="s">
        <v>1749</v>
      </c>
    </row>
    <row r="32" spans="1:1" x14ac:dyDescent="0.25">
      <c r="A32" t="s">
        <v>1750</v>
      </c>
    </row>
    <row r="33" spans="1:1" x14ac:dyDescent="0.25">
      <c r="A33" t="s">
        <v>1751</v>
      </c>
    </row>
    <row r="34" spans="1:1" x14ac:dyDescent="0.25">
      <c r="A34" t="s">
        <v>1752</v>
      </c>
    </row>
    <row r="35" spans="1:1" x14ac:dyDescent="0.25">
      <c r="A35" t="s">
        <v>1753</v>
      </c>
    </row>
    <row r="36" spans="1:1" x14ac:dyDescent="0.25">
      <c r="A36" t="s">
        <v>1754</v>
      </c>
    </row>
    <row r="37" spans="1:1" x14ac:dyDescent="0.25">
      <c r="A37" t="s">
        <v>1755</v>
      </c>
    </row>
    <row r="38" spans="1:1" x14ac:dyDescent="0.25">
      <c r="A38" t="s">
        <v>1756</v>
      </c>
    </row>
    <row r="39" spans="1:1" x14ac:dyDescent="0.25">
      <c r="A39" t="s">
        <v>1757</v>
      </c>
    </row>
    <row r="40" spans="1:1" x14ac:dyDescent="0.25">
      <c r="A40" t="s">
        <v>1758</v>
      </c>
    </row>
    <row r="41" spans="1:1" x14ac:dyDescent="0.25">
      <c r="A41" t="s">
        <v>1759</v>
      </c>
    </row>
    <row r="42" spans="1:1" x14ac:dyDescent="0.25">
      <c r="A42" t="s">
        <v>1760</v>
      </c>
    </row>
    <row r="43" spans="1:1" x14ac:dyDescent="0.25">
      <c r="A43" t="s">
        <v>1761</v>
      </c>
    </row>
    <row r="44" spans="1:1" x14ac:dyDescent="0.25">
      <c r="A44" t="s">
        <v>1762</v>
      </c>
    </row>
    <row r="45" spans="1:1" x14ac:dyDescent="0.25">
      <c r="A45" t="s">
        <v>1763</v>
      </c>
    </row>
    <row r="46" spans="1:1" x14ac:dyDescent="0.25">
      <c r="A46" t="s">
        <v>1764</v>
      </c>
    </row>
    <row r="47" spans="1:1" x14ac:dyDescent="0.25">
      <c r="A47" t="s">
        <v>1765</v>
      </c>
    </row>
    <row r="48" spans="1:1" x14ac:dyDescent="0.25">
      <c r="A48" t="s">
        <v>1766</v>
      </c>
    </row>
    <row r="49" spans="1:1" x14ac:dyDescent="0.25">
      <c r="A49" t="s">
        <v>1767</v>
      </c>
    </row>
    <row r="50" spans="1:1" x14ac:dyDescent="0.25">
      <c r="A50" t="s">
        <v>1768</v>
      </c>
    </row>
    <row r="52" spans="1:1" x14ac:dyDescent="0.25">
      <c r="A52" t="s">
        <v>1769</v>
      </c>
    </row>
    <row r="53" spans="1:1" x14ac:dyDescent="0.25">
      <c r="A53" t="s">
        <v>1770</v>
      </c>
    </row>
    <row r="54" spans="1:1" x14ac:dyDescent="0.25">
      <c r="A54" t="s">
        <v>1762</v>
      </c>
    </row>
    <row r="55" spans="1:1" x14ac:dyDescent="0.25">
      <c r="A55" t="s">
        <v>1763</v>
      </c>
    </row>
    <row r="56" spans="1:1" x14ac:dyDescent="0.25">
      <c r="A56" t="s">
        <v>1771</v>
      </c>
    </row>
    <row r="57" spans="1:1" x14ac:dyDescent="0.25">
      <c r="A57" t="s">
        <v>1772</v>
      </c>
    </row>
    <row r="58" spans="1:1" x14ac:dyDescent="0.25">
      <c r="A58" t="s">
        <v>1773</v>
      </c>
    </row>
    <row r="59" spans="1:1" x14ac:dyDescent="0.25">
      <c r="A59" t="s">
        <v>1768</v>
      </c>
    </row>
    <row r="60" spans="1:1" x14ac:dyDescent="0.25">
      <c r="A60" t="s">
        <v>1774</v>
      </c>
    </row>
    <row r="62" spans="1:1" x14ac:dyDescent="0.25">
      <c r="A62" t="s">
        <v>1775</v>
      </c>
    </row>
    <row r="64" spans="1:1" x14ac:dyDescent="0.25">
      <c r="A64" t="s">
        <v>1776</v>
      </c>
    </row>
    <row r="65" spans="1:1" x14ac:dyDescent="0.25">
      <c r="A65" t="s">
        <v>1777</v>
      </c>
    </row>
    <row r="66" spans="1:1" x14ac:dyDescent="0.25">
      <c r="A66" t="s">
        <v>1778</v>
      </c>
    </row>
    <row r="67" spans="1:1" x14ac:dyDescent="0.25">
      <c r="A67" t="s">
        <v>1779</v>
      </c>
    </row>
    <row r="68" spans="1:1" x14ac:dyDescent="0.25">
      <c r="A68" t="s">
        <v>1780</v>
      </c>
    </row>
    <row r="69" spans="1:1" x14ac:dyDescent="0.25">
      <c r="A69" t="s">
        <v>1781</v>
      </c>
    </row>
    <row r="70" spans="1:1" x14ac:dyDescent="0.25">
      <c r="A70" t="s">
        <v>1782</v>
      </c>
    </row>
    <row r="71" spans="1:1" x14ac:dyDescent="0.25">
      <c r="A71" t="s">
        <v>1775</v>
      </c>
    </row>
    <row r="73" spans="1:1" x14ac:dyDescent="0.25">
      <c r="A73" t="s">
        <v>1783</v>
      </c>
    </row>
    <row r="74" spans="1:1" x14ac:dyDescent="0.25">
      <c r="A74" t="s">
        <v>1784</v>
      </c>
    </row>
    <row r="75" spans="1:1" x14ac:dyDescent="0.25">
      <c r="A75" t="s">
        <v>1785</v>
      </c>
    </row>
    <row r="76" spans="1:1" x14ac:dyDescent="0.25">
      <c r="A76" t="s">
        <v>1786</v>
      </c>
    </row>
    <row r="77" spans="1:1" x14ac:dyDescent="0.25">
      <c r="A77" t="s">
        <v>1787</v>
      </c>
    </row>
    <row r="78" spans="1:1" x14ac:dyDescent="0.25">
      <c r="A78" t="s">
        <v>1788</v>
      </c>
    </row>
    <row r="79" spans="1:1" x14ac:dyDescent="0.25">
      <c r="A79" t="s">
        <v>1789</v>
      </c>
    </row>
    <row r="80" spans="1:1" x14ac:dyDescent="0.25">
      <c r="A80" t="s">
        <v>1790</v>
      </c>
    </row>
    <row r="82" spans="1:1" x14ac:dyDescent="0.25">
      <c r="A82" t="s">
        <v>1791</v>
      </c>
    </row>
    <row r="83" spans="1:1" x14ac:dyDescent="0.25">
      <c r="A83" t="s">
        <v>1792</v>
      </c>
    </row>
    <row r="84" spans="1:1" x14ac:dyDescent="0.25">
      <c r="A84" t="s">
        <v>1793</v>
      </c>
    </row>
    <row r="85" spans="1:1" x14ac:dyDescent="0.25">
      <c r="A85" t="s">
        <v>1794</v>
      </c>
    </row>
    <row r="87" spans="1:1" x14ac:dyDescent="0.25">
      <c r="A87" t="s">
        <v>1795</v>
      </c>
    </row>
    <row r="88" spans="1:1" x14ac:dyDescent="0.25">
      <c r="A88" t="s">
        <v>1796</v>
      </c>
    </row>
    <row r="89" spans="1:1" x14ac:dyDescent="0.25">
      <c r="A89" t="s">
        <v>1797</v>
      </c>
    </row>
    <row r="90" spans="1:1" x14ac:dyDescent="0.25">
      <c r="A90" t="s">
        <v>1798</v>
      </c>
    </row>
    <row r="91" spans="1:1" x14ac:dyDescent="0.25">
      <c r="A91" t="s">
        <v>1799</v>
      </c>
    </row>
    <row r="93" spans="1:1" x14ac:dyDescent="0.25">
      <c r="A93" t="s">
        <v>1800</v>
      </c>
    </row>
    <row r="94" spans="1:1" x14ac:dyDescent="0.25">
      <c r="A94" t="s">
        <v>1801</v>
      </c>
    </row>
    <row r="96" spans="1:1" x14ac:dyDescent="0.25">
      <c r="A96" t="s">
        <v>1802</v>
      </c>
    </row>
    <row r="97" spans="1:1" x14ac:dyDescent="0.25">
      <c r="A97" t="s">
        <v>1803</v>
      </c>
    </row>
    <row r="99" spans="1:1" x14ac:dyDescent="0.25">
      <c r="A99" t="s">
        <v>1804</v>
      </c>
    </row>
    <row r="100" spans="1:1" x14ac:dyDescent="0.25">
      <c r="A100" t="s">
        <v>1805</v>
      </c>
    </row>
    <row r="102" spans="1:1" x14ac:dyDescent="0.25">
      <c r="A102" t="s">
        <v>1806</v>
      </c>
    </row>
    <row r="104" spans="1:1" x14ac:dyDescent="0.25">
      <c r="A104" t="s">
        <v>1807</v>
      </c>
    </row>
    <row r="106" spans="1:1" x14ac:dyDescent="0.25">
      <c r="A106" t="s">
        <v>1808</v>
      </c>
    </row>
    <row r="108" spans="1:1" x14ac:dyDescent="0.25">
      <c r="A108" t="s">
        <v>1809</v>
      </c>
    </row>
    <row r="110" spans="1:1" x14ac:dyDescent="0.25">
      <c r="A110" t="s">
        <v>1810</v>
      </c>
    </row>
    <row r="111" spans="1:1" x14ac:dyDescent="0.25">
      <c r="A111" t="s">
        <v>1811</v>
      </c>
    </row>
    <row r="113" spans="1:1" x14ac:dyDescent="0.25">
      <c r="A113" t="s">
        <v>1812</v>
      </c>
    </row>
    <row r="115" spans="1:1" x14ac:dyDescent="0.25">
      <c r="A115" t="s">
        <v>1813</v>
      </c>
    </row>
    <row r="116" spans="1:1" x14ac:dyDescent="0.25">
      <c r="A116" t="s">
        <v>1814</v>
      </c>
    </row>
    <row r="117" spans="1:1" x14ac:dyDescent="0.25">
      <c r="A117" t="s">
        <v>1815</v>
      </c>
    </row>
    <row r="118" spans="1:1" x14ac:dyDescent="0.25">
      <c r="A118" t="s">
        <v>1816</v>
      </c>
    </row>
    <row r="119" spans="1:1" x14ac:dyDescent="0.25">
      <c r="A119" t="s">
        <v>1817</v>
      </c>
    </row>
    <row r="120" spans="1:1" x14ac:dyDescent="0.25">
      <c r="A120" t="s">
        <v>1818</v>
      </c>
    </row>
    <row r="121" spans="1:1" x14ac:dyDescent="0.25">
      <c r="A121" t="s">
        <v>1819</v>
      </c>
    </row>
    <row r="122" spans="1:1" x14ac:dyDescent="0.25">
      <c r="A122" t="s">
        <v>1820</v>
      </c>
    </row>
    <row r="123" spans="1:1" x14ac:dyDescent="0.25">
      <c r="A123" t="s">
        <v>1821</v>
      </c>
    </row>
    <row r="124" spans="1:1" x14ac:dyDescent="0.25">
      <c r="A124" t="s">
        <v>1822</v>
      </c>
    </row>
    <row r="125" spans="1:1" x14ac:dyDescent="0.25">
      <c r="A125" t="s">
        <v>1823</v>
      </c>
    </row>
    <row r="126" spans="1:1" x14ac:dyDescent="0.25">
      <c r="A126" t="s">
        <v>1794</v>
      </c>
    </row>
    <row r="128" spans="1:1" x14ac:dyDescent="0.25">
      <c r="A128" t="s">
        <v>1824</v>
      </c>
    </row>
    <row r="129" spans="1:1" x14ac:dyDescent="0.25">
      <c r="A129" t="s">
        <v>1825</v>
      </c>
    </row>
    <row r="130" spans="1:1" x14ac:dyDescent="0.25">
      <c r="A130" t="s">
        <v>1826</v>
      </c>
    </row>
    <row r="131" spans="1:1" x14ac:dyDescent="0.25">
      <c r="A131" t="s">
        <v>1827</v>
      </c>
    </row>
    <row r="132" spans="1:1" x14ac:dyDescent="0.25">
      <c r="A132" t="s">
        <v>1828</v>
      </c>
    </row>
    <row r="133" spans="1:1" x14ac:dyDescent="0.25">
      <c r="A133" t="s">
        <v>1829</v>
      </c>
    </row>
    <row r="134" spans="1:1" x14ac:dyDescent="0.25">
      <c r="A134" t="s">
        <v>1830</v>
      </c>
    </row>
    <row r="136" spans="1:1" x14ac:dyDescent="0.25">
      <c r="A136" t="s">
        <v>1794</v>
      </c>
    </row>
    <row r="138" spans="1:1" x14ac:dyDescent="0.25">
      <c r="A138" t="s">
        <v>1831</v>
      </c>
    </row>
    <row r="139" spans="1:1" x14ac:dyDescent="0.25">
      <c r="A139" t="s">
        <v>1832</v>
      </c>
    </row>
    <row r="140" spans="1:1" x14ac:dyDescent="0.25">
      <c r="A140" t="s">
        <v>1833</v>
      </c>
    </row>
    <row r="141" spans="1:1" x14ac:dyDescent="0.25">
      <c r="A141" t="s">
        <v>1834</v>
      </c>
    </row>
    <row r="142" spans="1:1" x14ac:dyDescent="0.25">
      <c r="A142" t="s">
        <v>1835</v>
      </c>
    </row>
    <row r="143" spans="1:1" x14ac:dyDescent="0.25">
      <c r="A143" t="s">
        <v>1836</v>
      </c>
    </row>
    <row r="144" spans="1:1" x14ac:dyDescent="0.25">
      <c r="A144" t="s">
        <v>1837</v>
      </c>
    </row>
    <row r="145" spans="1:1" x14ac:dyDescent="0.25">
      <c r="A145" t="s">
        <v>1838</v>
      </c>
    </row>
    <row r="146" spans="1:1" x14ac:dyDescent="0.25">
      <c r="A146" t="s">
        <v>1815</v>
      </c>
    </row>
    <row r="147" spans="1:1" x14ac:dyDescent="0.25">
      <c r="A147" t="s">
        <v>1822</v>
      </c>
    </row>
    <row r="148" spans="1:1" x14ac:dyDescent="0.25">
      <c r="A148" t="s">
        <v>1794</v>
      </c>
    </row>
    <row r="150" spans="1:1" x14ac:dyDescent="0.25">
      <c r="A150" t="s">
        <v>1839</v>
      </c>
    </row>
    <row r="151" spans="1:1" x14ac:dyDescent="0.25">
      <c r="A151" t="s">
        <v>1840</v>
      </c>
    </row>
    <row r="152" spans="1:1" x14ac:dyDescent="0.25">
      <c r="A152" t="s">
        <v>1841</v>
      </c>
    </row>
    <row r="153" spans="1:1" x14ac:dyDescent="0.25">
      <c r="A153" t="s">
        <v>1842</v>
      </c>
    </row>
    <row r="154" spans="1:1" x14ac:dyDescent="0.25">
      <c r="A154" t="s">
        <v>1794</v>
      </c>
    </row>
    <row r="156" spans="1:1" x14ac:dyDescent="0.25">
      <c r="A156" t="s">
        <v>1843</v>
      </c>
    </row>
    <row r="157" spans="1:1" x14ac:dyDescent="0.25">
      <c r="A157" t="s">
        <v>1844</v>
      </c>
    </row>
    <row r="158" spans="1:1" x14ac:dyDescent="0.25">
      <c r="A158" t="s">
        <v>1845</v>
      </c>
    </row>
    <row r="159" spans="1:1" x14ac:dyDescent="0.25">
      <c r="A159" t="s">
        <v>1794</v>
      </c>
    </row>
    <row r="161" spans="1:1" x14ac:dyDescent="0.25">
      <c r="A161" t="s">
        <v>1846</v>
      </c>
    </row>
    <row r="162" spans="1:1" x14ac:dyDescent="0.25">
      <c r="A162" t="s">
        <v>1847</v>
      </c>
    </row>
    <row r="163" spans="1:1" x14ac:dyDescent="0.25">
      <c r="A163" t="s">
        <v>1848</v>
      </c>
    </row>
    <row r="164" spans="1:1" x14ac:dyDescent="0.25">
      <c r="A164" t="s">
        <v>1794</v>
      </c>
    </row>
    <row r="166" spans="1:1" x14ac:dyDescent="0.25">
      <c r="A166" t="s">
        <v>1849</v>
      </c>
    </row>
    <row r="167" spans="1:1" x14ac:dyDescent="0.25">
      <c r="A167" t="s">
        <v>1850</v>
      </c>
    </row>
    <row r="168" spans="1:1" x14ac:dyDescent="0.25">
      <c r="A168" t="s">
        <v>1851</v>
      </c>
    </row>
    <row r="169" spans="1:1" x14ac:dyDescent="0.25">
      <c r="A169" t="s">
        <v>1794</v>
      </c>
    </row>
    <row r="171" spans="1:1" x14ac:dyDescent="0.25">
      <c r="A171" t="s">
        <v>1852</v>
      </c>
    </row>
    <row r="172" spans="1:1" x14ac:dyDescent="0.25">
      <c r="A172" t="s">
        <v>1853</v>
      </c>
    </row>
    <row r="173" spans="1:1" x14ac:dyDescent="0.25">
      <c r="A173" t="s">
        <v>1794</v>
      </c>
    </row>
    <row r="174" spans="1:1" x14ac:dyDescent="0.25">
      <c r="A174" t="s">
        <v>1854</v>
      </c>
    </row>
    <row r="175" spans="1:1" x14ac:dyDescent="0.25">
      <c r="A175" t="s">
        <v>1855</v>
      </c>
    </row>
    <row r="176" spans="1:1" x14ac:dyDescent="0.25">
      <c r="A176" t="s">
        <v>1794</v>
      </c>
    </row>
    <row r="178" spans="1:1" x14ac:dyDescent="0.25">
      <c r="A178" t="s">
        <v>1856</v>
      </c>
    </row>
    <row r="179" spans="1:1" x14ac:dyDescent="0.25">
      <c r="A179" t="s">
        <v>1857</v>
      </c>
    </row>
    <row r="180" spans="1:1" x14ac:dyDescent="0.25">
      <c r="A180" t="s">
        <v>1858</v>
      </c>
    </row>
    <row r="181" spans="1:1" x14ac:dyDescent="0.25">
      <c r="A181" t="s">
        <v>1859</v>
      </c>
    </row>
    <row r="182" spans="1:1" x14ac:dyDescent="0.25">
      <c r="A182" t="s">
        <v>1860</v>
      </c>
    </row>
    <row r="183" spans="1:1" x14ac:dyDescent="0.25">
      <c r="A183" t="s">
        <v>1861</v>
      </c>
    </row>
    <row r="184" spans="1:1" x14ac:dyDescent="0.25">
      <c r="A184" t="s">
        <v>1862</v>
      </c>
    </row>
    <row r="185" spans="1:1" x14ac:dyDescent="0.25">
      <c r="A185" t="s">
        <v>1863</v>
      </c>
    </row>
    <row r="186" spans="1:1" x14ac:dyDescent="0.25">
      <c r="A186" t="s">
        <v>1864</v>
      </c>
    </row>
    <row r="187" spans="1:1" x14ac:dyDescent="0.25">
      <c r="A187" t="s">
        <v>1794</v>
      </c>
    </row>
    <row r="189" spans="1:1" x14ac:dyDescent="0.25">
      <c r="A189" t="s">
        <v>1865</v>
      </c>
    </row>
    <row r="190" spans="1:1" x14ac:dyDescent="0.25">
      <c r="A190" t="s">
        <v>1866</v>
      </c>
    </row>
    <row r="191" spans="1:1" x14ac:dyDescent="0.25">
      <c r="A191" t="s">
        <v>1867</v>
      </c>
    </row>
    <row r="192" spans="1:1" x14ac:dyDescent="0.25">
      <c r="A192" t="s">
        <v>1868</v>
      </c>
    </row>
    <row r="193" spans="1:1" x14ac:dyDescent="0.25">
      <c r="A193" t="s">
        <v>1869</v>
      </c>
    </row>
    <row r="194" spans="1:1" x14ac:dyDescent="0.25">
      <c r="A194" t="s">
        <v>1870</v>
      </c>
    </row>
    <row r="195" spans="1:1" x14ac:dyDescent="0.25">
      <c r="A195" t="s">
        <v>1871</v>
      </c>
    </row>
    <row r="196" spans="1:1" x14ac:dyDescent="0.25">
      <c r="A196" t="s">
        <v>1872</v>
      </c>
    </row>
    <row r="197" spans="1:1" x14ac:dyDescent="0.25">
      <c r="A197" t="s">
        <v>1794</v>
      </c>
    </row>
    <row r="199" spans="1:1" x14ac:dyDescent="0.25">
      <c r="A199" t="s">
        <v>1873</v>
      </c>
    </row>
    <row r="200" spans="1:1" x14ac:dyDescent="0.25">
      <c r="A200" t="s">
        <v>1874</v>
      </c>
    </row>
    <row r="201" spans="1:1" x14ac:dyDescent="0.25">
      <c r="A201" t="s">
        <v>1875</v>
      </c>
    </row>
    <row r="202" spans="1:1" x14ac:dyDescent="0.25">
      <c r="A202" t="s">
        <v>1794</v>
      </c>
    </row>
    <row r="203" spans="1:1" x14ac:dyDescent="0.25">
      <c r="A203" t="s">
        <v>1794</v>
      </c>
    </row>
    <row r="204" spans="1:1" x14ac:dyDescent="0.25">
      <c r="A204" t="s">
        <v>1876</v>
      </c>
    </row>
    <row r="205" spans="1:1" x14ac:dyDescent="0.25">
      <c r="A205" t="s">
        <v>1877</v>
      </c>
    </row>
    <row r="206" spans="1:1" x14ac:dyDescent="0.25">
      <c r="A206" t="s">
        <v>1878</v>
      </c>
    </row>
    <row r="207" spans="1:1" x14ac:dyDescent="0.25">
      <c r="A207" t="s">
        <v>1879</v>
      </c>
    </row>
    <row r="208" spans="1:1" x14ac:dyDescent="0.25">
      <c r="A208" t="s">
        <v>1880</v>
      </c>
    </row>
    <row r="209" spans="1:1" x14ac:dyDescent="0.25">
      <c r="A209" t="s">
        <v>1881</v>
      </c>
    </row>
    <row r="210" spans="1:1" x14ac:dyDescent="0.25">
      <c r="A210" t="s">
        <v>1882</v>
      </c>
    </row>
    <row r="211" spans="1:1" x14ac:dyDescent="0.25">
      <c r="A211" t="s">
        <v>1883</v>
      </c>
    </row>
    <row r="212" spans="1:1" x14ac:dyDescent="0.25">
      <c r="A212" t="s">
        <v>1884</v>
      </c>
    </row>
    <row r="213" spans="1:1" x14ac:dyDescent="0.25">
      <c r="A213" t="s">
        <v>1885</v>
      </c>
    </row>
    <row r="214" spans="1:1" x14ac:dyDescent="0.25">
      <c r="A214" t="s">
        <v>1886</v>
      </c>
    </row>
    <row r="215" spans="1:1" x14ac:dyDescent="0.25">
      <c r="A215" t="s">
        <v>1887</v>
      </c>
    </row>
    <row r="216" spans="1:1" x14ac:dyDescent="0.25">
      <c r="A216" t="s">
        <v>1888</v>
      </c>
    </row>
    <row r="217" spans="1:1" x14ac:dyDescent="0.25">
      <c r="A217" t="s">
        <v>1881</v>
      </c>
    </row>
    <row r="218" spans="1:1" x14ac:dyDescent="0.25">
      <c r="A218" t="s">
        <v>1882</v>
      </c>
    </row>
    <row r="219" spans="1:1" x14ac:dyDescent="0.25">
      <c r="A219" t="s">
        <v>1889</v>
      </c>
    </row>
    <row r="220" spans="1:1" x14ac:dyDescent="0.25">
      <c r="A220" t="s">
        <v>1890</v>
      </c>
    </row>
    <row r="221" spans="1:1" x14ac:dyDescent="0.25">
      <c r="A221" t="s">
        <v>1891</v>
      </c>
    </row>
    <row r="222" spans="1:1" x14ac:dyDescent="0.25">
      <c r="A222" t="s">
        <v>1892</v>
      </c>
    </row>
    <row r="223" spans="1:1" x14ac:dyDescent="0.25">
      <c r="A223" t="s">
        <v>1887</v>
      </c>
    </row>
    <row r="224" spans="1:1" x14ac:dyDescent="0.25">
      <c r="A224" t="s">
        <v>1893</v>
      </c>
    </row>
    <row r="225" spans="1:1" x14ac:dyDescent="0.25">
      <c r="A225" t="s">
        <v>1894</v>
      </c>
    </row>
    <row r="228" spans="1:1" x14ac:dyDescent="0.25">
      <c r="A228" t="s">
        <v>1895</v>
      </c>
    </row>
    <row r="229" spans="1:1" x14ac:dyDescent="0.25">
      <c r="A229" t="s">
        <v>1881</v>
      </c>
    </row>
    <row r="230" spans="1:1" x14ac:dyDescent="0.25">
      <c r="A230" t="s">
        <v>1882</v>
      </c>
    </row>
    <row r="231" spans="1:1" x14ac:dyDescent="0.25">
      <c r="A231" t="s">
        <v>1883</v>
      </c>
    </row>
    <row r="232" spans="1:1" x14ac:dyDescent="0.25">
      <c r="A232" t="s">
        <v>1884</v>
      </c>
    </row>
    <row r="233" spans="1:1" x14ac:dyDescent="0.25">
      <c r="A233" t="s">
        <v>1896</v>
      </c>
    </row>
    <row r="234" spans="1:1" x14ac:dyDescent="0.25">
      <c r="A234" t="s">
        <v>1897</v>
      </c>
    </row>
    <row r="235" spans="1:1" x14ac:dyDescent="0.25">
      <c r="A235" t="s">
        <v>1887</v>
      </c>
    </row>
    <row r="236" spans="1:1" x14ac:dyDescent="0.25">
      <c r="A236" t="s">
        <v>1888</v>
      </c>
    </row>
    <row r="237" spans="1:1" x14ac:dyDescent="0.25">
      <c r="A237" t="s">
        <v>1881</v>
      </c>
    </row>
    <row r="238" spans="1:1" x14ac:dyDescent="0.25">
      <c r="A238" t="s">
        <v>1882</v>
      </c>
    </row>
    <row r="239" spans="1:1" x14ac:dyDescent="0.25">
      <c r="A239" t="s">
        <v>1889</v>
      </c>
    </row>
    <row r="240" spans="1:1" x14ac:dyDescent="0.25">
      <c r="A240" t="s">
        <v>1890</v>
      </c>
    </row>
    <row r="241" spans="1:1" x14ac:dyDescent="0.25">
      <c r="A241" t="s">
        <v>1891</v>
      </c>
    </row>
    <row r="242" spans="1:1" x14ac:dyDescent="0.25">
      <c r="A242" t="s">
        <v>1892</v>
      </c>
    </row>
    <row r="243" spans="1:1" x14ac:dyDescent="0.25">
      <c r="A243" t="s">
        <v>1887</v>
      </c>
    </row>
    <row r="244" spans="1:1" x14ac:dyDescent="0.25">
      <c r="A244" t="s">
        <v>1893</v>
      </c>
    </row>
    <row r="245" spans="1:1" x14ac:dyDescent="0.25">
      <c r="A245" t="s">
        <v>1894</v>
      </c>
    </row>
    <row r="248" spans="1:1" x14ac:dyDescent="0.25">
      <c r="A248" t="s">
        <v>1898</v>
      </c>
    </row>
    <row r="249" spans="1:1" x14ac:dyDescent="0.25">
      <c r="A249" t="s">
        <v>1881</v>
      </c>
    </row>
    <row r="250" spans="1:1" x14ac:dyDescent="0.25">
      <c r="A250" t="s">
        <v>1882</v>
      </c>
    </row>
    <row r="251" spans="1:1" x14ac:dyDescent="0.25">
      <c r="A251" t="s">
        <v>1899</v>
      </c>
    </row>
    <row r="252" spans="1:1" x14ac:dyDescent="0.25">
      <c r="A252" t="s">
        <v>1900</v>
      </c>
    </row>
    <row r="253" spans="1:1" x14ac:dyDescent="0.25">
      <c r="A253" t="s">
        <v>1887</v>
      </c>
    </row>
    <row r="254" spans="1:1" x14ac:dyDescent="0.25">
      <c r="A254" t="s">
        <v>1888</v>
      </c>
    </row>
    <row r="255" spans="1:1" x14ac:dyDescent="0.25">
      <c r="A255" t="s">
        <v>1881</v>
      </c>
    </row>
    <row r="256" spans="1:1" x14ac:dyDescent="0.25">
      <c r="A256" t="s">
        <v>1882</v>
      </c>
    </row>
    <row r="257" spans="1:1" x14ac:dyDescent="0.25">
      <c r="A257" t="s">
        <v>1901</v>
      </c>
    </row>
    <row r="258" spans="1:1" x14ac:dyDescent="0.25">
      <c r="A258" t="s">
        <v>1902</v>
      </c>
    </row>
    <row r="259" spans="1:1" x14ac:dyDescent="0.25">
      <c r="A259" t="s">
        <v>1887</v>
      </c>
    </row>
    <row r="260" spans="1:1" x14ac:dyDescent="0.25">
      <c r="A260" t="s">
        <v>1893</v>
      </c>
    </row>
    <row r="261" spans="1:1" x14ac:dyDescent="0.25">
      <c r="A261" t="s">
        <v>1894</v>
      </c>
    </row>
    <row r="262" spans="1:1" x14ac:dyDescent="0.25">
      <c r="A262" t="s">
        <v>1788</v>
      </c>
    </row>
    <row r="263" spans="1:1" x14ac:dyDescent="0.25">
      <c r="A263" t="s">
        <v>1903</v>
      </c>
    </row>
    <row r="264" spans="1:1" x14ac:dyDescent="0.25">
      <c r="A264" t="s">
        <v>1789</v>
      </c>
    </row>
    <row r="265" spans="1:1" x14ac:dyDescent="0.25">
      <c r="A265" t="s">
        <v>1904</v>
      </c>
    </row>
    <row r="266" spans="1:1" x14ac:dyDescent="0.25">
      <c r="A266" t="s">
        <v>1775</v>
      </c>
    </row>
    <row r="268" spans="1:1" x14ac:dyDescent="0.25">
      <c r="A268" t="s">
        <v>1905</v>
      </c>
    </row>
    <row r="269" spans="1:1" x14ac:dyDescent="0.25">
      <c r="A269" t="s">
        <v>1906</v>
      </c>
    </row>
    <row r="270" spans="1:1" x14ac:dyDescent="0.25">
      <c r="A270" t="s">
        <v>1907</v>
      </c>
    </row>
    <row r="271" spans="1:1" x14ac:dyDescent="0.25">
      <c r="A271" t="s">
        <v>1908</v>
      </c>
    </row>
    <row r="272" spans="1:1" x14ac:dyDescent="0.25">
      <c r="A272" t="s">
        <v>1909</v>
      </c>
    </row>
    <row r="273" spans="1:1" x14ac:dyDescent="0.25">
      <c r="A273" t="s">
        <v>1910</v>
      </c>
    </row>
    <row r="274" spans="1:1" x14ac:dyDescent="0.25">
      <c r="A274" t="s">
        <v>1911</v>
      </c>
    </row>
    <row r="275" spans="1:1" x14ac:dyDescent="0.25">
      <c r="A275" t="s">
        <v>1912</v>
      </c>
    </row>
    <row r="276" spans="1:1" x14ac:dyDescent="0.25">
      <c r="A276" t="s">
        <v>1913</v>
      </c>
    </row>
    <row r="278" spans="1:1" x14ac:dyDescent="0.25">
      <c r="A278" t="s">
        <v>1914</v>
      </c>
    </row>
    <row r="279" spans="1:1" x14ac:dyDescent="0.25">
      <c r="A279" t="s">
        <v>1915</v>
      </c>
    </row>
    <row r="281" spans="1:1" x14ac:dyDescent="0.25">
      <c r="A281" t="s">
        <v>1916</v>
      </c>
    </row>
    <row r="283" spans="1:1" x14ac:dyDescent="0.25">
      <c r="A283" t="s">
        <v>1917</v>
      </c>
    </row>
    <row r="284" spans="1:1" x14ac:dyDescent="0.25">
      <c r="A284" t="s">
        <v>1918</v>
      </c>
    </row>
    <row r="285" spans="1:1" x14ac:dyDescent="0.25">
      <c r="A285" t="s">
        <v>1919</v>
      </c>
    </row>
    <row r="287" spans="1:1" x14ac:dyDescent="0.25">
      <c r="A287" t="s">
        <v>1920</v>
      </c>
    </row>
    <row r="289" spans="1:1" x14ac:dyDescent="0.25">
      <c r="A289" t="s">
        <v>1921</v>
      </c>
    </row>
    <row r="290" spans="1:1" x14ac:dyDescent="0.25">
      <c r="A290" t="s">
        <v>1922</v>
      </c>
    </row>
    <row r="291" spans="1:1" x14ac:dyDescent="0.25">
      <c r="A291" t="s">
        <v>1923</v>
      </c>
    </row>
    <row r="292" spans="1:1" x14ac:dyDescent="0.25">
      <c r="A292" t="s">
        <v>1924</v>
      </c>
    </row>
    <row r="293" spans="1:1" x14ac:dyDescent="0.25">
      <c r="A293" t="s">
        <v>1925</v>
      </c>
    </row>
    <row r="294" spans="1:1" x14ac:dyDescent="0.25">
      <c r="A294" t="s">
        <v>1926</v>
      </c>
    </row>
    <row r="296" spans="1:1" x14ac:dyDescent="0.25">
      <c r="A296" t="s">
        <v>1775</v>
      </c>
    </row>
    <row r="298" spans="1:1" x14ac:dyDescent="0.25">
      <c r="A298" t="s">
        <v>1927</v>
      </c>
    </row>
    <row r="299" spans="1:1" x14ac:dyDescent="0.25">
      <c r="A299" t="s">
        <v>1928</v>
      </c>
    </row>
    <row r="300" spans="1:1" x14ac:dyDescent="0.25">
      <c r="A300" t="s">
        <v>1926</v>
      </c>
    </row>
    <row r="302" spans="1:1" x14ac:dyDescent="0.25">
      <c r="A302" t="s">
        <v>1775</v>
      </c>
    </row>
    <row r="304" spans="1:1" x14ac:dyDescent="0.25">
      <c r="A304" t="s">
        <v>1929</v>
      </c>
    </row>
    <row r="305" spans="1:1" x14ac:dyDescent="0.25">
      <c r="A305" t="s">
        <v>1930</v>
      </c>
    </row>
    <row r="306" spans="1:1" x14ac:dyDescent="0.25">
      <c r="A306" t="s">
        <v>1931</v>
      </c>
    </row>
    <row r="307" spans="1:1" x14ac:dyDescent="0.25">
      <c r="A307" t="s">
        <v>1932</v>
      </c>
    </row>
    <row r="308" spans="1:1" x14ac:dyDescent="0.25">
      <c r="A308" t="s">
        <v>1933</v>
      </c>
    </row>
    <row r="309" spans="1:1" x14ac:dyDescent="0.25">
      <c r="A309" t="s">
        <v>1934</v>
      </c>
    </row>
    <row r="310" spans="1:1" x14ac:dyDescent="0.25">
      <c r="A310" t="s">
        <v>1935</v>
      </c>
    </row>
    <row r="311" spans="1:1" x14ac:dyDescent="0.25">
      <c r="A311" t="s">
        <v>1936</v>
      </c>
    </row>
    <row r="312" spans="1:1" x14ac:dyDescent="0.25">
      <c r="A312" t="s">
        <v>1937</v>
      </c>
    </row>
    <row r="313" spans="1:1" x14ac:dyDescent="0.25">
      <c r="A313" t="s">
        <v>1938</v>
      </c>
    </row>
    <row r="314" spans="1:1" x14ac:dyDescent="0.25">
      <c r="A314" t="s">
        <v>1939</v>
      </c>
    </row>
    <row r="315" spans="1:1" x14ac:dyDescent="0.25">
      <c r="A315" t="s">
        <v>1940</v>
      </c>
    </row>
    <row r="316" spans="1:1" x14ac:dyDescent="0.25">
      <c r="A316" t="s">
        <v>1941</v>
      </c>
    </row>
    <row r="317" spans="1:1" x14ac:dyDescent="0.25">
      <c r="A317" t="s">
        <v>1942</v>
      </c>
    </row>
    <row r="319" spans="1:1" x14ac:dyDescent="0.25">
      <c r="A319" t="s">
        <v>1943</v>
      </c>
    </row>
    <row r="320" spans="1:1" x14ac:dyDescent="0.25">
      <c r="A320" t="s">
        <v>1944</v>
      </c>
    </row>
    <row r="321" spans="1:1" x14ac:dyDescent="0.25">
      <c r="A321" t="s">
        <v>1945</v>
      </c>
    </row>
    <row r="323" spans="1:1" x14ac:dyDescent="0.25">
      <c r="A323" t="s">
        <v>1775</v>
      </c>
    </row>
    <row r="325" spans="1:1" x14ac:dyDescent="0.25">
      <c r="A325" t="s">
        <v>1929</v>
      </c>
    </row>
    <row r="326" spans="1:1" x14ac:dyDescent="0.25">
      <c r="A326" t="s">
        <v>1946</v>
      </c>
    </row>
    <row r="327" spans="1:1" x14ac:dyDescent="0.25">
      <c r="A327" t="s">
        <v>1947</v>
      </c>
    </row>
    <row r="328" spans="1:1" x14ac:dyDescent="0.25">
      <c r="A328" t="s">
        <v>1931</v>
      </c>
    </row>
    <row r="329" spans="1:1" x14ac:dyDescent="0.25">
      <c r="A329" t="s">
        <v>1948</v>
      </c>
    </row>
    <row r="330" spans="1:1" x14ac:dyDescent="0.25">
      <c r="A330" t="s">
        <v>1934</v>
      </c>
    </row>
    <row r="331" spans="1:1" x14ac:dyDescent="0.25">
      <c r="A331" t="s">
        <v>1949</v>
      </c>
    </row>
    <row r="332" spans="1:1" x14ac:dyDescent="0.25">
      <c r="A332" t="s">
        <v>1950</v>
      </c>
    </row>
    <row r="333" spans="1:1" x14ac:dyDescent="0.25">
      <c r="A333" t="s">
        <v>1940</v>
      </c>
    </row>
    <row r="334" spans="1:1" x14ac:dyDescent="0.25">
      <c r="A334" t="s">
        <v>1951</v>
      </c>
    </row>
    <row r="335" spans="1:1" x14ac:dyDescent="0.25">
      <c r="A335" t="s">
        <v>1942</v>
      </c>
    </row>
    <row r="337" spans="1:1" x14ac:dyDescent="0.25">
      <c r="A337" t="s">
        <v>1952</v>
      </c>
    </row>
    <row r="338" spans="1:1" x14ac:dyDescent="0.25">
      <c r="A338" t="s">
        <v>1953</v>
      </c>
    </row>
    <row r="339" spans="1:1" x14ac:dyDescent="0.25">
      <c r="A339" t="s">
        <v>1945</v>
      </c>
    </row>
    <row r="341" spans="1:1" x14ac:dyDescent="0.25">
      <c r="A341" t="s">
        <v>1775</v>
      </c>
    </row>
    <row r="343" spans="1:1" x14ac:dyDescent="0.25">
      <c r="A343" t="s">
        <v>1929</v>
      </c>
    </row>
    <row r="344" spans="1:1" x14ac:dyDescent="0.25">
      <c r="A344" t="s">
        <v>1954</v>
      </c>
    </row>
    <row r="345" spans="1:1" x14ac:dyDescent="0.25">
      <c r="A345" t="s">
        <v>1947</v>
      </c>
    </row>
    <row r="346" spans="1:1" x14ac:dyDescent="0.25">
      <c r="A346" t="s">
        <v>1931</v>
      </c>
    </row>
    <row r="347" spans="1:1" x14ac:dyDescent="0.25">
      <c r="A347" t="s">
        <v>1955</v>
      </c>
    </row>
    <row r="348" spans="1:1" x14ac:dyDescent="0.25">
      <c r="A348" t="s">
        <v>1934</v>
      </c>
    </row>
    <row r="349" spans="1:1" x14ac:dyDescent="0.25">
      <c r="A349" t="s">
        <v>1949</v>
      </c>
    </row>
    <row r="350" spans="1:1" x14ac:dyDescent="0.25">
      <c r="A350" t="s">
        <v>1956</v>
      </c>
    </row>
    <row r="351" spans="1:1" x14ac:dyDescent="0.25">
      <c r="A351" t="s">
        <v>1940</v>
      </c>
    </row>
    <row r="352" spans="1:1" x14ac:dyDescent="0.25">
      <c r="A352" t="s">
        <v>1957</v>
      </c>
    </row>
    <row r="353" spans="1:1" x14ac:dyDescent="0.25">
      <c r="A353" t="s">
        <v>1942</v>
      </c>
    </row>
    <row r="355" spans="1:1" x14ac:dyDescent="0.25">
      <c r="A355" t="s">
        <v>1958</v>
      </c>
    </row>
    <row r="356" spans="1:1" x14ac:dyDescent="0.25">
      <c r="A356" t="s">
        <v>1959</v>
      </c>
    </row>
    <row r="357" spans="1:1" x14ac:dyDescent="0.25">
      <c r="A357" t="s">
        <v>1945</v>
      </c>
    </row>
    <row r="359" spans="1:1" x14ac:dyDescent="0.25">
      <c r="A359" t="s">
        <v>1775</v>
      </c>
    </row>
    <row r="361" spans="1:1" x14ac:dyDescent="0.25">
      <c r="A361" t="s">
        <v>1960</v>
      </c>
    </row>
    <row r="362" spans="1:1" x14ac:dyDescent="0.25">
      <c r="A362" t="s">
        <v>1961</v>
      </c>
    </row>
    <row r="363" spans="1:1" x14ac:dyDescent="0.25">
      <c r="A363" t="s">
        <v>1962</v>
      </c>
    </row>
    <row r="364" spans="1:1" x14ac:dyDescent="0.25">
      <c r="A364" t="s">
        <v>1963</v>
      </c>
    </row>
    <row r="365" spans="1:1" x14ac:dyDescent="0.25">
      <c r="A365" t="s">
        <v>1775</v>
      </c>
    </row>
    <row r="367" spans="1:1" x14ac:dyDescent="0.25">
      <c r="A367" t="s">
        <v>1927</v>
      </c>
    </row>
    <row r="368" spans="1:1" x14ac:dyDescent="0.25">
      <c r="A368" t="s">
        <v>1964</v>
      </c>
    </row>
    <row r="369" spans="1:3" x14ac:dyDescent="0.25">
      <c r="A369" t="s">
        <v>1926</v>
      </c>
    </row>
    <row r="371" spans="1:3" x14ac:dyDescent="0.25">
      <c r="A371" t="s">
        <v>1775</v>
      </c>
    </row>
    <row r="373" spans="1:3" x14ac:dyDescent="0.25">
      <c r="A373" t="s">
        <v>1905</v>
      </c>
    </row>
    <row r="374" spans="1:3" x14ac:dyDescent="0.25">
      <c r="A374" t="s">
        <v>1965</v>
      </c>
    </row>
    <row r="375" spans="1:3" x14ac:dyDescent="0.25">
      <c r="A375" t="s">
        <v>1966</v>
      </c>
    </row>
    <row r="376" spans="1:3" x14ac:dyDescent="0.25">
      <c r="A376" t="s">
        <v>1967</v>
      </c>
    </row>
    <row r="377" spans="1:3" x14ac:dyDescent="0.25">
      <c r="A377" t="s">
        <v>1968</v>
      </c>
    </row>
    <row r="378" spans="1:3" x14ac:dyDescent="0.25">
      <c r="A378" t="s">
        <v>1926</v>
      </c>
    </row>
    <row r="380" spans="1:3" x14ac:dyDescent="0.25">
      <c r="A380" t="s">
        <v>1905</v>
      </c>
    </row>
    <row r="381" spans="1:3" x14ac:dyDescent="0.25">
      <c r="A381" t="s">
        <v>1969</v>
      </c>
    </row>
    <row r="382" spans="1:3" x14ac:dyDescent="0.25">
      <c r="A382" t="s">
        <v>1970</v>
      </c>
    </row>
    <row r="383" spans="1:3" x14ac:dyDescent="0.25">
      <c r="B383" t="s">
        <v>1971</v>
      </c>
    </row>
    <row r="384" spans="1:3" x14ac:dyDescent="0.25">
      <c r="C384" t="s">
        <v>1972</v>
      </c>
    </row>
    <row r="385" spans="1:3" x14ac:dyDescent="0.25">
      <c r="C385" t="s">
        <v>1973</v>
      </c>
    </row>
    <row r="386" spans="1:3" x14ac:dyDescent="0.25">
      <c r="A386" t="s">
        <v>1926</v>
      </c>
    </row>
    <row r="388" spans="1:3" x14ac:dyDescent="0.25">
      <c r="A388" t="s">
        <v>1905</v>
      </c>
    </row>
    <row r="389" spans="1:3" x14ac:dyDescent="0.25">
      <c r="A389" t="s">
        <v>1974</v>
      </c>
    </row>
    <row r="390" spans="1:3" x14ac:dyDescent="0.25">
      <c r="A390" t="s">
        <v>1970</v>
      </c>
    </row>
    <row r="391" spans="1:3" x14ac:dyDescent="0.25">
      <c r="B391" t="s">
        <v>1975</v>
      </c>
    </row>
    <row r="392" spans="1:3" x14ac:dyDescent="0.25">
      <c r="C392" t="s">
        <v>1972</v>
      </c>
    </row>
    <row r="393" spans="1:3" x14ac:dyDescent="0.25">
      <c r="C393" t="s">
        <v>1973</v>
      </c>
    </row>
    <row r="394" spans="1:3" x14ac:dyDescent="0.25">
      <c r="A394" t="s">
        <v>1926</v>
      </c>
    </row>
    <row r="396" spans="1:3" x14ac:dyDescent="0.25">
      <c r="A396" t="s">
        <v>1905</v>
      </c>
    </row>
    <row r="397" spans="1:3" x14ac:dyDescent="0.25">
      <c r="A397" t="s">
        <v>1976</v>
      </c>
    </row>
    <row r="398" spans="1:3" x14ac:dyDescent="0.25">
      <c r="A398" t="s">
        <v>1977</v>
      </c>
    </row>
    <row r="399" spans="1:3" x14ac:dyDescent="0.25">
      <c r="A399" t="s">
        <v>1967</v>
      </c>
    </row>
    <row r="400" spans="1:3" x14ac:dyDescent="0.25">
      <c r="A400" t="s">
        <v>1968</v>
      </c>
    </row>
    <row r="401" spans="1:4" x14ac:dyDescent="0.25">
      <c r="A401" t="s">
        <v>1926</v>
      </c>
    </row>
    <row r="403" spans="1:4" x14ac:dyDescent="0.25">
      <c r="A403" t="s">
        <v>1905</v>
      </c>
    </row>
    <row r="404" spans="1:4" x14ac:dyDescent="0.25">
      <c r="A404" t="s">
        <v>1978</v>
      </c>
    </row>
    <row r="405" spans="1:4" x14ac:dyDescent="0.25">
      <c r="B405" t="s">
        <v>1979</v>
      </c>
    </row>
    <row r="406" spans="1:4" x14ac:dyDescent="0.25">
      <c r="B406" t="s">
        <v>1980</v>
      </c>
    </row>
    <row r="407" spans="1:4" x14ac:dyDescent="0.25">
      <c r="C407" t="s">
        <v>1981</v>
      </c>
    </row>
    <row r="408" spans="1:4" x14ac:dyDescent="0.25">
      <c r="D408" t="s">
        <v>1982</v>
      </c>
    </row>
    <row r="409" spans="1:4" x14ac:dyDescent="0.25">
      <c r="D409" t="s">
        <v>1983</v>
      </c>
    </row>
    <row r="410" spans="1:4" x14ac:dyDescent="0.25">
      <c r="B410" t="s">
        <v>1984</v>
      </c>
    </row>
    <row r="411" spans="1:4" x14ac:dyDescent="0.25">
      <c r="C411" t="s">
        <v>1985</v>
      </c>
    </row>
    <row r="412" spans="1:4" x14ac:dyDescent="0.25">
      <c r="C412" t="s">
        <v>1973</v>
      </c>
    </row>
    <row r="413" spans="1:4" x14ac:dyDescent="0.25">
      <c r="A413" t="s">
        <v>1926</v>
      </c>
    </row>
    <row r="415" spans="1:4" x14ac:dyDescent="0.25">
      <c r="A415" t="s">
        <v>1905</v>
      </c>
    </row>
    <row r="416" spans="1:4" x14ac:dyDescent="0.25">
      <c r="A416" t="s">
        <v>1986</v>
      </c>
    </row>
    <row r="417" spans="1:2" x14ac:dyDescent="0.25">
      <c r="B417" t="s">
        <v>1987</v>
      </c>
    </row>
    <row r="418" spans="1:2" x14ac:dyDescent="0.25">
      <c r="B418" t="s">
        <v>1988</v>
      </c>
    </row>
    <row r="419" spans="1:2" x14ac:dyDescent="0.25">
      <c r="B419" t="s">
        <v>1964</v>
      </c>
    </row>
    <row r="420" spans="1:2" x14ac:dyDescent="0.25">
      <c r="A420" t="s">
        <v>1926</v>
      </c>
    </row>
    <row r="422" spans="1:2" x14ac:dyDescent="0.25">
      <c r="A422" t="s">
        <v>1905</v>
      </c>
    </row>
    <row r="423" spans="1:2" x14ac:dyDescent="0.25">
      <c r="A423" t="s">
        <v>1989</v>
      </c>
    </row>
    <row r="424" spans="1:2" x14ac:dyDescent="0.25">
      <c r="A424" t="s">
        <v>1990</v>
      </c>
    </row>
    <row r="425" spans="1:2" x14ac:dyDescent="0.25">
      <c r="A425" t="s">
        <v>1991</v>
      </c>
    </row>
    <row r="426" spans="1:2" x14ac:dyDescent="0.25">
      <c r="B426" t="s">
        <v>1992</v>
      </c>
    </row>
    <row r="427" spans="1:2" x14ac:dyDescent="0.25">
      <c r="A427" t="s">
        <v>1993</v>
      </c>
    </row>
    <row r="428" spans="1:2" x14ac:dyDescent="0.25">
      <c r="A428" t="s">
        <v>1926</v>
      </c>
    </row>
    <row r="430" spans="1:2" x14ac:dyDescent="0.25">
      <c r="A430" t="s">
        <v>1905</v>
      </c>
    </row>
    <row r="431" spans="1:2" x14ac:dyDescent="0.25">
      <c r="A431" t="s">
        <v>1994</v>
      </c>
    </row>
    <row r="432" spans="1:2" x14ac:dyDescent="0.25">
      <c r="B432" t="s">
        <v>1987</v>
      </c>
    </row>
    <row r="433" spans="1:3" x14ac:dyDescent="0.25">
      <c r="B433" t="s">
        <v>1995</v>
      </c>
    </row>
    <row r="434" spans="1:3" x14ac:dyDescent="0.25">
      <c r="B434" t="s">
        <v>1964</v>
      </c>
    </row>
    <row r="435" spans="1:3" x14ac:dyDescent="0.25">
      <c r="A435" t="s">
        <v>1926</v>
      </c>
    </row>
    <row r="437" spans="1:3" x14ac:dyDescent="0.25">
      <c r="A437" t="s">
        <v>1905</v>
      </c>
    </row>
    <row r="438" spans="1:3" x14ac:dyDescent="0.25">
      <c r="A438" t="s">
        <v>1996</v>
      </c>
    </row>
    <row r="439" spans="1:3" x14ac:dyDescent="0.25">
      <c r="B439" t="s">
        <v>1997</v>
      </c>
    </row>
    <row r="440" spans="1:3" x14ac:dyDescent="0.25">
      <c r="B440" t="s">
        <v>1988</v>
      </c>
    </row>
    <row r="441" spans="1:3" x14ac:dyDescent="0.25">
      <c r="B441" t="s">
        <v>1964</v>
      </c>
    </row>
    <row r="442" spans="1:3" x14ac:dyDescent="0.25">
      <c r="A442" t="s">
        <v>1926</v>
      </c>
    </row>
    <row r="444" spans="1:3" x14ac:dyDescent="0.25">
      <c r="A444" t="s">
        <v>1905</v>
      </c>
    </row>
    <row r="445" spans="1:3" x14ac:dyDescent="0.25">
      <c r="A445" t="s">
        <v>1998</v>
      </c>
    </row>
    <row r="446" spans="1:3" x14ac:dyDescent="0.25">
      <c r="B446" t="s">
        <v>1979</v>
      </c>
    </row>
    <row r="447" spans="1:3" x14ac:dyDescent="0.25">
      <c r="B447" t="s">
        <v>1980</v>
      </c>
    </row>
    <row r="448" spans="1:3" x14ac:dyDescent="0.25">
      <c r="C448" t="s">
        <v>1999</v>
      </c>
    </row>
    <row r="449" spans="1:4" x14ac:dyDescent="0.25">
      <c r="D449" t="s">
        <v>1982</v>
      </c>
    </row>
    <row r="450" spans="1:4" x14ac:dyDescent="0.25">
      <c r="D450" t="s">
        <v>1983</v>
      </c>
    </row>
    <row r="451" spans="1:4" x14ac:dyDescent="0.25">
      <c r="B451" t="s">
        <v>2000</v>
      </c>
    </row>
    <row r="452" spans="1:4" x14ac:dyDescent="0.25">
      <c r="C452" t="s">
        <v>2001</v>
      </c>
    </row>
    <row r="453" spans="1:4" x14ac:dyDescent="0.25">
      <c r="B453" t="s">
        <v>1964</v>
      </c>
    </row>
    <row r="454" spans="1:4" x14ac:dyDescent="0.25">
      <c r="A454" t="s">
        <v>1926</v>
      </c>
    </row>
    <row r="456" spans="1:4" x14ac:dyDescent="0.25">
      <c r="A456" t="s">
        <v>1905</v>
      </c>
    </row>
    <row r="457" spans="1:4" x14ac:dyDescent="0.25">
      <c r="A457" t="s">
        <v>2002</v>
      </c>
    </row>
    <row r="458" spans="1:4" x14ac:dyDescent="0.25">
      <c r="A458" t="s">
        <v>2003</v>
      </c>
    </row>
    <row r="459" spans="1:4" x14ac:dyDescent="0.25">
      <c r="C459" t="s">
        <v>2004</v>
      </c>
    </row>
    <row r="460" spans="1:4" x14ac:dyDescent="0.25">
      <c r="C460" t="s">
        <v>1973</v>
      </c>
    </row>
    <row r="461" spans="1:4" x14ac:dyDescent="0.25">
      <c r="A461" t="s">
        <v>1926</v>
      </c>
    </row>
    <row r="463" spans="1:4" x14ac:dyDescent="0.25">
      <c r="A463" t="s">
        <v>1775</v>
      </c>
    </row>
    <row r="465" spans="1:1" x14ac:dyDescent="0.25">
      <c r="A465" t="s">
        <v>2005</v>
      </c>
    </row>
    <row r="466" spans="1:1" x14ac:dyDescent="0.25">
      <c r="A466" t="s">
        <v>2006</v>
      </c>
    </row>
    <row r="467" spans="1:1" x14ac:dyDescent="0.25">
      <c r="A467" t="s">
        <v>1931</v>
      </c>
    </row>
    <row r="468" spans="1:1" x14ac:dyDescent="0.25">
      <c r="A468" t="s">
        <v>2007</v>
      </c>
    </row>
    <row r="469" spans="1:1" x14ac:dyDescent="0.25">
      <c r="A469" t="s">
        <v>1934</v>
      </c>
    </row>
    <row r="470" spans="1:1" x14ac:dyDescent="0.25">
      <c r="A470" t="s">
        <v>2008</v>
      </c>
    </row>
    <row r="471" spans="1:1" x14ac:dyDescent="0.25">
      <c r="A471" t="s">
        <v>2009</v>
      </c>
    </row>
    <row r="472" spans="1:1" x14ac:dyDescent="0.25">
      <c r="A472" t="s">
        <v>2010</v>
      </c>
    </row>
    <row r="473" spans="1:1" x14ac:dyDescent="0.25">
      <c r="A473" t="s">
        <v>2011</v>
      </c>
    </row>
    <row r="475" spans="1:1" x14ac:dyDescent="0.25">
      <c r="A475" t="s">
        <v>2012</v>
      </c>
    </row>
    <row r="477" spans="1:1" x14ac:dyDescent="0.25">
      <c r="A477" t="s">
        <v>2013</v>
      </c>
    </row>
    <row r="478" spans="1:1" x14ac:dyDescent="0.25">
      <c r="A478" t="s">
        <v>2014</v>
      </c>
    </row>
    <row r="479" spans="1:1" x14ac:dyDescent="0.25">
      <c r="A479" t="s">
        <v>2015</v>
      </c>
    </row>
    <row r="480" spans="1:1" x14ac:dyDescent="0.25">
      <c r="A480" t="s">
        <v>1942</v>
      </c>
    </row>
    <row r="482" spans="1:1" x14ac:dyDescent="0.25">
      <c r="A482" t="s">
        <v>2016</v>
      </c>
    </row>
    <row r="483" spans="1:1" x14ac:dyDescent="0.25">
      <c r="A483" t="s">
        <v>2017</v>
      </c>
    </row>
    <row r="484" spans="1:1" x14ac:dyDescent="0.25">
      <c r="A484" t="s">
        <v>2018</v>
      </c>
    </row>
    <row r="485" spans="1:1" x14ac:dyDescent="0.25">
      <c r="A485" t="s">
        <v>2019</v>
      </c>
    </row>
    <row r="486" spans="1:1" x14ac:dyDescent="0.25">
      <c r="A486" t="s">
        <v>2020</v>
      </c>
    </row>
    <row r="487" spans="1:1" x14ac:dyDescent="0.25">
      <c r="A487" t="s">
        <v>2021</v>
      </c>
    </row>
    <row r="488" spans="1:1" x14ac:dyDescent="0.25">
      <c r="A488" t="s">
        <v>2022</v>
      </c>
    </row>
    <row r="489" spans="1:1" x14ac:dyDescent="0.25">
      <c r="A489" t="s">
        <v>2023</v>
      </c>
    </row>
    <row r="490" spans="1:1" x14ac:dyDescent="0.25">
      <c r="A490" t="s">
        <v>2024</v>
      </c>
    </row>
    <row r="491" spans="1:1" x14ac:dyDescent="0.25">
      <c r="A491" t="s">
        <v>2025</v>
      </c>
    </row>
    <row r="492" spans="1:1" x14ac:dyDescent="0.25">
      <c r="A492" t="s">
        <v>2026</v>
      </c>
    </row>
    <row r="494" spans="1:1" x14ac:dyDescent="0.25">
      <c r="A494" t="s">
        <v>1775</v>
      </c>
    </row>
    <row r="496" spans="1:1" x14ac:dyDescent="0.25">
      <c r="A496" t="s">
        <v>2027</v>
      </c>
    </row>
    <row r="498" spans="1:1" x14ac:dyDescent="0.25">
      <c r="A498" t="s">
        <v>2028</v>
      </c>
    </row>
    <row r="500" spans="1:1" x14ac:dyDescent="0.25">
      <c r="A500" t="s">
        <v>1775</v>
      </c>
    </row>
    <row r="502" spans="1:1" x14ac:dyDescent="0.25">
      <c r="A502" t="s">
        <v>1929</v>
      </c>
    </row>
    <row r="503" spans="1:1" x14ac:dyDescent="0.25">
      <c r="A503" t="s">
        <v>2029</v>
      </c>
    </row>
    <row r="504" spans="1:1" x14ac:dyDescent="0.25">
      <c r="A504" t="s">
        <v>2030</v>
      </c>
    </row>
    <row r="505" spans="1:1" x14ac:dyDescent="0.25">
      <c r="A505" t="s">
        <v>2031</v>
      </c>
    </row>
    <row r="506" spans="1:1" x14ac:dyDescent="0.25">
      <c r="A506" t="s">
        <v>2032</v>
      </c>
    </row>
    <row r="507" spans="1:1" x14ac:dyDescent="0.25">
      <c r="A507" t="s">
        <v>1945</v>
      </c>
    </row>
    <row r="509" spans="1:1" x14ac:dyDescent="0.25">
      <c r="A509" t="s">
        <v>1775</v>
      </c>
    </row>
    <row r="511" spans="1:1" x14ac:dyDescent="0.25">
      <c r="A511" t="s">
        <v>2033</v>
      </c>
    </row>
    <row r="512" spans="1:1" x14ac:dyDescent="0.25">
      <c r="A512" t="s">
        <v>2034</v>
      </c>
    </row>
    <row r="513" spans="1:1" x14ac:dyDescent="0.25">
      <c r="A513" t="s">
        <v>2035</v>
      </c>
    </row>
    <row r="514" spans="1:1" x14ac:dyDescent="0.25">
      <c r="A514" t="s">
        <v>1926</v>
      </c>
    </row>
    <row r="516" spans="1:1" x14ac:dyDescent="0.25">
      <c r="A516" t="s">
        <v>1775</v>
      </c>
    </row>
    <row r="518" spans="1:1" x14ac:dyDescent="0.25">
      <c r="A518" t="s">
        <v>2036</v>
      </c>
    </row>
    <row r="520" spans="1:1" x14ac:dyDescent="0.25">
      <c r="A520" t="s">
        <v>1775</v>
      </c>
    </row>
    <row r="522" spans="1:1" x14ac:dyDescent="0.25">
      <c r="A522" t="s">
        <v>2037</v>
      </c>
    </row>
    <row r="523" spans="1:1" x14ac:dyDescent="0.25">
      <c r="A523" t="s">
        <v>2038</v>
      </c>
    </row>
    <row r="524" spans="1:1" x14ac:dyDescent="0.25">
      <c r="A524" t="s">
        <v>2039</v>
      </c>
    </row>
    <row r="525" spans="1:1" x14ac:dyDescent="0.25">
      <c r="A525" t="s">
        <v>2040</v>
      </c>
    </row>
    <row r="526" spans="1:1" x14ac:dyDescent="0.25">
      <c r="A526" t="s">
        <v>2041</v>
      </c>
    </row>
    <row r="527" spans="1:1" x14ac:dyDescent="0.25">
      <c r="A527" t="s">
        <v>2042</v>
      </c>
    </row>
    <row r="528" spans="1:1" x14ac:dyDescent="0.25">
      <c r="A528" t="s">
        <v>2043</v>
      </c>
    </row>
    <row r="530" spans="1:1" x14ac:dyDescent="0.25">
      <c r="A530" t="s">
        <v>1775</v>
      </c>
    </row>
    <row r="532" spans="1:1" x14ac:dyDescent="0.25">
      <c r="A532" t="s">
        <v>1905</v>
      </c>
    </row>
    <row r="533" spans="1:1" x14ac:dyDescent="0.25">
      <c r="A533" t="s">
        <v>2044</v>
      </c>
    </row>
    <row r="534" spans="1:1" x14ac:dyDescent="0.25">
      <c r="A534" t="s">
        <v>2045</v>
      </c>
    </row>
    <row r="535" spans="1:1" x14ac:dyDescent="0.25">
      <c r="A535" t="s">
        <v>2046</v>
      </c>
    </row>
    <row r="536" spans="1:1" x14ac:dyDescent="0.25">
      <c r="A536" t="s">
        <v>2047</v>
      </c>
    </row>
    <row r="537" spans="1:1" x14ac:dyDescent="0.25">
      <c r="A537" t="s">
        <v>2048</v>
      </c>
    </row>
    <row r="538" spans="1:1" x14ac:dyDescent="0.25">
      <c r="A538" t="s">
        <v>2049</v>
      </c>
    </row>
    <row r="539" spans="1:1" x14ac:dyDescent="0.25">
      <c r="A539" t="s">
        <v>1926</v>
      </c>
    </row>
    <row r="541" spans="1:1" x14ac:dyDescent="0.25">
      <c r="A541" t="s">
        <v>1775</v>
      </c>
    </row>
    <row r="543" spans="1:1" x14ac:dyDescent="0.25">
      <c r="A543" t="s">
        <v>1905</v>
      </c>
    </row>
    <row r="544" spans="1:1" x14ac:dyDescent="0.25">
      <c r="A544" t="s">
        <v>2050</v>
      </c>
    </row>
    <row r="545" spans="1:1" x14ac:dyDescent="0.25">
      <c r="A545" t="s">
        <v>2051</v>
      </c>
    </row>
    <row r="546" spans="1:1" x14ac:dyDescent="0.25">
      <c r="A546" t="s">
        <v>2052</v>
      </c>
    </row>
    <row r="547" spans="1:1" x14ac:dyDescent="0.25">
      <c r="A547" t="s">
        <v>2053</v>
      </c>
    </row>
    <row r="548" spans="1:1" x14ac:dyDescent="0.25">
      <c r="A548" t="s">
        <v>2054</v>
      </c>
    </row>
    <row r="549" spans="1:1" x14ac:dyDescent="0.25">
      <c r="A549" t="s">
        <v>2055</v>
      </c>
    </row>
    <row r="550" spans="1:1" x14ac:dyDescent="0.25">
      <c r="A550" t="s">
        <v>1926</v>
      </c>
    </row>
    <row r="552" spans="1:1" x14ac:dyDescent="0.25">
      <c r="A552" t="s">
        <v>1775</v>
      </c>
    </row>
    <row r="554" spans="1:1" x14ac:dyDescent="0.25">
      <c r="A554" t="s">
        <v>1929</v>
      </c>
    </row>
    <row r="555" spans="1:1" x14ac:dyDescent="0.25">
      <c r="A555" t="s">
        <v>2056</v>
      </c>
    </row>
    <row r="556" spans="1:1" x14ac:dyDescent="0.25">
      <c r="A556" t="s">
        <v>1947</v>
      </c>
    </row>
    <row r="557" spans="1:1" x14ac:dyDescent="0.25">
      <c r="A557" t="s">
        <v>1931</v>
      </c>
    </row>
    <row r="558" spans="1:1" x14ac:dyDescent="0.25">
      <c r="A558" t="s">
        <v>2057</v>
      </c>
    </row>
    <row r="559" spans="1:1" x14ac:dyDescent="0.25">
      <c r="A559" t="s">
        <v>1934</v>
      </c>
    </row>
    <row r="560" spans="1:1" x14ac:dyDescent="0.25">
      <c r="A560" t="s">
        <v>2058</v>
      </c>
    </row>
    <row r="561" spans="1:2" x14ac:dyDescent="0.25">
      <c r="A561" t="s">
        <v>2059</v>
      </c>
    </row>
    <row r="562" spans="1:2" x14ac:dyDescent="0.25">
      <c r="A562" t="s">
        <v>2060</v>
      </c>
    </row>
    <row r="563" spans="1:2" x14ac:dyDescent="0.25">
      <c r="A563" t="s">
        <v>2061</v>
      </c>
    </row>
    <row r="564" spans="1:2" x14ac:dyDescent="0.25">
      <c r="A564" t="s">
        <v>2062</v>
      </c>
    </row>
    <row r="567" spans="1:2" x14ac:dyDescent="0.25">
      <c r="A567" t="s">
        <v>2063</v>
      </c>
    </row>
    <row r="568" spans="1:2" x14ac:dyDescent="0.25">
      <c r="B568" t="s">
        <v>2064</v>
      </c>
    </row>
    <row r="569" spans="1:2" x14ac:dyDescent="0.25">
      <c r="A569" t="s">
        <v>2065</v>
      </c>
    </row>
    <row r="570" spans="1:2" x14ac:dyDescent="0.25">
      <c r="B570" t="s">
        <v>2066</v>
      </c>
    </row>
    <row r="571" spans="1:2" x14ac:dyDescent="0.25">
      <c r="A571" t="s">
        <v>2067</v>
      </c>
    </row>
    <row r="572" spans="1:2" x14ac:dyDescent="0.25">
      <c r="B572" t="s">
        <v>2068</v>
      </c>
    </row>
    <row r="573" spans="1:2" x14ac:dyDescent="0.25">
      <c r="A573" t="s">
        <v>2069</v>
      </c>
    </row>
    <row r="574" spans="1:2" x14ac:dyDescent="0.25">
      <c r="B574" t="s">
        <v>2070</v>
      </c>
    </row>
    <row r="575" spans="1:2" x14ac:dyDescent="0.25">
      <c r="A575" t="s">
        <v>2071</v>
      </c>
    </row>
    <row r="576" spans="1:2" x14ac:dyDescent="0.25">
      <c r="B576" t="s">
        <v>2072</v>
      </c>
    </row>
    <row r="577" spans="1:1" x14ac:dyDescent="0.25">
      <c r="A577" t="s">
        <v>1942</v>
      </c>
    </row>
    <row r="579" spans="1:1" x14ac:dyDescent="0.25">
      <c r="A579" t="s">
        <v>2073</v>
      </c>
    </row>
    <row r="580" spans="1:1" x14ac:dyDescent="0.25">
      <c r="A580" t="s">
        <v>2074</v>
      </c>
    </row>
    <row r="581" spans="1:1" x14ac:dyDescent="0.25">
      <c r="A581" t="s">
        <v>2075</v>
      </c>
    </row>
    <row r="582" spans="1:1" x14ac:dyDescent="0.25">
      <c r="A582" t="s">
        <v>2076</v>
      </c>
    </row>
    <row r="583" spans="1:1" x14ac:dyDescent="0.25">
      <c r="A583" t="s">
        <v>2077</v>
      </c>
    </row>
    <row r="584" spans="1:1" x14ac:dyDescent="0.25">
      <c r="A584" t="s">
        <v>1945</v>
      </c>
    </row>
    <row r="586" spans="1:1" x14ac:dyDescent="0.25">
      <c r="A586" t="s">
        <v>1775</v>
      </c>
    </row>
    <row r="588" spans="1:1" x14ac:dyDescent="0.25">
      <c r="A588" t="s">
        <v>2078</v>
      </c>
    </row>
    <row r="590" spans="1:1" x14ac:dyDescent="0.25">
      <c r="A590" t="s">
        <v>1775</v>
      </c>
    </row>
    <row r="592" spans="1:1" x14ac:dyDescent="0.25">
      <c r="A592" t="s">
        <v>2079</v>
      </c>
    </row>
    <row r="594" spans="1:1" x14ac:dyDescent="0.25">
      <c r="A594" t="s">
        <v>1775</v>
      </c>
    </row>
    <row r="596" spans="1:1" x14ac:dyDescent="0.25">
      <c r="A596" t="s">
        <v>2080</v>
      </c>
    </row>
    <row r="598" spans="1:1" x14ac:dyDescent="0.25">
      <c r="A598" t="s">
        <v>1775</v>
      </c>
    </row>
    <row r="600" spans="1:1" x14ac:dyDescent="0.25">
      <c r="A600" t="s">
        <v>2081</v>
      </c>
    </row>
    <row r="602" spans="1:1" x14ac:dyDescent="0.25">
      <c r="A602" t="s">
        <v>1775</v>
      </c>
    </row>
    <row r="604" spans="1:1" x14ac:dyDescent="0.25">
      <c r="A604" t="s">
        <v>1929</v>
      </c>
    </row>
    <row r="605" spans="1:1" x14ac:dyDescent="0.25">
      <c r="A605" t="s">
        <v>2082</v>
      </c>
    </row>
    <row r="606" spans="1:1" x14ac:dyDescent="0.25">
      <c r="A606" t="s">
        <v>1947</v>
      </c>
    </row>
    <row r="607" spans="1:1" x14ac:dyDescent="0.25">
      <c r="A607" t="s">
        <v>1931</v>
      </c>
    </row>
    <row r="608" spans="1:1" x14ac:dyDescent="0.25">
      <c r="A608" t="s">
        <v>2057</v>
      </c>
    </row>
    <row r="609" spans="1:4" x14ac:dyDescent="0.25">
      <c r="A609" t="s">
        <v>1934</v>
      </c>
    </row>
    <row r="610" spans="1:4" x14ac:dyDescent="0.25">
      <c r="A610" t="s">
        <v>2083</v>
      </c>
    </row>
    <row r="611" spans="1:4" x14ac:dyDescent="0.25">
      <c r="A611" t="s">
        <v>2084</v>
      </c>
    </row>
    <row r="612" spans="1:4" x14ac:dyDescent="0.25">
      <c r="B612" t="s">
        <v>2085</v>
      </c>
    </row>
    <row r="613" spans="1:4" x14ac:dyDescent="0.25">
      <c r="A613" t="s">
        <v>2086</v>
      </c>
    </row>
    <row r="614" spans="1:4" x14ac:dyDescent="0.25">
      <c r="B614" t="s">
        <v>2087</v>
      </c>
    </row>
    <row r="615" spans="1:4" x14ac:dyDescent="0.25">
      <c r="C615" t="s">
        <v>2088</v>
      </c>
    </row>
    <row r="616" spans="1:4" x14ac:dyDescent="0.25">
      <c r="D616" t="s">
        <v>2089</v>
      </c>
    </row>
    <row r="617" spans="1:4" x14ac:dyDescent="0.25">
      <c r="A617" t="s">
        <v>1942</v>
      </c>
    </row>
    <row r="619" spans="1:4" x14ac:dyDescent="0.25">
      <c r="A619" t="s">
        <v>2090</v>
      </c>
    </row>
    <row r="620" spans="1:4" x14ac:dyDescent="0.25">
      <c r="A620" t="s">
        <v>2091</v>
      </c>
    </row>
    <row r="621" spans="1:4" x14ac:dyDescent="0.25">
      <c r="A621" t="s">
        <v>2092</v>
      </c>
    </row>
    <row r="622" spans="1:4" x14ac:dyDescent="0.25">
      <c r="A622" t="s">
        <v>2093</v>
      </c>
    </row>
    <row r="623" spans="1:4" x14ac:dyDescent="0.25">
      <c r="A623" t="s">
        <v>2094</v>
      </c>
    </row>
    <row r="624" spans="1:4" x14ac:dyDescent="0.25">
      <c r="A624" t="s">
        <v>2095</v>
      </c>
    </row>
    <row r="625" spans="1:1" x14ac:dyDescent="0.25">
      <c r="A625" t="s">
        <v>1945</v>
      </c>
    </row>
    <row r="627" spans="1:1" x14ac:dyDescent="0.25">
      <c r="A627" t="s">
        <v>1775</v>
      </c>
    </row>
    <row r="629" spans="1:1" x14ac:dyDescent="0.25">
      <c r="A629" t="s">
        <v>1929</v>
      </c>
    </row>
    <row r="630" spans="1:1" x14ac:dyDescent="0.25">
      <c r="A630" t="s">
        <v>2096</v>
      </c>
    </row>
    <row r="631" spans="1:1" x14ac:dyDescent="0.25">
      <c r="A631" t="s">
        <v>1947</v>
      </c>
    </row>
    <row r="632" spans="1:1" x14ac:dyDescent="0.25">
      <c r="A632" t="s">
        <v>2097</v>
      </c>
    </row>
    <row r="633" spans="1:1" x14ac:dyDescent="0.25">
      <c r="A633" t="s">
        <v>1931</v>
      </c>
    </row>
    <row r="634" spans="1:1" x14ac:dyDescent="0.25">
      <c r="A634" t="s">
        <v>2098</v>
      </c>
    </row>
    <row r="635" spans="1:1" x14ac:dyDescent="0.25">
      <c r="A635" t="s">
        <v>1934</v>
      </c>
    </row>
    <row r="636" spans="1:1" x14ac:dyDescent="0.25">
      <c r="A636" t="s">
        <v>2099</v>
      </c>
    </row>
    <row r="637" spans="1:1" x14ac:dyDescent="0.25">
      <c r="A637" t="s">
        <v>2100</v>
      </c>
    </row>
    <row r="638" spans="1:1" x14ac:dyDescent="0.25">
      <c r="A638" t="s">
        <v>2101</v>
      </c>
    </row>
    <row r="640" spans="1:1" x14ac:dyDescent="0.25">
      <c r="A640" t="s">
        <v>2102</v>
      </c>
    </row>
    <row r="641" spans="1:2" x14ac:dyDescent="0.25">
      <c r="B641" t="s">
        <v>2103</v>
      </c>
    </row>
    <row r="642" spans="1:2" x14ac:dyDescent="0.25">
      <c r="A642" t="s">
        <v>1940</v>
      </c>
    </row>
    <row r="643" spans="1:2" x14ac:dyDescent="0.25">
      <c r="B643" t="s">
        <v>2104</v>
      </c>
    </row>
    <row r="644" spans="1:2" x14ac:dyDescent="0.25">
      <c r="A644" t="s">
        <v>1942</v>
      </c>
    </row>
    <row r="646" spans="1:2" x14ac:dyDescent="0.25">
      <c r="A646" t="s">
        <v>2105</v>
      </c>
    </row>
    <row r="647" spans="1:2" x14ac:dyDescent="0.25">
      <c r="A647" t="s">
        <v>2106</v>
      </c>
    </row>
    <row r="648" spans="1:2" x14ac:dyDescent="0.25">
      <c r="A648" t="s">
        <v>2107</v>
      </c>
    </row>
    <row r="649" spans="1:2" x14ac:dyDescent="0.25">
      <c r="A649" t="s">
        <v>2108</v>
      </c>
    </row>
    <row r="650" spans="1:2" x14ac:dyDescent="0.25">
      <c r="A650" t="s">
        <v>2109</v>
      </c>
    </row>
    <row r="651" spans="1:2" x14ac:dyDescent="0.25">
      <c r="A651" t="s">
        <v>1945</v>
      </c>
    </row>
    <row r="653" spans="1:2" x14ac:dyDescent="0.25">
      <c r="A653" t="s">
        <v>1775</v>
      </c>
    </row>
    <row r="655" spans="1:2" x14ac:dyDescent="0.25">
      <c r="A655" t="s">
        <v>1929</v>
      </c>
    </row>
    <row r="656" spans="1:2" x14ac:dyDescent="0.25">
      <c r="A656" t="s">
        <v>2110</v>
      </c>
    </row>
    <row r="657" spans="1:2" x14ac:dyDescent="0.25">
      <c r="A657" t="s">
        <v>1947</v>
      </c>
    </row>
    <row r="658" spans="1:2" x14ac:dyDescent="0.25">
      <c r="A658" t="s">
        <v>2097</v>
      </c>
    </row>
    <row r="659" spans="1:2" x14ac:dyDescent="0.25">
      <c r="A659" t="s">
        <v>1931</v>
      </c>
    </row>
    <row r="660" spans="1:2" x14ac:dyDescent="0.25">
      <c r="A660" t="s">
        <v>2111</v>
      </c>
    </row>
    <row r="661" spans="1:2" x14ac:dyDescent="0.25">
      <c r="A661" t="s">
        <v>1934</v>
      </c>
    </row>
    <row r="662" spans="1:2" x14ac:dyDescent="0.25">
      <c r="A662" t="s">
        <v>2099</v>
      </c>
    </row>
    <row r="663" spans="1:2" x14ac:dyDescent="0.25">
      <c r="A663" t="s">
        <v>2100</v>
      </c>
    </row>
    <row r="664" spans="1:2" x14ac:dyDescent="0.25">
      <c r="A664" t="s">
        <v>2101</v>
      </c>
    </row>
    <row r="666" spans="1:2" x14ac:dyDescent="0.25">
      <c r="A666" t="s">
        <v>2112</v>
      </c>
    </row>
    <row r="667" spans="1:2" x14ac:dyDescent="0.25">
      <c r="B667" t="s">
        <v>2113</v>
      </c>
    </row>
    <row r="668" spans="1:2" x14ac:dyDescent="0.25">
      <c r="A668" t="s">
        <v>2114</v>
      </c>
    </row>
    <row r="669" spans="1:2" x14ac:dyDescent="0.25">
      <c r="A669" t="s">
        <v>1942</v>
      </c>
    </row>
    <row r="671" spans="1:2" x14ac:dyDescent="0.25">
      <c r="A671" t="s">
        <v>2115</v>
      </c>
    </row>
    <row r="672" spans="1:2" x14ac:dyDescent="0.25">
      <c r="A672" t="s">
        <v>2116</v>
      </c>
    </row>
    <row r="673" spans="1:1" x14ac:dyDescent="0.25">
      <c r="A673" t="s">
        <v>2117</v>
      </c>
    </row>
    <row r="674" spans="1:1" x14ac:dyDescent="0.25">
      <c r="A674" t="s">
        <v>2118</v>
      </c>
    </row>
    <row r="675" spans="1:1" x14ac:dyDescent="0.25">
      <c r="A675" t="s">
        <v>2119</v>
      </c>
    </row>
    <row r="676" spans="1:1" x14ac:dyDescent="0.25">
      <c r="A676" t="s">
        <v>2120</v>
      </c>
    </row>
    <row r="677" spans="1:1" x14ac:dyDescent="0.25">
      <c r="A677" t="s">
        <v>2121</v>
      </c>
    </row>
    <row r="678" spans="1:1" x14ac:dyDescent="0.25">
      <c r="A678" t="s">
        <v>2122</v>
      </c>
    </row>
    <row r="679" spans="1:1" x14ac:dyDescent="0.25">
      <c r="A679" t="s">
        <v>2123</v>
      </c>
    </row>
    <row r="680" spans="1:1" x14ac:dyDescent="0.25">
      <c r="A680" t="s">
        <v>2109</v>
      </c>
    </row>
    <row r="681" spans="1:1" x14ac:dyDescent="0.25">
      <c r="A681" t="s">
        <v>1945</v>
      </c>
    </row>
    <row r="683" spans="1:1" x14ac:dyDescent="0.25">
      <c r="A683" t="s">
        <v>1775</v>
      </c>
    </row>
    <row r="685" spans="1:1" x14ac:dyDescent="0.25">
      <c r="A685" t="s">
        <v>2037</v>
      </c>
    </row>
    <row r="686" spans="1:1" x14ac:dyDescent="0.25">
      <c r="A686" t="s">
        <v>2124</v>
      </c>
    </row>
    <row r="687" spans="1:1" x14ac:dyDescent="0.25">
      <c r="A687" t="s">
        <v>1931</v>
      </c>
    </row>
    <row r="688" spans="1:1" x14ac:dyDescent="0.25">
      <c r="A688" t="s">
        <v>2125</v>
      </c>
    </row>
    <row r="689" spans="1:2" x14ac:dyDescent="0.25">
      <c r="A689" t="s">
        <v>1934</v>
      </c>
    </row>
    <row r="690" spans="1:2" x14ac:dyDescent="0.25">
      <c r="A690" t="s">
        <v>2099</v>
      </c>
    </row>
    <row r="691" spans="1:2" x14ac:dyDescent="0.25">
      <c r="A691" t="s">
        <v>2100</v>
      </c>
    </row>
    <row r="692" spans="1:2" x14ac:dyDescent="0.25">
      <c r="A692" t="s">
        <v>2101</v>
      </c>
    </row>
    <row r="694" spans="1:2" x14ac:dyDescent="0.25">
      <c r="A694" t="s">
        <v>2126</v>
      </c>
    </row>
    <row r="695" spans="1:2" x14ac:dyDescent="0.25">
      <c r="B695" t="s">
        <v>2127</v>
      </c>
    </row>
    <row r="696" spans="1:2" x14ac:dyDescent="0.25">
      <c r="A696" t="s">
        <v>1940</v>
      </c>
    </row>
    <row r="697" spans="1:2" x14ac:dyDescent="0.25">
      <c r="B697" t="s">
        <v>2128</v>
      </c>
    </row>
    <row r="698" spans="1:2" x14ac:dyDescent="0.25">
      <c r="A698" t="s">
        <v>1942</v>
      </c>
    </row>
    <row r="700" spans="1:2" x14ac:dyDescent="0.25">
      <c r="A700" t="s">
        <v>2129</v>
      </c>
    </row>
    <row r="701" spans="1:2" x14ac:dyDescent="0.25">
      <c r="A701" t="s">
        <v>2130</v>
      </c>
    </row>
    <row r="702" spans="1:2" x14ac:dyDescent="0.25">
      <c r="A702" t="s">
        <v>2043</v>
      </c>
    </row>
    <row r="704" spans="1:2" x14ac:dyDescent="0.25">
      <c r="A704" t="s">
        <v>1775</v>
      </c>
    </row>
    <row r="706" spans="1:2" x14ac:dyDescent="0.25">
      <c r="A706" t="s">
        <v>1929</v>
      </c>
    </row>
    <row r="707" spans="1:2" x14ac:dyDescent="0.25">
      <c r="A707" t="s">
        <v>2131</v>
      </c>
    </row>
    <row r="708" spans="1:2" x14ac:dyDescent="0.25">
      <c r="A708" t="s">
        <v>1947</v>
      </c>
    </row>
    <row r="709" spans="1:2" x14ac:dyDescent="0.25">
      <c r="A709" t="s">
        <v>1931</v>
      </c>
    </row>
    <row r="710" spans="1:2" x14ac:dyDescent="0.25">
      <c r="A710" t="s">
        <v>2132</v>
      </c>
    </row>
    <row r="711" spans="1:2" x14ac:dyDescent="0.25">
      <c r="A711" t="s">
        <v>1934</v>
      </c>
    </row>
    <row r="712" spans="1:2" x14ac:dyDescent="0.25">
      <c r="A712" t="s">
        <v>2099</v>
      </c>
    </row>
    <row r="713" spans="1:2" x14ac:dyDescent="0.25">
      <c r="A713" t="s">
        <v>2100</v>
      </c>
    </row>
    <row r="714" spans="1:2" x14ac:dyDescent="0.25">
      <c r="A714" t="s">
        <v>2101</v>
      </c>
    </row>
    <row r="717" spans="1:2" x14ac:dyDescent="0.25">
      <c r="A717" t="s">
        <v>2133</v>
      </c>
    </row>
    <row r="718" spans="1:2" x14ac:dyDescent="0.25">
      <c r="B718" t="s">
        <v>2134</v>
      </c>
    </row>
    <row r="719" spans="1:2" x14ac:dyDescent="0.25">
      <c r="A719" t="s">
        <v>1940</v>
      </c>
    </row>
    <row r="720" spans="1:2" x14ac:dyDescent="0.25">
      <c r="B720" t="s">
        <v>2135</v>
      </c>
    </row>
    <row r="721" spans="1:1" x14ac:dyDescent="0.25">
      <c r="A721" t="s">
        <v>1942</v>
      </c>
    </row>
    <row r="723" spans="1:1" x14ac:dyDescent="0.25">
      <c r="A723" t="s">
        <v>2136</v>
      </c>
    </row>
    <row r="724" spans="1:1" x14ac:dyDescent="0.25">
      <c r="A724" t="s">
        <v>2137</v>
      </c>
    </row>
    <row r="725" spans="1:1" x14ac:dyDescent="0.25">
      <c r="A725" t="s">
        <v>2138</v>
      </c>
    </row>
    <row r="726" spans="1:1" x14ac:dyDescent="0.25">
      <c r="A726" t="s">
        <v>2139</v>
      </c>
    </row>
    <row r="727" spans="1:1" x14ac:dyDescent="0.25">
      <c r="A727" t="s">
        <v>2140</v>
      </c>
    </row>
    <row r="728" spans="1:1" x14ac:dyDescent="0.25">
      <c r="A728" t="s">
        <v>2141</v>
      </c>
    </row>
    <row r="729" spans="1:1" x14ac:dyDescent="0.25">
      <c r="A729" t="s">
        <v>2142</v>
      </c>
    </row>
    <row r="730" spans="1:1" x14ac:dyDescent="0.25">
      <c r="A730" t="s">
        <v>2143</v>
      </c>
    </row>
    <row r="731" spans="1:1" x14ac:dyDescent="0.25">
      <c r="A731" t="s">
        <v>2144</v>
      </c>
    </row>
    <row r="732" spans="1:1" x14ac:dyDescent="0.25">
      <c r="A732" t="s">
        <v>2145</v>
      </c>
    </row>
    <row r="733" spans="1:1" x14ac:dyDescent="0.25">
      <c r="A733" t="s">
        <v>2146</v>
      </c>
    </row>
    <row r="734" spans="1:1" x14ac:dyDescent="0.25">
      <c r="A734" t="s">
        <v>2147</v>
      </c>
    </row>
    <row r="735" spans="1:1" x14ac:dyDescent="0.25">
      <c r="A735" t="s">
        <v>2148</v>
      </c>
    </row>
    <row r="736" spans="1:1" x14ac:dyDescent="0.25">
      <c r="A736" t="s">
        <v>2149</v>
      </c>
    </row>
    <row r="737" spans="1:1" x14ac:dyDescent="0.25">
      <c r="A737" t="s">
        <v>2150</v>
      </c>
    </row>
    <row r="738" spans="1:1" x14ac:dyDescent="0.25">
      <c r="A738" t="s">
        <v>2151</v>
      </c>
    </row>
    <row r="739" spans="1:1" x14ac:dyDescent="0.25">
      <c r="A739" t="s">
        <v>2152</v>
      </c>
    </row>
    <row r="740" spans="1:1" x14ac:dyDescent="0.25">
      <c r="A740" t="s">
        <v>2153</v>
      </c>
    </row>
    <row r="741" spans="1:1" x14ac:dyDescent="0.25">
      <c r="A741" t="s">
        <v>2154</v>
      </c>
    </row>
    <row r="742" spans="1:1" x14ac:dyDescent="0.25">
      <c r="A742" t="s">
        <v>2155</v>
      </c>
    </row>
    <row r="743" spans="1:1" x14ac:dyDescent="0.25">
      <c r="A743" t="s">
        <v>2156</v>
      </c>
    </row>
    <row r="744" spans="1:1" x14ac:dyDescent="0.25">
      <c r="A744" t="s">
        <v>2157</v>
      </c>
    </row>
    <row r="745" spans="1:1" x14ac:dyDescent="0.25">
      <c r="A745" t="s">
        <v>2158</v>
      </c>
    </row>
    <row r="746" spans="1:1" x14ac:dyDescent="0.25">
      <c r="A746" t="s">
        <v>2159</v>
      </c>
    </row>
    <row r="747" spans="1:1" x14ac:dyDescent="0.25">
      <c r="A747" t="s">
        <v>2160</v>
      </c>
    </row>
    <row r="748" spans="1:1" x14ac:dyDescent="0.25">
      <c r="A748" t="s">
        <v>2161</v>
      </c>
    </row>
    <row r="749" spans="1:1" x14ac:dyDescent="0.25">
      <c r="A749" t="s">
        <v>2162</v>
      </c>
    </row>
    <row r="750" spans="1:1" x14ac:dyDescent="0.25">
      <c r="A750" t="s">
        <v>2163</v>
      </c>
    </row>
    <row r="751" spans="1:1" x14ac:dyDescent="0.25">
      <c r="A751" t="s">
        <v>2164</v>
      </c>
    </row>
    <row r="752" spans="1:1" x14ac:dyDescent="0.25">
      <c r="A752" t="s">
        <v>2165</v>
      </c>
    </row>
    <row r="753" spans="1:1" x14ac:dyDescent="0.25">
      <c r="A753" t="s">
        <v>2166</v>
      </c>
    </row>
    <row r="754" spans="1:1" x14ac:dyDescent="0.25">
      <c r="A754" t="s">
        <v>2167</v>
      </c>
    </row>
    <row r="755" spans="1:1" x14ac:dyDescent="0.25">
      <c r="A755" t="s">
        <v>2168</v>
      </c>
    </row>
    <row r="756" spans="1:1" x14ac:dyDescent="0.25">
      <c r="A756" t="s">
        <v>2169</v>
      </c>
    </row>
    <row r="757" spans="1:1" x14ac:dyDescent="0.25">
      <c r="A757" t="s">
        <v>2170</v>
      </c>
    </row>
    <row r="758" spans="1:1" x14ac:dyDescent="0.25">
      <c r="A758" t="s">
        <v>2171</v>
      </c>
    </row>
    <row r="759" spans="1:1" x14ac:dyDescent="0.25">
      <c r="A759" t="s">
        <v>2172</v>
      </c>
    </row>
    <row r="760" spans="1:1" x14ac:dyDescent="0.25">
      <c r="A760" t="s">
        <v>2173</v>
      </c>
    </row>
    <row r="761" spans="1:1" x14ac:dyDescent="0.25">
      <c r="A761" t="s">
        <v>2174</v>
      </c>
    </row>
    <row r="762" spans="1:1" x14ac:dyDescent="0.25">
      <c r="A762" t="s">
        <v>2175</v>
      </c>
    </row>
    <row r="763" spans="1:1" x14ac:dyDescent="0.25">
      <c r="A763" t="s">
        <v>2176</v>
      </c>
    </row>
    <row r="764" spans="1:1" x14ac:dyDescent="0.25">
      <c r="A764" t="s">
        <v>2177</v>
      </c>
    </row>
    <row r="765" spans="1:1" x14ac:dyDescent="0.25">
      <c r="A765" t="s">
        <v>2178</v>
      </c>
    </row>
    <row r="766" spans="1:1" x14ac:dyDescent="0.25">
      <c r="A766" t="s">
        <v>2179</v>
      </c>
    </row>
    <row r="767" spans="1:1" x14ac:dyDescent="0.25">
      <c r="A767" t="s">
        <v>2180</v>
      </c>
    </row>
    <row r="768" spans="1:1" x14ac:dyDescent="0.25">
      <c r="A768" t="s">
        <v>2181</v>
      </c>
    </row>
    <row r="769" spans="1:1" x14ac:dyDescent="0.25">
      <c r="A769" t="s">
        <v>2182</v>
      </c>
    </row>
    <row r="770" spans="1:1" x14ac:dyDescent="0.25">
      <c r="A770" t="s">
        <v>2183</v>
      </c>
    </row>
    <row r="771" spans="1:1" x14ac:dyDescent="0.25">
      <c r="A771" t="s">
        <v>2184</v>
      </c>
    </row>
    <row r="772" spans="1:1" x14ac:dyDescent="0.25">
      <c r="A772" t="s">
        <v>2185</v>
      </c>
    </row>
    <row r="773" spans="1:1" x14ac:dyDescent="0.25">
      <c r="A773" t="s">
        <v>2186</v>
      </c>
    </row>
    <row r="774" spans="1:1" x14ac:dyDescent="0.25">
      <c r="A774" t="s">
        <v>2187</v>
      </c>
    </row>
    <row r="775" spans="1:1" x14ac:dyDescent="0.25">
      <c r="A775" t="s">
        <v>2188</v>
      </c>
    </row>
    <row r="776" spans="1:1" x14ac:dyDescent="0.25">
      <c r="A776" t="s">
        <v>1945</v>
      </c>
    </row>
    <row r="778" spans="1:1" x14ac:dyDescent="0.25">
      <c r="A778" t="s">
        <v>1775</v>
      </c>
    </row>
    <row r="780" spans="1:1" x14ac:dyDescent="0.25">
      <c r="A780" t="s">
        <v>2037</v>
      </c>
    </row>
    <row r="781" spans="1:1" x14ac:dyDescent="0.25">
      <c r="A781" t="s">
        <v>2189</v>
      </c>
    </row>
    <row r="782" spans="1:1" x14ac:dyDescent="0.25">
      <c r="A782" t="s">
        <v>1931</v>
      </c>
    </row>
    <row r="783" spans="1:1" x14ac:dyDescent="0.25">
      <c r="A783" t="s">
        <v>2190</v>
      </c>
    </row>
    <row r="784" spans="1:1" x14ac:dyDescent="0.25">
      <c r="A784" t="s">
        <v>1934</v>
      </c>
    </row>
    <row r="785" spans="1:2" x14ac:dyDescent="0.25">
      <c r="A785" t="s">
        <v>2099</v>
      </c>
    </row>
    <row r="786" spans="1:2" x14ac:dyDescent="0.25">
      <c r="A786" t="s">
        <v>2100</v>
      </c>
    </row>
    <row r="787" spans="1:2" x14ac:dyDescent="0.25">
      <c r="A787" t="s">
        <v>2101</v>
      </c>
    </row>
    <row r="789" spans="1:2" x14ac:dyDescent="0.25">
      <c r="A789" t="s">
        <v>2191</v>
      </c>
    </row>
    <row r="790" spans="1:2" x14ac:dyDescent="0.25">
      <c r="B790" t="s">
        <v>2192</v>
      </c>
    </row>
    <row r="791" spans="1:2" x14ac:dyDescent="0.25">
      <c r="A791" t="s">
        <v>1940</v>
      </c>
    </row>
    <row r="792" spans="1:2" x14ac:dyDescent="0.25">
      <c r="B792" t="s">
        <v>2193</v>
      </c>
    </row>
    <row r="793" spans="1:2" x14ac:dyDescent="0.25">
      <c r="A793" t="s">
        <v>1942</v>
      </c>
    </row>
    <row r="795" spans="1:2" x14ac:dyDescent="0.25">
      <c r="A795" t="s">
        <v>2194</v>
      </c>
    </row>
    <row r="796" spans="1:2" x14ac:dyDescent="0.25">
      <c r="A796" t="s">
        <v>2130</v>
      </c>
    </row>
    <row r="797" spans="1:2" x14ac:dyDescent="0.25">
      <c r="A797" t="s">
        <v>2043</v>
      </c>
    </row>
    <row r="799" spans="1:2" x14ac:dyDescent="0.25">
      <c r="A799" t="s">
        <v>1775</v>
      </c>
    </row>
    <row r="801" spans="1:2" x14ac:dyDescent="0.25">
      <c r="A801" t="s">
        <v>2037</v>
      </c>
    </row>
    <row r="802" spans="1:2" x14ac:dyDescent="0.25">
      <c r="A802" t="s">
        <v>2195</v>
      </c>
    </row>
    <row r="803" spans="1:2" x14ac:dyDescent="0.25">
      <c r="A803" t="s">
        <v>1931</v>
      </c>
    </row>
    <row r="804" spans="1:2" x14ac:dyDescent="0.25">
      <c r="A804" t="s">
        <v>2196</v>
      </c>
    </row>
    <row r="805" spans="1:2" x14ac:dyDescent="0.25">
      <c r="A805" t="s">
        <v>1934</v>
      </c>
    </row>
    <row r="806" spans="1:2" x14ac:dyDescent="0.25">
      <c r="A806" t="s">
        <v>2099</v>
      </c>
    </row>
    <row r="807" spans="1:2" x14ac:dyDescent="0.25">
      <c r="A807" t="s">
        <v>2100</v>
      </c>
    </row>
    <row r="808" spans="1:2" x14ac:dyDescent="0.25">
      <c r="A808" t="s">
        <v>2101</v>
      </c>
    </row>
    <row r="810" spans="1:2" x14ac:dyDescent="0.25">
      <c r="A810" t="s">
        <v>2197</v>
      </c>
    </row>
    <row r="811" spans="1:2" x14ac:dyDescent="0.25">
      <c r="B811" t="s">
        <v>2198</v>
      </c>
    </row>
    <row r="812" spans="1:2" x14ac:dyDescent="0.25">
      <c r="A812" t="s">
        <v>1940</v>
      </c>
    </row>
    <row r="813" spans="1:2" x14ac:dyDescent="0.25">
      <c r="B813" t="s">
        <v>2199</v>
      </c>
    </row>
    <row r="814" spans="1:2" x14ac:dyDescent="0.25">
      <c r="A814" t="s">
        <v>1942</v>
      </c>
    </row>
    <row r="816" spans="1:2" x14ac:dyDescent="0.25">
      <c r="A816" t="s">
        <v>2200</v>
      </c>
    </row>
    <row r="817" spans="1:2" x14ac:dyDescent="0.25">
      <c r="A817" t="s">
        <v>2130</v>
      </c>
    </row>
    <row r="818" spans="1:2" x14ac:dyDescent="0.25">
      <c r="A818" t="s">
        <v>2043</v>
      </c>
    </row>
    <row r="820" spans="1:2" x14ac:dyDescent="0.25">
      <c r="A820" t="s">
        <v>1775</v>
      </c>
    </row>
    <row r="822" spans="1:2" x14ac:dyDescent="0.25">
      <c r="A822" t="s">
        <v>2037</v>
      </c>
    </row>
    <row r="823" spans="1:2" x14ac:dyDescent="0.25">
      <c r="A823" t="s">
        <v>2201</v>
      </c>
    </row>
    <row r="824" spans="1:2" x14ac:dyDescent="0.25">
      <c r="A824" t="s">
        <v>1931</v>
      </c>
    </row>
    <row r="825" spans="1:2" x14ac:dyDescent="0.25">
      <c r="A825" t="s">
        <v>2202</v>
      </c>
    </row>
    <row r="826" spans="1:2" x14ac:dyDescent="0.25">
      <c r="A826" t="s">
        <v>1934</v>
      </c>
    </row>
    <row r="827" spans="1:2" x14ac:dyDescent="0.25">
      <c r="A827" t="s">
        <v>2099</v>
      </c>
    </row>
    <row r="828" spans="1:2" x14ac:dyDescent="0.25">
      <c r="A828" t="s">
        <v>2100</v>
      </c>
    </row>
    <row r="829" spans="1:2" x14ac:dyDescent="0.25">
      <c r="A829" t="s">
        <v>2101</v>
      </c>
    </row>
    <row r="831" spans="1:2" x14ac:dyDescent="0.25">
      <c r="A831" t="s">
        <v>2203</v>
      </c>
    </row>
    <row r="832" spans="1:2" x14ac:dyDescent="0.25">
      <c r="B832" t="s">
        <v>2204</v>
      </c>
    </row>
    <row r="833" spans="1:2" x14ac:dyDescent="0.25">
      <c r="A833" t="s">
        <v>1940</v>
      </c>
    </row>
    <row r="834" spans="1:2" x14ac:dyDescent="0.25">
      <c r="B834" t="s">
        <v>2205</v>
      </c>
    </row>
    <row r="835" spans="1:2" x14ac:dyDescent="0.25">
      <c r="A835" t="s">
        <v>1942</v>
      </c>
    </row>
    <row r="837" spans="1:2" x14ac:dyDescent="0.25">
      <c r="A837" t="s">
        <v>2206</v>
      </c>
    </row>
    <row r="838" spans="1:2" x14ac:dyDescent="0.25">
      <c r="A838" t="s">
        <v>2130</v>
      </c>
    </row>
    <row r="839" spans="1:2" x14ac:dyDescent="0.25">
      <c r="A839" t="s">
        <v>2043</v>
      </c>
    </row>
    <row r="841" spans="1:2" x14ac:dyDescent="0.25">
      <c r="A841" t="s">
        <v>1775</v>
      </c>
    </row>
    <row r="843" spans="1:2" x14ac:dyDescent="0.25">
      <c r="A843" t="s">
        <v>2037</v>
      </c>
    </row>
    <row r="844" spans="1:2" x14ac:dyDescent="0.25">
      <c r="A844" t="s">
        <v>2207</v>
      </c>
    </row>
    <row r="845" spans="1:2" x14ac:dyDescent="0.25">
      <c r="A845" t="s">
        <v>1931</v>
      </c>
    </row>
    <row r="846" spans="1:2" x14ac:dyDescent="0.25">
      <c r="A846" t="s">
        <v>2208</v>
      </c>
    </row>
    <row r="847" spans="1:2" x14ac:dyDescent="0.25">
      <c r="A847" t="s">
        <v>1934</v>
      </c>
    </row>
    <row r="848" spans="1:2" x14ac:dyDescent="0.25">
      <c r="A848" t="s">
        <v>2099</v>
      </c>
    </row>
    <row r="849" spans="1:2" x14ac:dyDescent="0.25">
      <c r="A849" t="s">
        <v>2100</v>
      </c>
    </row>
    <row r="850" spans="1:2" x14ac:dyDescent="0.25">
      <c r="A850" t="s">
        <v>2101</v>
      </c>
    </row>
    <row r="852" spans="1:2" x14ac:dyDescent="0.25">
      <c r="A852" t="s">
        <v>2209</v>
      </c>
    </row>
    <row r="853" spans="1:2" x14ac:dyDescent="0.25">
      <c r="B853" t="s">
        <v>2210</v>
      </c>
    </row>
    <row r="854" spans="1:2" x14ac:dyDescent="0.25">
      <c r="A854" t="s">
        <v>1940</v>
      </c>
    </row>
    <row r="855" spans="1:2" x14ac:dyDescent="0.25">
      <c r="B855" t="s">
        <v>2211</v>
      </c>
    </row>
    <row r="856" spans="1:2" x14ac:dyDescent="0.25">
      <c r="A856" t="s">
        <v>1942</v>
      </c>
    </row>
    <row r="858" spans="1:2" x14ac:dyDescent="0.25">
      <c r="A858" t="s">
        <v>2212</v>
      </c>
    </row>
    <row r="859" spans="1:2" x14ac:dyDescent="0.25">
      <c r="A859" t="s">
        <v>2130</v>
      </c>
    </row>
    <row r="860" spans="1:2" x14ac:dyDescent="0.25">
      <c r="A860" t="s">
        <v>2043</v>
      </c>
    </row>
    <row r="862" spans="1:2" x14ac:dyDescent="0.25">
      <c r="A862" t="s">
        <v>1775</v>
      </c>
    </row>
    <row r="864" spans="1:2" x14ac:dyDescent="0.25">
      <c r="A864" t="s">
        <v>1929</v>
      </c>
    </row>
    <row r="865" spans="1:2" x14ac:dyDescent="0.25">
      <c r="A865" t="s">
        <v>2213</v>
      </c>
    </row>
    <row r="866" spans="1:2" x14ac:dyDescent="0.25">
      <c r="A866" t="s">
        <v>1947</v>
      </c>
    </row>
    <row r="867" spans="1:2" x14ac:dyDescent="0.25">
      <c r="A867" t="s">
        <v>2097</v>
      </c>
    </row>
    <row r="868" spans="1:2" x14ac:dyDescent="0.25">
      <c r="A868" t="s">
        <v>1931</v>
      </c>
    </row>
    <row r="869" spans="1:2" x14ac:dyDescent="0.25">
      <c r="A869" t="s">
        <v>2214</v>
      </c>
    </row>
    <row r="870" spans="1:2" x14ac:dyDescent="0.25">
      <c r="A870" t="s">
        <v>1934</v>
      </c>
    </row>
    <row r="871" spans="1:2" x14ac:dyDescent="0.25">
      <c r="A871" t="s">
        <v>2099</v>
      </c>
    </row>
    <row r="872" spans="1:2" x14ac:dyDescent="0.25">
      <c r="A872" t="s">
        <v>2100</v>
      </c>
    </row>
    <row r="873" spans="1:2" x14ac:dyDescent="0.25">
      <c r="A873" t="s">
        <v>2101</v>
      </c>
    </row>
    <row r="876" spans="1:2" x14ac:dyDescent="0.25">
      <c r="A876" t="s">
        <v>2215</v>
      </c>
    </row>
    <row r="877" spans="1:2" x14ac:dyDescent="0.25">
      <c r="B877" t="s">
        <v>2216</v>
      </c>
    </row>
    <row r="878" spans="1:2" x14ac:dyDescent="0.25">
      <c r="A878" t="s">
        <v>1940</v>
      </c>
    </row>
    <row r="879" spans="1:2" x14ac:dyDescent="0.25">
      <c r="B879" t="s">
        <v>2217</v>
      </c>
    </row>
    <row r="880" spans="1:2" x14ac:dyDescent="0.25">
      <c r="A880" t="s">
        <v>1942</v>
      </c>
    </row>
    <row r="882" spans="1:1" x14ac:dyDescent="0.25">
      <c r="A882" t="s">
        <v>2218</v>
      </c>
    </row>
    <row r="883" spans="1:1" x14ac:dyDescent="0.25">
      <c r="A883" t="s">
        <v>2219</v>
      </c>
    </row>
    <row r="884" spans="1:1" x14ac:dyDescent="0.25">
      <c r="A884" t="s">
        <v>2220</v>
      </c>
    </row>
    <row r="885" spans="1:1" x14ac:dyDescent="0.25">
      <c r="A885" t="s">
        <v>2221</v>
      </c>
    </row>
    <row r="886" spans="1:1" x14ac:dyDescent="0.25">
      <c r="A886" t="s">
        <v>2222</v>
      </c>
    </row>
    <row r="887" spans="1:1" x14ac:dyDescent="0.25">
      <c r="A887" t="s">
        <v>2223</v>
      </c>
    </row>
    <row r="888" spans="1:1" x14ac:dyDescent="0.25">
      <c r="A888" t="s">
        <v>2224</v>
      </c>
    </row>
    <row r="889" spans="1:1" x14ac:dyDescent="0.25">
      <c r="A889" t="s">
        <v>2225</v>
      </c>
    </row>
    <row r="890" spans="1:1" x14ac:dyDescent="0.25">
      <c r="A890" t="s">
        <v>2226</v>
      </c>
    </row>
    <row r="891" spans="1:1" x14ac:dyDescent="0.25">
      <c r="A891" t="s">
        <v>2227</v>
      </c>
    </row>
    <row r="892" spans="1:1" x14ac:dyDescent="0.25">
      <c r="A892" t="s">
        <v>2228</v>
      </c>
    </row>
    <row r="893" spans="1:1" x14ac:dyDescent="0.25">
      <c r="A893" t="s">
        <v>1945</v>
      </c>
    </row>
    <row r="895" spans="1:1" x14ac:dyDescent="0.25">
      <c r="A895" t="s">
        <v>1775</v>
      </c>
    </row>
    <row r="897" spans="1:2" x14ac:dyDescent="0.25">
      <c r="A897" t="s">
        <v>1929</v>
      </c>
    </row>
    <row r="898" spans="1:2" x14ac:dyDescent="0.25">
      <c r="A898" t="s">
        <v>2229</v>
      </c>
    </row>
    <row r="899" spans="1:2" x14ac:dyDescent="0.25">
      <c r="A899" t="s">
        <v>1947</v>
      </c>
    </row>
    <row r="900" spans="1:2" x14ac:dyDescent="0.25">
      <c r="A900" t="s">
        <v>2097</v>
      </c>
    </row>
    <row r="901" spans="1:2" x14ac:dyDescent="0.25">
      <c r="A901" t="s">
        <v>1931</v>
      </c>
    </row>
    <row r="902" spans="1:2" x14ac:dyDescent="0.25">
      <c r="A902" t="s">
        <v>2230</v>
      </c>
    </row>
    <row r="903" spans="1:2" x14ac:dyDescent="0.25">
      <c r="A903" t="s">
        <v>1934</v>
      </c>
    </row>
    <row r="904" spans="1:2" x14ac:dyDescent="0.25">
      <c r="A904" t="s">
        <v>2099</v>
      </c>
    </row>
    <row r="905" spans="1:2" x14ac:dyDescent="0.25">
      <c r="A905" t="s">
        <v>2100</v>
      </c>
    </row>
    <row r="906" spans="1:2" x14ac:dyDescent="0.25">
      <c r="A906" t="s">
        <v>2101</v>
      </c>
    </row>
    <row r="908" spans="1:2" x14ac:dyDescent="0.25">
      <c r="A908" t="s">
        <v>2231</v>
      </c>
    </row>
    <row r="909" spans="1:2" x14ac:dyDescent="0.25">
      <c r="B909" t="s">
        <v>2232</v>
      </c>
    </row>
    <row r="910" spans="1:2" x14ac:dyDescent="0.25">
      <c r="A910" t="s">
        <v>1940</v>
      </c>
    </row>
    <row r="911" spans="1:2" x14ac:dyDescent="0.25">
      <c r="B911" t="s">
        <v>2233</v>
      </c>
    </row>
    <row r="912" spans="1:2" x14ac:dyDescent="0.25">
      <c r="A912" t="s">
        <v>1942</v>
      </c>
    </row>
    <row r="914" spans="1:1" x14ac:dyDescent="0.25">
      <c r="A914" t="s">
        <v>2218</v>
      </c>
    </row>
    <row r="915" spans="1:1" x14ac:dyDescent="0.25">
      <c r="A915" t="s">
        <v>2234</v>
      </c>
    </row>
    <row r="916" spans="1:1" x14ac:dyDescent="0.25">
      <c r="A916" t="s">
        <v>2219</v>
      </c>
    </row>
    <row r="917" spans="1:1" x14ac:dyDescent="0.25">
      <c r="A917" t="s">
        <v>2235</v>
      </c>
    </row>
    <row r="918" spans="1:1" x14ac:dyDescent="0.25">
      <c r="A918" t="s">
        <v>2220</v>
      </c>
    </row>
    <row r="919" spans="1:1" x14ac:dyDescent="0.25">
      <c r="A919" t="s">
        <v>2221</v>
      </c>
    </row>
    <row r="920" spans="1:1" x14ac:dyDescent="0.25">
      <c r="A920" t="s">
        <v>2236</v>
      </c>
    </row>
    <row r="921" spans="1:1" x14ac:dyDescent="0.25">
      <c r="A921" t="s">
        <v>2222</v>
      </c>
    </row>
    <row r="922" spans="1:1" x14ac:dyDescent="0.25">
      <c r="A922" t="s">
        <v>2237</v>
      </c>
    </row>
    <row r="923" spans="1:1" x14ac:dyDescent="0.25">
      <c r="A923" t="s">
        <v>2223</v>
      </c>
    </row>
    <row r="924" spans="1:1" x14ac:dyDescent="0.25">
      <c r="A924" t="s">
        <v>2224</v>
      </c>
    </row>
    <row r="925" spans="1:1" x14ac:dyDescent="0.25">
      <c r="A925" t="s">
        <v>2238</v>
      </c>
    </row>
    <row r="926" spans="1:1" x14ac:dyDescent="0.25">
      <c r="A926" t="s">
        <v>2239</v>
      </c>
    </row>
    <row r="927" spans="1:1" x14ac:dyDescent="0.25">
      <c r="A927" t="s">
        <v>2225</v>
      </c>
    </row>
    <row r="928" spans="1:1" x14ac:dyDescent="0.25">
      <c r="A928" t="s">
        <v>2240</v>
      </c>
    </row>
    <row r="929" spans="1:1" x14ac:dyDescent="0.25">
      <c r="A929" t="s">
        <v>2241</v>
      </c>
    </row>
    <row r="930" spans="1:1" x14ac:dyDescent="0.25">
      <c r="A930" t="s">
        <v>2226</v>
      </c>
    </row>
    <row r="931" spans="1:1" x14ac:dyDescent="0.25">
      <c r="A931" t="s">
        <v>2227</v>
      </c>
    </row>
    <row r="932" spans="1:1" x14ac:dyDescent="0.25">
      <c r="A932" t="s">
        <v>2242</v>
      </c>
    </row>
    <row r="933" spans="1:1" x14ac:dyDescent="0.25">
      <c r="A933" t="s">
        <v>2243</v>
      </c>
    </row>
    <row r="934" spans="1:1" x14ac:dyDescent="0.25">
      <c r="A934" t="s">
        <v>2244</v>
      </c>
    </row>
    <row r="935" spans="1:1" x14ac:dyDescent="0.25">
      <c r="A935" t="s">
        <v>2228</v>
      </c>
    </row>
    <row r="936" spans="1:1" x14ac:dyDescent="0.25">
      <c r="A936" t="s">
        <v>1945</v>
      </c>
    </row>
    <row r="938" spans="1:1" x14ac:dyDescent="0.25">
      <c r="A938" t="s">
        <v>1775</v>
      </c>
    </row>
    <row r="940" spans="1:1" x14ac:dyDescent="0.25">
      <c r="A940" t="s">
        <v>2245</v>
      </c>
    </row>
    <row r="941" spans="1:1" x14ac:dyDescent="0.25">
      <c r="A941" t="s">
        <v>2246</v>
      </c>
    </row>
    <row r="942" spans="1:1" x14ac:dyDescent="0.25">
      <c r="A942" t="s">
        <v>2039</v>
      </c>
    </row>
    <row r="943" spans="1:1" x14ac:dyDescent="0.25">
      <c r="A943" t="s">
        <v>2247</v>
      </c>
    </row>
    <row r="944" spans="1:1" x14ac:dyDescent="0.25">
      <c r="A944" t="s">
        <v>2248</v>
      </c>
    </row>
    <row r="945" spans="1:1" x14ac:dyDescent="0.25">
      <c r="A945" t="s">
        <v>2249</v>
      </c>
    </row>
    <row r="946" spans="1:1" x14ac:dyDescent="0.25">
      <c r="A946" t="s">
        <v>2250</v>
      </c>
    </row>
    <row r="948" spans="1:1" x14ac:dyDescent="0.25">
      <c r="A948" t="s">
        <v>1775</v>
      </c>
    </row>
    <row r="950" spans="1:1" x14ac:dyDescent="0.25">
      <c r="A950" t="s">
        <v>1929</v>
      </c>
    </row>
    <row r="951" spans="1:1" x14ac:dyDescent="0.25">
      <c r="A951" t="s">
        <v>2251</v>
      </c>
    </row>
    <row r="952" spans="1:1" x14ac:dyDescent="0.25">
      <c r="A952" t="s">
        <v>1931</v>
      </c>
    </row>
    <row r="953" spans="1:1" x14ac:dyDescent="0.25">
      <c r="A953" t="s">
        <v>2252</v>
      </c>
    </row>
    <row r="954" spans="1:1" x14ac:dyDescent="0.25">
      <c r="A954" t="s">
        <v>1934</v>
      </c>
    </row>
    <row r="955" spans="1:1" x14ac:dyDescent="0.25">
      <c r="A955" t="s">
        <v>2253</v>
      </c>
    </row>
    <row r="956" spans="1:1" x14ac:dyDescent="0.25">
      <c r="A956" t="s">
        <v>2254</v>
      </c>
    </row>
    <row r="957" spans="1:1" x14ac:dyDescent="0.25">
      <c r="A957" t="s">
        <v>2255</v>
      </c>
    </row>
    <row r="958" spans="1:1" x14ac:dyDescent="0.25">
      <c r="A958" t="s">
        <v>2256</v>
      </c>
    </row>
    <row r="959" spans="1:1" x14ac:dyDescent="0.25">
      <c r="A959" t="s">
        <v>2257</v>
      </c>
    </row>
    <row r="960" spans="1:1" x14ac:dyDescent="0.25">
      <c r="A960" t="s">
        <v>1942</v>
      </c>
    </row>
    <row r="962" spans="1:1" x14ac:dyDescent="0.25">
      <c r="A962" t="s">
        <v>2258</v>
      </c>
    </row>
    <row r="963" spans="1:1" x14ac:dyDescent="0.25">
      <c r="A963" t="s">
        <v>2259</v>
      </c>
    </row>
    <row r="964" spans="1:1" x14ac:dyDescent="0.25">
      <c r="A964" t="s">
        <v>2260</v>
      </c>
    </row>
    <row r="965" spans="1:1" x14ac:dyDescent="0.25">
      <c r="A965" t="s">
        <v>2261</v>
      </c>
    </row>
    <row r="966" spans="1:1" x14ac:dyDescent="0.25">
      <c r="A966" t="s">
        <v>2262</v>
      </c>
    </row>
    <row r="967" spans="1:1" x14ac:dyDescent="0.25">
      <c r="A967" t="s">
        <v>1945</v>
      </c>
    </row>
    <row r="969" spans="1:1" x14ac:dyDescent="0.25">
      <c r="A969" t="s">
        <v>1775</v>
      </c>
    </row>
    <row r="971" spans="1:1" x14ac:dyDescent="0.25">
      <c r="A971" t="s">
        <v>2263</v>
      </c>
    </row>
    <row r="973" spans="1:1" x14ac:dyDescent="0.25">
      <c r="A973" t="s">
        <v>1775</v>
      </c>
    </row>
    <row r="975" spans="1:1" x14ac:dyDescent="0.25">
      <c r="A975" t="s">
        <v>1929</v>
      </c>
    </row>
    <row r="976" spans="1:1" x14ac:dyDescent="0.25">
      <c r="A976" t="s">
        <v>2264</v>
      </c>
    </row>
    <row r="977" spans="1:1" x14ac:dyDescent="0.25">
      <c r="A977" t="s">
        <v>2265</v>
      </c>
    </row>
    <row r="978" spans="1:1" x14ac:dyDescent="0.25">
      <c r="A978" t="s">
        <v>2266</v>
      </c>
    </row>
    <row r="979" spans="1:1" x14ac:dyDescent="0.25">
      <c r="A979" t="s">
        <v>2267</v>
      </c>
    </row>
    <row r="980" spans="1:1" x14ac:dyDescent="0.25">
      <c r="A980" t="s">
        <v>2268</v>
      </c>
    </row>
    <row r="981" spans="1:1" x14ac:dyDescent="0.25">
      <c r="A981" t="s">
        <v>2269</v>
      </c>
    </row>
    <row r="982" spans="1:1" x14ac:dyDescent="0.25">
      <c r="A982" t="s">
        <v>1945</v>
      </c>
    </row>
    <row r="984" spans="1:1" x14ac:dyDescent="0.25">
      <c r="A984" t="s">
        <v>1775</v>
      </c>
    </row>
    <row r="986" spans="1:1" x14ac:dyDescent="0.25">
      <c r="A986" t="s">
        <v>2270</v>
      </c>
    </row>
    <row r="988" spans="1:1" x14ac:dyDescent="0.25">
      <c r="A988" t="s">
        <v>1775</v>
      </c>
    </row>
    <row r="990" spans="1:1" x14ac:dyDescent="0.25">
      <c r="A990" t="s">
        <v>1929</v>
      </c>
    </row>
    <row r="991" spans="1:1" x14ac:dyDescent="0.25">
      <c r="A991" t="s">
        <v>2271</v>
      </c>
    </row>
    <row r="992" spans="1:1" x14ac:dyDescent="0.25">
      <c r="A992" t="s">
        <v>2272</v>
      </c>
    </row>
    <row r="993" spans="1:1" x14ac:dyDescent="0.25">
      <c r="A993" t="s">
        <v>2273</v>
      </c>
    </row>
    <row r="994" spans="1:1" x14ac:dyDescent="0.25">
      <c r="A994" t="s">
        <v>2274</v>
      </c>
    </row>
    <row r="995" spans="1:1" x14ac:dyDescent="0.25">
      <c r="A995" t="s">
        <v>2275</v>
      </c>
    </row>
    <row r="996" spans="1:1" x14ac:dyDescent="0.25">
      <c r="A996" t="s">
        <v>2276</v>
      </c>
    </row>
    <row r="997" spans="1:1" x14ac:dyDescent="0.25">
      <c r="A997" t="s">
        <v>1945</v>
      </c>
    </row>
    <row r="999" spans="1:1" x14ac:dyDescent="0.25">
      <c r="A999" t="s">
        <v>1775</v>
      </c>
    </row>
    <row r="1001" spans="1:1" x14ac:dyDescent="0.25">
      <c r="A1001" t="s">
        <v>2277</v>
      </c>
    </row>
    <row r="1002" spans="1:1" x14ac:dyDescent="0.25">
      <c r="A1002" t="s">
        <v>2278</v>
      </c>
    </row>
    <row r="1003" spans="1:1" x14ac:dyDescent="0.25">
      <c r="A1003" t="s">
        <v>2279</v>
      </c>
    </row>
    <row r="1004" spans="1:1" x14ac:dyDescent="0.25">
      <c r="A1004" t="s">
        <v>1926</v>
      </c>
    </row>
    <row r="1006" spans="1:1" x14ac:dyDescent="0.25">
      <c r="A1006" t="s">
        <v>1775</v>
      </c>
    </row>
    <row r="1008" spans="1:1" x14ac:dyDescent="0.25">
      <c r="A1008" t="s">
        <v>2280</v>
      </c>
    </row>
    <row r="1010" spans="1:1" x14ac:dyDescent="0.25">
      <c r="A1010" t="s">
        <v>1775</v>
      </c>
    </row>
    <row r="1012" spans="1:1" x14ac:dyDescent="0.25">
      <c r="A1012" t="s">
        <v>1929</v>
      </c>
    </row>
    <row r="1013" spans="1:1" x14ac:dyDescent="0.25">
      <c r="A1013" t="s">
        <v>2281</v>
      </c>
    </row>
    <row r="1014" spans="1:1" x14ac:dyDescent="0.25">
      <c r="A1014" t="s">
        <v>2282</v>
      </c>
    </row>
    <row r="1015" spans="1:1" x14ac:dyDescent="0.25">
      <c r="A1015" t="s">
        <v>2283</v>
      </c>
    </row>
    <row r="1016" spans="1:1" x14ac:dyDescent="0.25">
      <c r="A1016" t="s">
        <v>2284</v>
      </c>
    </row>
    <row r="1017" spans="1:1" x14ac:dyDescent="0.25">
      <c r="A1017" t="s">
        <v>2285</v>
      </c>
    </row>
    <row r="1018" spans="1:1" x14ac:dyDescent="0.25">
      <c r="A1018" t="s">
        <v>2286</v>
      </c>
    </row>
    <row r="1019" spans="1:1" x14ac:dyDescent="0.25">
      <c r="A1019" t="s">
        <v>1945</v>
      </c>
    </row>
    <row r="1021" spans="1:1" x14ac:dyDescent="0.25">
      <c r="A1021" t="s">
        <v>1775</v>
      </c>
    </row>
    <row r="1023" spans="1:1" x14ac:dyDescent="0.25">
      <c r="A1023" t="s">
        <v>1929</v>
      </c>
    </row>
    <row r="1024" spans="1:1" x14ac:dyDescent="0.25">
      <c r="A1024" t="s">
        <v>2287</v>
      </c>
    </row>
    <row r="1025" spans="1:1" x14ac:dyDescent="0.25">
      <c r="A1025" t="s">
        <v>2288</v>
      </c>
    </row>
    <row r="1026" spans="1:1" x14ac:dyDescent="0.25">
      <c r="A1026" t="s">
        <v>2289</v>
      </c>
    </row>
    <row r="1027" spans="1:1" x14ac:dyDescent="0.25">
      <c r="A1027" t="s">
        <v>2290</v>
      </c>
    </row>
    <row r="1028" spans="1:1" x14ac:dyDescent="0.25">
      <c r="A1028" t="s">
        <v>2291</v>
      </c>
    </row>
    <row r="1029" spans="1:1" x14ac:dyDescent="0.25">
      <c r="A1029" t="s">
        <v>1945</v>
      </c>
    </row>
    <row r="1031" spans="1:1" x14ac:dyDescent="0.25">
      <c r="A1031" t="s">
        <v>1775</v>
      </c>
    </row>
    <row r="1033" spans="1:1" x14ac:dyDescent="0.25">
      <c r="A1033" t="s">
        <v>1929</v>
      </c>
    </row>
    <row r="1034" spans="1:1" x14ac:dyDescent="0.25">
      <c r="A1034" t="s">
        <v>2292</v>
      </c>
    </row>
    <row r="1035" spans="1:1" x14ac:dyDescent="0.25">
      <c r="A1035" t="s">
        <v>2293</v>
      </c>
    </row>
    <row r="1036" spans="1:1" x14ac:dyDescent="0.25">
      <c r="A1036" t="s">
        <v>2294</v>
      </c>
    </row>
    <row r="1037" spans="1:1" x14ac:dyDescent="0.25">
      <c r="A1037" t="s">
        <v>2295</v>
      </c>
    </row>
    <row r="1038" spans="1:1" x14ac:dyDescent="0.25">
      <c r="A1038" t="s">
        <v>2296</v>
      </c>
    </row>
    <row r="1039" spans="1:1" x14ac:dyDescent="0.25">
      <c r="A1039" t="s">
        <v>2297</v>
      </c>
    </row>
    <row r="1040" spans="1:1" x14ac:dyDescent="0.25">
      <c r="A1040" t="s">
        <v>1945</v>
      </c>
    </row>
    <row r="1042" spans="1:1" x14ac:dyDescent="0.25">
      <c r="A1042" t="s">
        <v>1775</v>
      </c>
    </row>
    <row r="1044" spans="1:1" x14ac:dyDescent="0.25">
      <c r="A1044" t="s">
        <v>2298</v>
      </c>
    </row>
    <row r="1045" spans="1:1" x14ac:dyDescent="0.25">
      <c r="A1045" t="s">
        <v>2299</v>
      </c>
    </row>
    <row r="1046" spans="1:1" x14ac:dyDescent="0.25">
      <c r="A1046" t="s">
        <v>2300</v>
      </c>
    </row>
    <row r="1047" spans="1:1" x14ac:dyDescent="0.25">
      <c r="A1047" t="s">
        <v>1926</v>
      </c>
    </row>
    <row r="1049" spans="1:1" x14ac:dyDescent="0.25">
      <c r="A1049" t="s">
        <v>1775</v>
      </c>
    </row>
    <row r="1051" spans="1:1" x14ac:dyDescent="0.25">
      <c r="A1051" t="s">
        <v>2301</v>
      </c>
    </row>
    <row r="1053" spans="1:1" x14ac:dyDescent="0.25">
      <c r="A1053" t="s">
        <v>1775</v>
      </c>
    </row>
    <row r="1055" spans="1:1" x14ac:dyDescent="0.25">
      <c r="A1055" t="s">
        <v>1927</v>
      </c>
    </row>
    <row r="1056" spans="1:1" x14ac:dyDescent="0.25">
      <c r="A1056" t="s">
        <v>2302</v>
      </c>
    </row>
    <row r="1057" spans="1:2" x14ac:dyDescent="0.25">
      <c r="B1057" t="s">
        <v>2303</v>
      </c>
    </row>
    <row r="1058" spans="1:2" x14ac:dyDescent="0.25">
      <c r="A1058" t="s">
        <v>2304</v>
      </c>
    </row>
    <row r="1059" spans="1:2" x14ac:dyDescent="0.25">
      <c r="B1059" t="s">
        <v>2305</v>
      </c>
    </row>
    <row r="1060" spans="1:2" x14ac:dyDescent="0.25">
      <c r="A1060" t="s">
        <v>1926</v>
      </c>
    </row>
    <row r="1062" spans="1:2" x14ac:dyDescent="0.25">
      <c r="A1062" t="s">
        <v>1775</v>
      </c>
    </row>
    <row r="1064" spans="1:2" x14ac:dyDescent="0.25">
      <c r="A1064" t="s">
        <v>1929</v>
      </c>
    </row>
    <row r="1065" spans="1:2" x14ac:dyDescent="0.25">
      <c r="A1065" t="s">
        <v>2306</v>
      </c>
    </row>
    <row r="1066" spans="1:2" x14ac:dyDescent="0.25">
      <c r="A1066" t="s">
        <v>1947</v>
      </c>
    </row>
    <row r="1067" spans="1:2" x14ac:dyDescent="0.25">
      <c r="A1067" t="s">
        <v>1931</v>
      </c>
    </row>
    <row r="1068" spans="1:2" x14ac:dyDescent="0.25">
      <c r="A1068" t="s">
        <v>2307</v>
      </c>
    </row>
    <row r="1069" spans="1:2" x14ac:dyDescent="0.25">
      <c r="A1069" t="s">
        <v>2308</v>
      </c>
    </row>
    <row r="1070" spans="1:2" x14ac:dyDescent="0.25">
      <c r="A1070" t="s">
        <v>2309</v>
      </c>
    </row>
    <row r="1071" spans="1:2" x14ac:dyDescent="0.25">
      <c r="A1071" t="s">
        <v>2310</v>
      </c>
    </row>
    <row r="1072" spans="1:2" x14ac:dyDescent="0.25">
      <c r="A1072" t="s">
        <v>1945</v>
      </c>
    </row>
    <row r="1074" spans="1:1" x14ac:dyDescent="0.25">
      <c r="A1074" t="s">
        <v>1775</v>
      </c>
    </row>
    <row r="1076" spans="1:1" x14ac:dyDescent="0.25">
      <c r="A1076" t="s">
        <v>2311</v>
      </c>
    </row>
    <row r="1078" spans="1:1" x14ac:dyDescent="0.25">
      <c r="A1078" t="s">
        <v>1775</v>
      </c>
    </row>
    <row r="1080" spans="1:1" x14ac:dyDescent="0.25">
      <c r="A1080" t="s">
        <v>1929</v>
      </c>
    </row>
    <row r="1081" spans="1:1" x14ac:dyDescent="0.25">
      <c r="A1081" t="s">
        <v>2312</v>
      </c>
    </row>
    <row r="1082" spans="1:1" x14ac:dyDescent="0.25">
      <c r="A1082" t="s">
        <v>2313</v>
      </c>
    </row>
    <row r="1083" spans="1:1" x14ac:dyDescent="0.25">
      <c r="A1083" t="s">
        <v>2314</v>
      </c>
    </row>
    <row r="1084" spans="1:1" x14ac:dyDescent="0.25">
      <c r="A1084" t="s">
        <v>2315</v>
      </c>
    </row>
    <row r="1085" spans="1:1" x14ac:dyDescent="0.25">
      <c r="A1085" t="s">
        <v>2316</v>
      </c>
    </row>
    <row r="1086" spans="1:1" x14ac:dyDescent="0.25">
      <c r="A1086" t="s">
        <v>2317</v>
      </c>
    </row>
    <row r="1087" spans="1:1" x14ac:dyDescent="0.25">
      <c r="A1087" t="s">
        <v>2318</v>
      </c>
    </row>
    <row r="1088" spans="1:1" x14ac:dyDescent="0.25">
      <c r="A1088" t="s">
        <v>2319</v>
      </c>
    </row>
    <row r="1089" spans="1:1" x14ac:dyDescent="0.25">
      <c r="A1089" t="s">
        <v>2320</v>
      </c>
    </row>
    <row r="1090" spans="1:1" x14ac:dyDescent="0.25">
      <c r="A1090" t="s">
        <v>2321</v>
      </c>
    </row>
    <row r="1091" spans="1:1" x14ac:dyDescent="0.25">
      <c r="A1091" t="s">
        <v>2322</v>
      </c>
    </row>
    <row r="1092" spans="1:1" x14ac:dyDescent="0.25">
      <c r="A1092" t="s">
        <v>2323</v>
      </c>
    </row>
    <row r="1093" spans="1:1" x14ac:dyDescent="0.25">
      <c r="A1093" t="s">
        <v>2324</v>
      </c>
    </row>
    <row r="1094" spans="1:1" x14ac:dyDescent="0.25">
      <c r="A1094" t="s">
        <v>1945</v>
      </c>
    </row>
    <row r="1096" spans="1:1" x14ac:dyDescent="0.25">
      <c r="A1096" t="s">
        <v>1775</v>
      </c>
    </row>
    <row r="1098" spans="1:1" x14ac:dyDescent="0.25">
      <c r="A1098" t="s">
        <v>1929</v>
      </c>
    </row>
    <row r="1099" spans="1:1" x14ac:dyDescent="0.25">
      <c r="A1099" t="s">
        <v>2325</v>
      </c>
    </row>
    <row r="1100" spans="1:1" x14ac:dyDescent="0.25">
      <c r="A1100" t="s">
        <v>2326</v>
      </c>
    </row>
    <row r="1101" spans="1:1" x14ac:dyDescent="0.25">
      <c r="A1101" t="s">
        <v>2313</v>
      </c>
    </row>
    <row r="1102" spans="1:1" x14ac:dyDescent="0.25">
      <c r="A1102" t="s">
        <v>2327</v>
      </c>
    </row>
    <row r="1103" spans="1:1" x14ac:dyDescent="0.25">
      <c r="A1103" t="s">
        <v>2328</v>
      </c>
    </row>
    <row r="1104" spans="1:1" x14ac:dyDescent="0.25">
      <c r="A1104" t="s">
        <v>2329</v>
      </c>
    </row>
    <row r="1105" spans="1:1" x14ac:dyDescent="0.25">
      <c r="A1105" t="s">
        <v>2330</v>
      </c>
    </row>
    <row r="1106" spans="1:1" x14ac:dyDescent="0.25">
      <c r="A1106" t="s">
        <v>2318</v>
      </c>
    </row>
    <row r="1107" spans="1:1" x14ac:dyDescent="0.25">
      <c r="A1107" t="s">
        <v>2331</v>
      </c>
    </row>
    <row r="1108" spans="1:1" x14ac:dyDescent="0.25">
      <c r="A1108" t="s">
        <v>2332</v>
      </c>
    </row>
    <row r="1109" spans="1:1" x14ac:dyDescent="0.25">
      <c r="A1109" t="s">
        <v>2333</v>
      </c>
    </row>
    <row r="1110" spans="1:1" x14ac:dyDescent="0.25">
      <c r="A1110" t="s">
        <v>2334</v>
      </c>
    </row>
    <row r="1111" spans="1:1" x14ac:dyDescent="0.25">
      <c r="A1111" t="s">
        <v>2335</v>
      </c>
    </row>
    <row r="1112" spans="1:1" x14ac:dyDescent="0.25">
      <c r="A1112" t="s">
        <v>2336</v>
      </c>
    </row>
    <row r="1113" spans="1:1" x14ac:dyDescent="0.25">
      <c r="A1113" t="s">
        <v>1945</v>
      </c>
    </row>
    <row r="1115" spans="1:1" x14ac:dyDescent="0.25">
      <c r="A1115" t="s">
        <v>1775</v>
      </c>
    </row>
    <row r="1117" spans="1:1" x14ac:dyDescent="0.25">
      <c r="A1117" t="s">
        <v>1929</v>
      </c>
    </row>
    <row r="1118" spans="1:1" x14ac:dyDescent="0.25">
      <c r="A1118" t="s">
        <v>2337</v>
      </c>
    </row>
    <row r="1119" spans="1:1" x14ac:dyDescent="0.25">
      <c r="A1119" t="s">
        <v>2338</v>
      </c>
    </row>
    <row r="1120" spans="1:1" x14ac:dyDescent="0.25">
      <c r="A1120" t="s">
        <v>2339</v>
      </c>
    </row>
    <row r="1121" spans="1:1" x14ac:dyDescent="0.25">
      <c r="A1121" t="s">
        <v>2340</v>
      </c>
    </row>
    <row r="1122" spans="1:1" x14ac:dyDescent="0.25">
      <c r="A1122" t="s">
        <v>2341</v>
      </c>
    </row>
    <row r="1123" spans="1:1" x14ac:dyDescent="0.25">
      <c r="A1123" t="s">
        <v>2342</v>
      </c>
    </row>
    <row r="1124" spans="1:1" x14ac:dyDescent="0.25">
      <c r="A1124" t="s">
        <v>2343</v>
      </c>
    </row>
    <row r="1125" spans="1:1" x14ac:dyDescent="0.25">
      <c r="A1125" t="s">
        <v>2344</v>
      </c>
    </row>
    <row r="1126" spans="1:1" x14ac:dyDescent="0.25">
      <c r="A1126" t="s">
        <v>2345</v>
      </c>
    </row>
    <row r="1127" spans="1:1" x14ac:dyDescent="0.25">
      <c r="A1127" t="s">
        <v>2346</v>
      </c>
    </row>
    <row r="1128" spans="1:1" x14ac:dyDescent="0.25">
      <c r="A1128" t="s">
        <v>2347</v>
      </c>
    </row>
    <row r="1129" spans="1:1" x14ac:dyDescent="0.25">
      <c r="A1129" t="s">
        <v>2348</v>
      </c>
    </row>
    <row r="1130" spans="1:1" x14ac:dyDescent="0.25">
      <c r="A1130" t="s">
        <v>2349</v>
      </c>
    </row>
    <row r="1131" spans="1:1" x14ac:dyDescent="0.25">
      <c r="A1131" t="s">
        <v>2350</v>
      </c>
    </row>
    <row r="1132" spans="1:1" x14ac:dyDescent="0.25">
      <c r="A1132" t="s">
        <v>1945</v>
      </c>
    </row>
    <row r="1134" spans="1:1" x14ac:dyDescent="0.25">
      <c r="A1134" t="s">
        <v>1775</v>
      </c>
    </row>
    <row r="1136" spans="1:1" x14ac:dyDescent="0.25">
      <c r="A1136" t="s">
        <v>1929</v>
      </c>
    </row>
    <row r="1137" spans="1:1" x14ac:dyDescent="0.25">
      <c r="A1137" t="s">
        <v>2351</v>
      </c>
    </row>
    <row r="1138" spans="1:1" x14ac:dyDescent="0.25">
      <c r="A1138" t="s">
        <v>2352</v>
      </c>
    </row>
    <row r="1139" spans="1:1" x14ac:dyDescent="0.25">
      <c r="A1139" t="s">
        <v>2353</v>
      </c>
    </row>
    <row r="1140" spans="1:1" x14ac:dyDescent="0.25">
      <c r="A1140" t="s">
        <v>2354</v>
      </c>
    </row>
    <row r="1141" spans="1:1" x14ac:dyDescent="0.25">
      <c r="A1141" t="s">
        <v>2355</v>
      </c>
    </row>
    <row r="1142" spans="1:1" x14ac:dyDescent="0.25">
      <c r="A1142" t="s">
        <v>2356</v>
      </c>
    </row>
    <row r="1143" spans="1:1" x14ac:dyDescent="0.25">
      <c r="A1143" t="s">
        <v>2357</v>
      </c>
    </row>
    <row r="1144" spans="1:1" x14ac:dyDescent="0.25">
      <c r="A1144" t="s">
        <v>2358</v>
      </c>
    </row>
    <row r="1145" spans="1:1" x14ac:dyDescent="0.25">
      <c r="A1145" t="s">
        <v>2359</v>
      </c>
    </row>
    <row r="1146" spans="1:1" x14ac:dyDescent="0.25">
      <c r="A1146" t="s">
        <v>2360</v>
      </c>
    </row>
    <row r="1147" spans="1:1" x14ac:dyDescent="0.25">
      <c r="A1147" t="s">
        <v>2361</v>
      </c>
    </row>
    <row r="1148" spans="1:1" x14ac:dyDescent="0.25">
      <c r="A1148" t="s">
        <v>2362</v>
      </c>
    </row>
    <row r="1149" spans="1:1" x14ac:dyDescent="0.25">
      <c r="A1149" t="s">
        <v>2363</v>
      </c>
    </row>
    <row r="1150" spans="1:1" x14ac:dyDescent="0.25">
      <c r="A1150" t="s">
        <v>2364</v>
      </c>
    </row>
    <row r="1151" spans="1:1" x14ac:dyDescent="0.25">
      <c r="A1151" t="s">
        <v>2365</v>
      </c>
    </row>
    <row r="1152" spans="1:1" x14ac:dyDescent="0.25">
      <c r="A1152" t="s">
        <v>2366</v>
      </c>
    </row>
    <row r="1153" spans="1:1" x14ac:dyDescent="0.25">
      <c r="A1153" t="s">
        <v>1945</v>
      </c>
    </row>
    <row r="1155" spans="1:1" x14ac:dyDescent="0.25">
      <c r="A1155" t="s">
        <v>1775</v>
      </c>
    </row>
    <row r="1157" spans="1:1" x14ac:dyDescent="0.25">
      <c r="A1157" t="s">
        <v>2367</v>
      </c>
    </row>
    <row r="1158" spans="1:1" x14ac:dyDescent="0.25">
      <c r="A1158" t="s">
        <v>2368</v>
      </c>
    </row>
    <row r="1161" spans="1:1" x14ac:dyDescent="0.25">
      <c r="A1161" t="s">
        <v>2369</v>
      </c>
    </row>
    <row r="1163" spans="1:1" x14ac:dyDescent="0.25">
      <c r="A1163" t="s">
        <v>2370</v>
      </c>
    </row>
    <row r="1164" spans="1:1" x14ac:dyDescent="0.25">
      <c r="A1164" t="s">
        <v>2371</v>
      </c>
    </row>
    <row r="1165" spans="1:1" x14ac:dyDescent="0.25">
      <c r="A1165" t="s">
        <v>2372</v>
      </c>
    </row>
    <row r="1167" spans="1:1" x14ac:dyDescent="0.25">
      <c r="A1167" t="s">
        <v>2373</v>
      </c>
    </row>
    <row r="1168" spans="1:1" x14ac:dyDescent="0.25">
      <c r="A1168" t="s">
        <v>2374</v>
      </c>
    </row>
    <row r="1169" spans="1:1" x14ac:dyDescent="0.25">
      <c r="A1169" t="s">
        <v>2375</v>
      </c>
    </row>
    <row r="1170" spans="1:1" x14ac:dyDescent="0.25">
      <c r="A1170" t="s">
        <v>2376</v>
      </c>
    </row>
    <row r="1172" spans="1:1" x14ac:dyDescent="0.25">
      <c r="A1172" t="s">
        <v>2370</v>
      </c>
    </row>
    <row r="1173" spans="1:1" x14ac:dyDescent="0.25">
      <c r="A1173" t="s">
        <v>2377</v>
      </c>
    </row>
    <row r="1174" spans="1:1" x14ac:dyDescent="0.25">
      <c r="A1174" t="s">
        <v>2378</v>
      </c>
    </row>
    <row r="1175" spans="1:1" x14ac:dyDescent="0.25">
      <c r="A1175" t="s">
        <v>2372</v>
      </c>
    </row>
    <row r="1177" spans="1:1" x14ac:dyDescent="0.25">
      <c r="A1177" t="s">
        <v>2370</v>
      </c>
    </row>
    <row r="1178" spans="1:1" x14ac:dyDescent="0.25">
      <c r="A1178" t="s">
        <v>2379</v>
      </c>
    </row>
    <row r="1179" spans="1:1" x14ac:dyDescent="0.25">
      <c r="A1179" t="s">
        <v>2380</v>
      </c>
    </row>
    <row r="1181" spans="1:1" x14ac:dyDescent="0.25">
      <c r="A1181" t="s">
        <v>1775</v>
      </c>
    </row>
    <row r="1183" spans="1:1" x14ac:dyDescent="0.25">
      <c r="A1183" t="s">
        <v>2037</v>
      </c>
    </row>
    <row r="1184" spans="1:1" x14ac:dyDescent="0.25">
      <c r="A1184" t="s">
        <v>2381</v>
      </c>
    </row>
    <row r="1185" spans="1:1" x14ac:dyDescent="0.25">
      <c r="A1185" t="s">
        <v>2382</v>
      </c>
    </row>
    <row r="1186" spans="1:1" x14ac:dyDescent="0.25">
      <c r="A1186" t="s">
        <v>1931</v>
      </c>
    </row>
    <row r="1187" spans="1:1" x14ac:dyDescent="0.25">
      <c r="A1187" t="s">
        <v>2383</v>
      </c>
    </row>
    <row r="1188" spans="1:1" x14ac:dyDescent="0.25">
      <c r="A1188" t="s">
        <v>1934</v>
      </c>
    </row>
    <row r="1189" spans="1:1" x14ac:dyDescent="0.25">
      <c r="A1189" t="s">
        <v>2384</v>
      </c>
    </row>
    <row r="1190" spans="1:1" x14ac:dyDescent="0.25">
      <c r="A1190" t="s">
        <v>2385</v>
      </c>
    </row>
    <row r="1191" spans="1:1" x14ac:dyDescent="0.25">
      <c r="A1191" t="s">
        <v>2386</v>
      </c>
    </row>
    <row r="1192" spans="1:1" x14ac:dyDescent="0.25">
      <c r="A1192" t="s">
        <v>2387</v>
      </c>
    </row>
    <row r="1193" spans="1:1" x14ac:dyDescent="0.25">
      <c r="A1193" t="s">
        <v>2388</v>
      </c>
    </row>
    <row r="1194" spans="1:1" x14ac:dyDescent="0.25">
      <c r="A1194" t="s">
        <v>2389</v>
      </c>
    </row>
    <row r="1195" spans="1:1" x14ac:dyDescent="0.25">
      <c r="A1195" t="s">
        <v>2390</v>
      </c>
    </row>
    <row r="1196" spans="1:1" x14ac:dyDescent="0.25">
      <c r="A1196" t="s">
        <v>2391</v>
      </c>
    </row>
    <row r="1197" spans="1:1" x14ac:dyDescent="0.25">
      <c r="A1197" t="s">
        <v>2392</v>
      </c>
    </row>
    <row r="1198" spans="1:1" x14ac:dyDescent="0.25">
      <c r="A1198" t="s">
        <v>2393</v>
      </c>
    </row>
    <row r="1199" spans="1:1" x14ac:dyDescent="0.25">
      <c r="A1199" t="s">
        <v>2394</v>
      </c>
    </row>
    <row r="1200" spans="1:1" x14ac:dyDescent="0.25">
      <c r="A1200" t="s">
        <v>2395</v>
      </c>
    </row>
    <row r="1201" spans="1:1" x14ac:dyDescent="0.25">
      <c r="A1201" t="s">
        <v>2396</v>
      </c>
    </row>
    <row r="1202" spans="1:1" x14ac:dyDescent="0.25">
      <c r="A1202" t="s">
        <v>1942</v>
      </c>
    </row>
    <row r="1204" spans="1:1" x14ac:dyDescent="0.25">
      <c r="A1204" t="s">
        <v>2397</v>
      </c>
    </row>
    <row r="1205" spans="1:1" x14ac:dyDescent="0.25">
      <c r="A1205" t="s">
        <v>2398</v>
      </c>
    </row>
    <row r="1206" spans="1:1" x14ac:dyDescent="0.25">
      <c r="A1206" t="s">
        <v>2399</v>
      </c>
    </row>
    <row r="1207" spans="1:1" x14ac:dyDescent="0.25">
      <c r="A1207" t="s">
        <v>2043</v>
      </c>
    </row>
    <row r="1209" spans="1:1" x14ac:dyDescent="0.25">
      <c r="A1209" t="s">
        <v>1775</v>
      </c>
    </row>
    <row r="1211" spans="1:1" x14ac:dyDescent="0.25">
      <c r="A1211" t="s">
        <v>2037</v>
      </c>
    </row>
    <row r="1212" spans="1:1" x14ac:dyDescent="0.25">
      <c r="A1212" t="s">
        <v>2400</v>
      </c>
    </row>
    <row r="1213" spans="1:1" x14ac:dyDescent="0.25">
      <c r="A1213" t="s">
        <v>2382</v>
      </c>
    </row>
    <row r="1214" spans="1:1" x14ac:dyDescent="0.25">
      <c r="A1214" t="s">
        <v>1931</v>
      </c>
    </row>
    <row r="1215" spans="1:1" x14ac:dyDescent="0.25">
      <c r="A1215" t="s">
        <v>2401</v>
      </c>
    </row>
    <row r="1216" spans="1:1" x14ac:dyDescent="0.25">
      <c r="A1216" t="s">
        <v>1934</v>
      </c>
    </row>
    <row r="1217" spans="1:1" x14ac:dyDescent="0.25">
      <c r="A1217" t="s">
        <v>2402</v>
      </c>
    </row>
    <row r="1218" spans="1:1" x14ac:dyDescent="0.25">
      <c r="A1218" t="s">
        <v>2403</v>
      </c>
    </row>
    <row r="1219" spans="1:1" x14ac:dyDescent="0.25">
      <c r="A1219" t="s">
        <v>2404</v>
      </c>
    </row>
    <row r="1220" spans="1:1" x14ac:dyDescent="0.25">
      <c r="A1220" t="s">
        <v>2405</v>
      </c>
    </row>
    <row r="1221" spans="1:1" x14ac:dyDescent="0.25">
      <c r="A1221" t="s">
        <v>2388</v>
      </c>
    </row>
    <row r="1223" spans="1:1" x14ac:dyDescent="0.25">
      <c r="A1223" t="s">
        <v>2406</v>
      </c>
    </row>
    <row r="1224" spans="1:1" x14ac:dyDescent="0.25">
      <c r="A1224" t="s">
        <v>2407</v>
      </c>
    </row>
    <row r="1225" spans="1:1" x14ac:dyDescent="0.25">
      <c r="A1225" t="s">
        <v>2392</v>
      </c>
    </row>
    <row r="1226" spans="1:1" x14ac:dyDescent="0.25">
      <c r="A1226" t="s">
        <v>2408</v>
      </c>
    </row>
    <row r="1227" spans="1:1" x14ac:dyDescent="0.25">
      <c r="A1227" t="s">
        <v>2409</v>
      </c>
    </row>
    <row r="1228" spans="1:1" x14ac:dyDescent="0.25">
      <c r="A1228" t="s">
        <v>2410</v>
      </c>
    </row>
    <row r="1229" spans="1:1" x14ac:dyDescent="0.25">
      <c r="A1229" t="s">
        <v>2411</v>
      </c>
    </row>
    <row r="1230" spans="1:1" x14ac:dyDescent="0.25">
      <c r="A1230" t="s">
        <v>1942</v>
      </c>
    </row>
    <row r="1232" spans="1:1" x14ac:dyDescent="0.25">
      <c r="A1232" t="s">
        <v>2412</v>
      </c>
    </row>
    <row r="1233" spans="1:1" x14ac:dyDescent="0.25">
      <c r="A1233" t="s">
        <v>2413</v>
      </c>
    </row>
    <row r="1234" spans="1:1" x14ac:dyDescent="0.25">
      <c r="A1234" t="s">
        <v>2043</v>
      </c>
    </row>
    <row r="1236" spans="1:1" x14ac:dyDescent="0.25">
      <c r="A1236" t="s">
        <v>1775</v>
      </c>
    </row>
    <row r="1238" spans="1:1" x14ac:dyDescent="0.25">
      <c r="A1238" t="s">
        <v>2037</v>
      </c>
    </row>
    <row r="1239" spans="1:1" x14ac:dyDescent="0.25">
      <c r="A1239" t="s">
        <v>2414</v>
      </c>
    </row>
    <row r="1240" spans="1:1" x14ac:dyDescent="0.25">
      <c r="A1240" t="s">
        <v>2382</v>
      </c>
    </row>
    <row r="1241" spans="1:1" x14ac:dyDescent="0.25">
      <c r="A1241" t="s">
        <v>1931</v>
      </c>
    </row>
    <row r="1242" spans="1:1" x14ac:dyDescent="0.25">
      <c r="A1242" t="s">
        <v>2415</v>
      </c>
    </row>
    <row r="1243" spans="1:1" x14ac:dyDescent="0.25">
      <c r="A1243" t="s">
        <v>1934</v>
      </c>
    </row>
    <row r="1244" spans="1:1" x14ac:dyDescent="0.25">
      <c r="A1244" t="s">
        <v>2416</v>
      </c>
    </row>
    <row r="1245" spans="1:1" x14ac:dyDescent="0.25">
      <c r="A1245" t="s">
        <v>2417</v>
      </c>
    </row>
    <row r="1246" spans="1:1" x14ac:dyDescent="0.25">
      <c r="A1246" t="s">
        <v>2418</v>
      </c>
    </row>
    <row r="1247" spans="1:1" x14ac:dyDescent="0.25">
      <c r="A1247" t="s">
        <v>2388</v>
      </c>
    </row>
    <row r="1248" spans="1:1" x14ac:dyDescent="0.25">
      <c r="A1248" t="s">
        <v>2389</v>
      </c>
    </row>
    <row r="1249" spans="1:1" x14ac:dyDescent="0.25">
      <c r="A1249" t="s">
        <v>2419</v>
      </c>
    </row>
    <row r="1250" spans="1:1" x14ac:dyDescent="0.25">
      <c r="A1250" t="s">
        <v>2392</v>
      </c>
    </row>
    <row r="1251" spans="1:1" x14ac:dyDescent="0.25">
      <c r="A1251" t="s">
        <v>2420</v>
      </c>
    </row>
    <row r="1252" spans="1:1" x14ac:dyDescent="0.25">
      <c r="A1252" t="s">
        <v>2421</v>
      </c>
    </row>
    <row r="1254" spans="1:1" x14ac:dyDescent="0.25">
      <c r="A1254" t="s">
        <v>2422</v>
      </c>
    </row>
    <row r="1255" spans="1:1" x14ac:dyDescent="0.25">
      <c r="A1255" t="s">
        <v>2423</v>
      </c>
    </row>
    <row r="1257" spans="1:1" x14ac:dyDescent="0.25">
      <c r="A1257" t="s">
        <v>2424</v>
      </c>
    </row>
    <row r="1258" spans="1:1" x14ac:dyDescent="0.25">
      <c r="A1258" t="s">
        <v>2425</v>
      </c>
    </row>
    <row r="1260" spans="1:1" x14ac:dyDescent="0.25">
      <c r="A1260" t="s">
        <v>2426</v>
      </c>
    </row>
    <row r="1261" spans="1:1" x14ac:dyDescent="0.25">
      <c r="A1261" t="s">
        <v>2427</v>
      </c>
    </row>
    <row r="1262" spans="1:1" x14ac:dyDescent="0.25">
      <c r="A1262" t="s">
        <v>1942</v>
      </c>
    </row>
    <row r="1264" spans="1:1" x14ac:dyDescent="0.25">
      <c r="A1264" t="s">
        <v>2397</v>
      </c>
    </row>
    <row r="1265" spans="1:1" x14ac:dyDescent="0.25">
      <c r="A1265" t="s">
        <v>2398</v>
      </c>
    </row>
    <row r="1266" spans="1:1" x14ac:dyDescent="0.25">
      <c r="A1266" t="s">
        <v>2399</v>
      </c>
    </row>
    <row r="1267" spans="1:1" x14ac:dyDescent="0.25">
      <c r="A1267" t="s">
        <v>2043</v>
      </c>
    </row>
    <row r="1269" spans="1:1" x14ac:dyDescent="0.25">
      <c r="A1269" t="s">
        <v>1775</v>
      </c>
    </row>
    <row r="1271" spans="1:1" x14ac:dyDescent="0.25">
      <c r="A1271" t="s">
        <v>2037</v>
      </c>
    </row>
    <row r="1272" spans="1:1" x14ac:dyDescent="0.25">
      <c r="A1272" t="s">
        <v>2428</v>
      </c>
    </row>
    <row r="1273" spans="1:1" x14ac:dyDescent="0.25">
      <c r="A1273" t="s">
        <v>2382</v>
      </c>
    </row>
    <row r="1274" spans="1:1" x14ac:dyDescent="0.25">
      <c r="A1274" t="s">
        <v>1931</v>
      </c>
    </row>
    <row r="1275" spans="1:1" x14ac:dyDescent="0.25">
      <c r="A1275" t="s">
        <v>2429</v>
      </c>
    </row>
    <row r="1276" spans="1:1" x14ac:dyDescent="0.25">
      <c r="A1276" t="s">
        <v>1934</v>
      </c>
    </row>
    <row r="1277" spans="1:1" x14ac:dyDescent="0.25">
      <c r="A1277" t="s">
        <v>2430</v>
      </c>
    </row>
    <row r="1278" spans="1:1" x14ac:dyDescent="0.25">
      <c r="A1278" t="s">
        <v>2431</v>
      </c>
    </row>
    <row r="1279" spans="1:1" x14ac:dyDescent="0.25">
      <c r="A1279" t="s">
        <v>2432</v>
      </c>
    </row>
    <row r="1281" spans="1:1" x14ac:dyDescent="0.25">
      <c r="A1281" t="s">
        <v>2433</v>
      </c>
    </row>
    <row r="1282" spans="1:1" x14ac:dyDescent="0.25">
      <c r="A1282" t="s">
        <v>2434</v>
      </c>
    </row>
    <row r="1283" spans="1:1" x14ac:dyDescent="0.25">
      <c r="A1283" t="s">
        <v>2435</v>
      </c>
    </row>
    <row r="1284" spans="1:1" x14ac:dyDescent="0.25">
      <c r="A1284" t="s">
        <v>1942</v>
      </c>
    </row>
    <row r="1286" spans="1:1" x14ac:dyDescent="0.25">
      <c r="A1286" t="s">
        <v>2355</v>
      </c>
    </row>
    <row r="1287" spans="1:1" x14ac:dyDescent="0.25">
      <c r="A1287" t="s">
        <v>2356</v>
      </c>
    </row>
    <row r="1288" spans="1:1" x14ac:dyDescent="0.25">
      <c r="A1288" t="s">
        <v>2357</v>
      </c>
    </row>
    <row r="1289" spans="1:1" x14ac:dyDescent="0.25">
      <c r="A1289" t="s">
        <v>2358</v>
      </c>
    </row>
    <row r="1290" spans="1:1" x14ac:dyDescent="0.25">
      <c r="A1290" t="s">
        <v>2359</v>
      </c>
    </row>
    <row r="1291" spans="1:1" x14ac:dyDescent="0.25">
      <c r="A1291" t="s">
        <v>2043</v>
      </c>
    </row>
    <row r="1293" spans="1:1" x14ac:dyDescent="0.25">
      <c r="A1293" t="s">
        <v>1775</v>
      </c>
    </row>
    <row r="1295" spans="1:1" x14ac:dyDescent="0.25">
      <c r="A1295" t="s">
        <v>2436</v>
      </c>
    </row>
    <row r="1296" spans="1:1" x14ac:dyDescent="0.25">
      <c r="A1296" t="s">
        <v>2437</v>
      </c>
    </row>
    <row r="1297" spans="1:1" x14ac:dyDescent="0.25">
      <c r="A1297" t="s">
        <v>2438</v>
      </c>
    </row>
    <row r="1298" spans="1:1" x14ac:dyDescent="0.25">
      <c r="A1298" t="s">
        <v>2439</v>
      </c>
    </row>
    <row r="1299" spans="1:1" x14ac:dyDescent="0.25">
      <c r="A1299" t="s">
        <v>1942</v>
      </c>
    </row>
    <row r="1301" spans="1:1" x14ac:dyDescent="0.25">
      <c r="A1301" t="s">
        <v>2440</v>
      </c>
    </row>
    <row r="1303" spans="1:1" x14ac:dyDescent="0.25">
      <c r="A1303" t="s">
        <v>2441</v>
      </c>
    </row>
    <row r="1305" spans="1:1" x14ac:dyDescent="0.25">
      <c r="A1305" t="s">
        <v>2440</v>
      </c>
    </row>
    <row r="1307" spans="1:1" x14ac:dyDescent="0.25">
      <c r="A1307" t="s">
        <v>2442</v>
      </c>
    </row>
    <row r="1308" spans="1:1" x14ac:dyDescent="0.25">
      <c r="A1308" t="s">
        <v>2443</v>
      </c>
    </row>
    <row r="1309" spans="1:1" x14ac:dyDescent="0.25">
      <c r="A1309" t="s">
        <v>2444</v>
      </c>
    </row>
    <row r="1310" spans="1:1" x14ac:dyDescent="0.25">
      <c r="A1310" t="s">
        <v>2445</v>
      </c>
    </row>
    <row r="1311" spans="1:1" x14ac:dyDescent="0.25">
      <c r="A1311" t="s">
        <v>2446</v>
      </c>
    </row>
    <row r="1312" spans="1:1" x14ac:dyDescent="0.25">
      <c r="A1312" t="s">
        <v>2447</v>
      </c>
    </row>
    <row r="1313" spans="1:1" x14ac:dyDescent="0.25">
      <c r="A1313" t="s">
        <v>2448</v>
      </c>
    </row>
    <row r="1314" spans="1:1" x14ac:dyDescent="0.25">
      <c r="A1314" t="s">
        <v>2449</v>
      </c>
    </row>
    <row r="1315" spans="1:1" x14ac:dyDescent="0.25">
      <c r="A1315" t="s">
        <v>2450</v>
      </c>
    </row>
    <row r="1316" spans="1:1" x14ac:dyDescent="0.25">
      <c r="A1316" t="s">
        <v>2451</v>
      </c>
    </row>
    <row r="1317" spans="1:1" x14ac:dyDescent="0.25">
      <c r="A1317" t="s">
        <v>2452</v>
      </c>
    </row>
    <row r="1318" spans="1:1" x14ac:dyDescent="0.25">
      <c r="A1318" t="s">
        <v>2257</v>
      </c>
    </row>
    <row r="1319" spans="1:1" x14ac:dyDescent="0.25">
      <c r="A1319" t="s">
        <v>2453</v>
      </c>
    </row>
    <row r="1321" spans="1:1" x14ac:dyDescent="0.25">
      <c r="A1321" t="s">
        <v>2454</v>
      </c>
    </row>
    <row r="1323" spans="1:1" x14ac:dyDescent="0.25">
      <c r="A1323" t="s">
        <v>2440</v>
      </c>
    </row>
    <row r="1325" spans="1:1" x14ac:dyDescent="0.25">
      <c r="A1325" t="s">
        <v>1934</v>
      </c>
    </row>
    <row r="1326" spans="1:1" x14ac:dyDescent="0.25">
      <c r="A1326" t="s">
        <v>2455</v>
      </c>
    </row>
    <row r="1327" spans="1:1" x14ac:dyDescent="0.25">
      <c r="A1327" t="s">
        <v>1942</v>
      </c>
    </row>
    <row r="1329" spans="1:1" x14ac:dyDescent="0.25">
      <c r="A1329" t="s">
        <v>2456</v>
      </c>
    </row>
    <row r="1330" spans="1:1" x14ac:dyDescent="0.25">
      <c r="A1330" t="s">
        <v>2457</v>
      </c>
    </row>
    <row r="1331" spans="1:1" x14ac:dyDescent="0.25">
      <c r="A1331" t="s">
        <v>2458</v>
      </c>
    </row>
    <row r="1332" spans="1:1" x14ac:dyDescent="0.25">
      <c r="A1332" t="s">
        <v>2459</v>
      </c>
    </row>
    <row r="1333" spans="1:1" x14ac:dyDescent="0.25">
      <c r="A1333" t="s">
        <v>2460</v>
      </c>
    </row>
    <row r="1334" spans="1:1" x14ac:dyDescent="0.25">
      <c r="A1334" t="s">
        <v>2461</v>
      </c>
    </row>
    <row r="1335" spans="1:1" x14ac:dyDescent="0.25">
      <c r="A1335" t="s">
        <v>2462</v>
      </c>
    </row>
    <row r="1336" spans="1:1" x14ac:dyDescent="0.25">
      <c r="A1336" t="s">
        <v>2463</v>
      </c>
    </row>
    <row r="1337" spans="1:1" x14ac:dyDescent="0.25">
      <c r="A1337" t="s">
        <v>2464</v>
      </c>
    </row>
    <row r="1338" spans="1:1" x14ac:dyDescent="0.25">
      <c r="A1338" t="s">
        <v>2465</v>
      </c>
    </row>
    <row r="1339" spans="1:1" x14ac:dyDescent="0.25">
      <c r="A1339" t="s">
        <v>2466</v>
      </c>
    </row>
    <row r="1340" spans="1:1" x14ac:dyDescent="0.25">
      <c r="A1340" t="s">
        <v>2467</v>
      </c>
    </row>
    <row r="1341" spans="1:1" x14ac:dyDescent="0.25">
      <c r="A1341" t="s">
        <v>2468</v>
      </c>
    </row>
    <row r="1342" spans="1:1" x14ac:dyDescent="0.25">
      <c r="A1342" t="s">
        <v>2469</v>
      </c>
    </row>
    <row r="1343" spans="1:1" x14ac:dyDescent="0.25">
      <c r="A1343" t="s">
        <v>2470</v>
      </c>
    </row>
    <row r="1344" spans="1:1" x14ac:dyDescent="0.25">
      <c r="A1344" t="s">
        <v>2471</v>
      </c>
    </row>
    <row r="1346" spans="1:1" x14ac:dyDescent="0.25">
      <c r="A1346" t="s">
        <v>2472</v>
      </c>
    </row>
    <row r="1347" spans="1:1" x14ac:dyDescent="0.25">
      <c r="A1347" t="s">
        <v>2473</v>
      </c>
    </row>
    <row r="1348" spans="1:1" x14ac:dyDescent="0.25">
      <c r="A1348" t="s">
        <v>2474</v>
      </c>
    </row>
    <row r="1349" spans="1:1" x14ac:dyDescent="0.25">
      <c r="A1349" t="s">
        <v>2475</v>
      </c>
    </row>
    <row r="1350" spans="1:1" x14ac:dyDescent="0.25">
      <c r="A1350" t="s">
        <v>2476</v>
      </c>
    </row>
    <row r="1351" spans="1:1" x14ac:dyDescent="0.25">
      <c r="A1351" t="s">
        <v>2477</v>
      </c>
    </row>
    <row r="1352" spans="1:1" x14ac:dyDescent="0.25">
      <c r="A1352" t="s">
        <v>2478</v>
      </c>
    </row>
    <row r="1353" spans="1:1" x14ac:dyDescent="0.25">
      <c r="A1353" t="s">
        <v>2479</v>
      </c>
    </row>
    <row r="1354" spans="1:1" x14ac:dyDescent="0.25">
      <c r="A1354" t="s">
        <v>2480</v>
      </c>
    </row>
    <row r="1355" spans="1:1" x14ac:dyDescent="0.25">
      <c r="A1355" t="s">
        <v>2481</v>
      </c>
    </row>
    <row r="1356" spans="1:1" x14ac:dyDescent="0.25">
      <c r="A1356" t="s">
        <v>2482</v>
      </c>
    </row>
    <row r="1357" spans="1:1" x14ac:dyDescent="0.25">
      <c r="A1357" t="s">
        <v>2483</v>
      </c>
    </row>
    <row r="1358" spans="1:1" x14ac:dyDescent="0.25">
      <c r="A1358" t="s">
        <v>2484</v>
      </c>
    </row>
    <row r="1359" spans="1:1" x14ac:dyDescent="0.25">
      <c r="A1359" t="s">
        <v>2485</v>
      </c>
    </row>
    <row r="1360" spans="1:1" x14ac:dyDescent="0.25">
      <c r="A1360" t="s">
        <v>2486</v>
      </c>
    </row>
    <row r="1361" spans="1:1" x14ac:dyDescent="0.25">
      <c r="A1361" t="s">
        <v>2487</v>
      </c>
    </row>
    <row r="1362" spans="1:1" x14ac:dyDescent="0.25">
      <c r="A1362" t="s">
        <v>2488</v>
      </c>
    </row>
    <row r="1363" spans="1:1" x14ac:dyDescent="0.25">
      <c r="A1363" t="s">
        <v>2489</v>
      </c>
    </row>
    <row r="1364" spans="1:1" x14ac:dyDescent="0.25">
      <c r="A1364" t="s">
        <v>2490</v>
      </c>
    </row>
    <row r="1365" spans="1:1" x14ac:dyDescent="0.25">
      <c r="A1365" t="s">
        <v>2491</v>
      </c>
    </row>
    <row r="1366" spans="1:1" x14ac:dyDescent="0.25">
      <c r="A1366" t="s">
        <v>1893</v>
      </c>
    </row>
    <row r="1367" spans="1:1" x14ac:dyDescent="0.25">
      <c r="A1367" t="s">
        <v>2492</v>
      </c>
    </row>
    <row r="1368" spans="1:1" x14ac:dyDescent="0.25">
      <c r="A1368" t="s">
        <v>2493</v>
      </c>
    </row>
    <row r="1369" spans="1:1" x14ac:dyDescent="0.25">
      <c r="A1369" t="s">
        <v>2488</v>
      </c>
    </row>
    <row r="1370" spans="1:1" x14ac:dyDescent="0.25">
      <c r="A1370" t="s">
        <v>2489</v>
      </c>
    </row>
    <row r="1371" spans="1:1" x14ac:dyDescent="0.25">
      <c r="A1371" t="s">
        <v>2490</v>
      </c>
    </row>
    <row r="1372" spans="1:1" x14ac:dyDescent="0.25">
      <c r="A1372" t="s">
        <v>2491</v>
      </c>
    </row>
    <row r="1373" spans="1:1" x14ac:dyDescent="0.25">
      <c r="A1373" t="s">
        <v>1893</v>
      </c>
    </row>
    <row r="1374" spans="1:1" x14ac:dyDescent="0.25">
      <c r="A1374" t="s">
        <v>2494</v>
      </c>
    </row>
    <row r="1375" spans="1:1" x14ac:dyDescent="0.25">
      <c r="A1375" t="s">
        <v>1892</v>
      </c>
    </row>
    <row r="1376" spans="1:1" x14ac:dyDescent="0.25">
      <c r="A1376" t="s">
        <v>2488</v>
      </c>
    </row>
    <row r="1377" spans="1:1" x14ac:dyDescent="0.25">
      <c r="A1377" t="s">
        <v>2489</v>
      </c>
    </row>
    <row r="1378" spans="1:1" x14ac:dyDescent="0.25">
      <c r="A1378" t="s">
        <v>2490</v>
      </c>
    </row>
    <row r="1379" spans="1:1" x14ac:dyDescent="0.25">
      <c r="A1379" t="s">
        <v>2491</v>
      </c>
    </row>
    <row r="1380" spans="1:1" x14ac:dyDescent="0.25">
      <c r="A1380" t="s">
        <v>2495</v>
      </c>
    </row>
    <row r="1381" spans="1:1" x14ac:dyDescent="0.25">
      <c r="A1381" t="s">
        <v>1893</v>
      </c>
    </row>
    <row r="1382" spans="1:1" x14ac:dyDescent="0.25">
      <c r="A1382" t="s">
        <v>2496</v>
      </c>
    </row>
    <row r="1383" spans="1:1" x14ac:dyDescent="0.25">
      <c r="A1383" t="s">
        <v>2493</v>
      </c>
    </row>
    <row r="1384" spans="1:1" x14ac:dyDescent="0.25">
      <c r="A1384" t="s">
        <v>1892</v>
      </c>
    </row>
    <row r="1385" spans="1:1" x14ac:dyDescent="0.25">
      <c r="A1385" t="s">
        <v>2488</v>
      </c>
    </row>
    <row r="1386" spans="1:1" x14ac:dyDescent="0.25">
      <c r="A1386" t="s">
        <v>2489</v>
      </c>
    </row>
    <row r="1387" spans="1:1" x14ac:dyDescent="0.25">
      <c r="A1387" t="s">
        <v>2490</v>
      </c>
    </row>
    <row r="1388" spans="1:1" x14ac:dyDescent="0.25">
      <c r="A1388" t="s">
        <v>2491</v>
      </c>
    </row>
    <row r="1389" spans="1:1" x14ac:dyDescent="0.25">
      <c r="A1389" t="s">
        <v>2497</v>
      </c>
    </row>
    <row r="1390" spans="1:1" x14ac:dyDescent="0.25">
      <c r="A1390" t="s">
        <v>1893</v>
      </c>
    </row>
    <row r="1391" spans="1:1" x14ac:dyDescent="0.25">
      <c r="A1391" t="s">
        <v>2498</v>
      </c>
    </row>
    <row r="1392" spans="1:1" x14ac:dyDescent="0.25">
      <c r="A1392" t="s">
        <v>1904</v>
      </c>
    </row>
    <row r="1393" spans="1:1" x14ac:dyDescent="0.25">
      <c r="A1393" t="s">
        <v>2499</v>
      </c>
    </row>
    <row r="1394" spans="1:1" x14ac:dyDescent="0.25">
      <c r="A1394" t="s">
        <v>2500</v>
      </c>
    </row>
    <row r="1395" spans="1:1" x14ac:dyDescent="0.25">
      <c r="A1395" t="s">
        <v>2501</v>
      </c>
    </row>
    <row r="1396" spans="1:1" x14ac:dyDescent="0.25">
      <c r="A1396" t="s">
        <v>2502</v>
      </c>
    </row>
    <row r="1397" spans="1:1" x14ac:dyDescent="0.25">
      <c r="A1397" t="s">
        <v>2503</v>
      </c>
    </row>
    <row r="1398" spans="1:1" x14ac:dyDescent="0.25">
      <c r="A1398" t="s">
        <v>2504</v>
      </c>
    </row>
    <row r="1399" spans="1:1" x14ac:dyDescent="0.25">
      <c r="A1399" t="s">
        <v>2505</v>
      </c>
    </row>
    <row r="1400" spans="1:1" x14ac:dyDescent="0.25">
      <c r="A1400" t="s">
        <v>2506</v>
      </c>
    </row>
    <row r="1401" spans="1:1" x14ac:dyDescent="0.25">
      <c r="A1401" t="s">
        <v>2507</v>
      </c>
    </row>
    <row r="1402" spans="1:1" x14ac:dyDescent="0.25">
      <c r="A1402" t="s">
        <v>2508</v>
      </c>
    </row>
    <row r="1403" spans="1:1" x14ac:dyDescent="0.25">
      <c r="A1403" t="s">
        <v>2509</v>
      </c>
    </row>
    <row r="1404" spans="1:1" x14ac:dyDescent="0.25">
      <c r="A1404" t="s">
        <v>2510</v>
      </c>
    </row>
    <row r="1405" spans="1:1" x14ac:dyDescent="0.25">
      <c r="A1405" t="s">
        <v>2511</v>
      </c>
    </row>
    <row r="1406" spans="1:1" x14ac:dyDescent="0.25">
      <c r="A1406" t="s">
        <v>2512</v>
      </c>
    </row>
    <row r="1407" spans="1:1" x14ac:dyDescent="0.25">
      <c r="A1407" t="s">
        <v>1904</v>
      </c>
    </row>
    <row r="1408" spans="1:1" x14ac:dyDescent="0.25">
      <c r="A1408" t="s">
        <v>2513</v>
      </c>
    </row>
    <row r="1409" spans="1:1" x14ac:dyDescent="0.25">
      <c r="A1409" t="s">
        <v>2500</v>
      </c>
    </row>
    <row r="1410" spans="1:1" x14ac:dyDescent="0.25">
      <c r="A1410" t="s">
        <v>2514</v>
      </c>
    </row>
    <row r="1411" spans="1:1" x14ac:dyDescent="0.25">
      <c r="A1411" t="s">
        <v>2502</v>
      </c>
    </row>
    <row r="1412" spans="1:1" x14ac:dyDescent="0.25">
      <c r="A1412" t="s">
        <v>2515</v>
      </c>
    </row>
    <row r="1413" spans="1:1" x14ac:dyDescent="0.25">
      <c r="A1413" t="s">
        <v>2516</v>
      </c>
    </row>
    <row r="1414" spans="1:1" x14ac:dyDescent="0.25">
      <c r="A1414" t="s">
        <v>2517</v>
      </c>
    </row>
    <row r="1415" spans="1:1" x14ac:dyDescent="0.25">
      <c r="A1415" t="s">
        <v>2518</v>
      </c>
    </row>
    <row r="1416" spans="1:1" x14ac:dyDescent="0.25">
      <c r="A1416" t="s">
        <v>2507</v>
      </c>
    </row>
    <row r="1417" spans="1:1" x14ac:dyDescent="0.25">
      <c r="A1417" t="s">
        <v>2512</v>
      </c>
    </row>
    <row r="1418" spans="1:1" x14ac:dyDescent="0.25">
      <c r="A1418" t="s">
        <v>1904</v>
      </c>
    </row>
    <row r="1419" spans="1:1" x14ac:dyDescent="0.25">
      <c r="A1419" t="s">
        <v>2519</v>
      </c>
    </row>
    <row r="1421" spans="1:1" x14ac:dyDescent="0.25">
      <c r="A1421" t="s">
        <v>2520</v>
      </c>
    </row>
    <row r="1422" spans="1:1" x14ac:dyDescent="0.25">
      <c r="A1422" t="s">
        <v>2521</v>
      </c>
    </row>
    <row r="1424" spans="1:1" x14ac:dyDescent="0.25">
      <c r="A1424" t="s">
        <v>2522</v>
      </c>
    </row>
    <row r="1425" spans="1:1" x14ac:dyDescent="0.25">
      <c r="A1425" t="s">
        <v>2523</v>
      </c>
    </row>
    <row r="1426" spans="1:1" x14ac:dyDescent="0.25">
      <c r="A1426" t="s">
        <v>2524</v>
      </c>
    </row>
    <row r="1428" spans="1:1" x14ac:dyDescent="0.25">
      <c r="A1428" t="s">
        <v>2525</v>
      </c>
    </row>
    <row r="1429" spans="1:1" x14ac:dyDescent="0.25">
      <c r="A1429" t="s">
        <v>2526</v>
      </c>
    </row>
    <row r="1430" spans="1:1" x14ac:dyDescent="0.25">
      <c r="A1430" t="s">
        <v>2524</v>
      </c>
    </row>
    <row r="1432" spans="1:1" x14ac:dyDescent="0.25">
      <c r="A1432" t="s">
        <v>2527</v>
      </c>
    </row>
    <row r="1433" spans="1:1" x14ac:dyDescent="0.25">
      <c r="A1433" t="s">
        <v>2528</v>
      </c>
    </row>
    <row r="1434" spans="1:1" x14ac:dyDescent="0.25">
      <c r="A1434" t="s">
        <v>2524</v>
      </c>
    </row>
    <row r="1436" spans="1:1" x14ac:dyDescent="0.25">
      <c r="A1436" t="s">
        <v>2529</v>
      </c>
    </row>
    <row r="1437" spans="1:1" x14ac:dyDescent="0.25">
      <c r="A1437" t="s">
        <v>2530</v>
      </c>
    </row>
    <row r="1438" spans="1:1" x14ac:dyDescent="0.25">
      <c r="A1438" t="s">
        <v>2524</v>
      </c>
    </row>
    <row r="1440" spans="1:1" x14ac:dyDescent="0.25">
      <c r="A1440" t="s">
        <v>2531</v>
      </c>
    </row>
    <row r="1441" spans="1:1" x14ac:dyDescent="0.25">
      <c r="A1441" t="s">
        <v>2532</v>
      </c>
    </row>
    <row r="1442" spans="1:1" x14ac:dyDescent="0.25">
      <c r="A1442" t="s">
        <v>2524</v>
      </c>
    </row>
    <row r="1444" spans="1:1" x14ac:dyDescent="0.25">
      <c r="A1444" t="s">
        <v>2533</v>
      </c>
    </row>
    <row r="1445" spans="1:1" x14ac:dyDescent="0.25">
      <c r="A1445" t="s">
        <v>2534</v>
      </c>
    </row>
    <row r="1446" spans="1:1" x14ac:dyDescent="0.25">
      <c r="A1446" t="s">
        <v>2524</v>
      </c>
    </row>
    <row r="1448" spans="1:1" x14ac:dyDescent="0.25">
      <c r="A1448" t="s">
        <v>2535</v>
      </c>
    </row>
    <row r="1449" spans="1:1" x14ac:dyDescent="0.25">
      <c r="A1449" t="s">
        <v>2536</v>
      </c>
    </row>
    <row r="1450" spans="1:1" x14ac:dyDescent="0.25">
      <c r="A1450" t="s">
        <v>2524</v>
      </c>
    </row>
    <row r="1452" spans="1:1" x14ac:dyDescent="0.25">
      <c r="A1452" t="s">
        <v>2537</v>
      </c>
    </row>
    <row r="1453" spans="1:1" x14ac:dyDescent="0.25">
      <c r="A1453" t="s">
        <v>2538</v>
      </c>
    </row>
    <row r="1454" spans="1:1" x14ac:dyDescent="0.25">
      <c r="A1454" t="s">
        <v>2524</v>
      </c>
    </row>
    <row r="1456" spans="1:1" x14ac:dyDescent="0.25">
      <c r="A1456" t="s">
        <v>2539</v>
      </c>
    </row>
    <row r="1457" spans="1:1" x14ac:dyDescent="0.25">
      <c r="A1457" t="s">
        <v>2540</v>
      </c>
    </row>
    <row r="1458" spans="1:1" x14ac:dyDescent="0.25">
      <c r="A1458" t="s">
        <v>2524</v>
      </c>
    </row>
    <row r="1460" spans="1:1" x14ac:dyDescent="0.25">
      <c r="A1460" t="s">
        <v>2541</v>
      </c>
    </row>
    <row r="1461" spans="1:1" x14ac:dyDescent="0.25">
      <c r="A1461" t="s">
        <v>2542</v>
      </c>
    </row>
    <row r="1462" spans="1:1" x14ac:dyDescent="0.25">
      <c r="A1462" t="s">
        <v>2524</v>
      </c>
    </row>
    <row r="1463" spans="1:1" x14ac:dyDescent="0.25">
      <c r="A1463" t="s">
        <v>2543</v>
      </c>
    </row>
    <row r="1465" spans="1:1" x14ac:dyDescent="0.25">
      <c r="A1465" t="s">
        <v>2544</v>
      </c>
    </row>
    <row r="1466" spans="1:1" x14ac:dyDescent="0.25">
      <c r="A1466" t="s">
        <v>2545</v>
      </c>
    </row>
    <row r="1467" spans="1:1" x14ac:dyDescent="0.25">
      <c r="A1467" t="s">
        <v>2546</v>
      </c>
    </row>
    <row r="1468" spans="1:1" x14ac:dyDescent="0.25">
      <c r="A1468" t="s">
        <v>2446</v>
      </c>
    </row>
    <row r="1469" spans="1:1" x14ac:dyDescent="0.25">
      <c r="A1469" t="s">
        <v>2547</v>
      </c>
    </row>
    <row r="1470" spans="1:1" x14ac:dyDescent="0.25">
      <c r="A1470" t="s">
        <v>2448</v>
      </c>
    </row>
    <row r="1471" spans="1:1" x14ac:dyDescent="0.25">
      <c r="A1471" t="s">
        <v>2548</v>
      </c>
    </row>
    <row r="1472" spans="1:1" x14ac:dyDescent="0.25">
      <c r="A1472" t="s">
        <v>2453</v>
      </c>
    </row>
    <row r="1474" spans="1:1" x14ac:dyDescent="0.25">
      <c r="A1474" t="s">
        <v>2549</v>
      </c>
    </row>
    <row r="1476" spans="1:1" x14ac:dyDescent="0.25">
      <c r="A1476" t="s">
        <v>2440</v>
      </c>
    </row>
    <row r="1478" spans="1:1" x14ac:dyDescent="0.25">
      <c r="A1478" t="s">
        <v>2550</v>
      </c>
    </row>
    <row r="1479" spans="1:1" x14ac:dyDescent="0.25">
      <c r="A1479" t="s">
        <v>2551</v>
      </c>
    </row>
    <row r="1480" spans="1:1" x14ac:dyDescent="0.25">
      <c r="A1480" t="s">
        <v>2444</v>
      </c>
    </row>
    <row r="1481" spans="1:1" x14ac:dyDescent="0.25">
      <c r="A1481" t="s">
        <v>2446</v>
      </c>
    </row>
    <row r="1482" spans="1:1" x14ac:dyDescent="0.25">
      <c r="A1482" t="s">
        <v>2552</v>
      </c>
    </row>
    <row r="1483" spans="1:1" x14ac:dyDescent="0.25">
      <c r="A1483" t="s">
        <v>2448</v>
      </c>
    </row>
    <row r="1484" spans="1:1" x14ac:dyDescent="0.25">
      <c r="A1484" t="s">
        <v>2553</v>
      </c>
    </row>
    <row r="1485" spans="1:1" x14ac:dyDescent="0.25">
      <c r="A1485" t="s">
        <v>2554</v>
      </c>
    </row>
    <row r="1487" spans="1:1" x14ac:dyDescent="0.25">
      <c r="A1487" t="s">
        <v>2555</v>
      </c>
    </row>
    <row r="1489" spans="1:2" x14ac:dyDescent="0.25">
      <c r="A1489" t="s">
        <v>2556</v>
      </c>
    </row>
    <row r="1490" spans="1:2" x14ac:dyDescent="0.25">
      <c r="A1490" t="s">
        <v>2557</v>
      </c>
    </row>
    <row r="1492" spans="1:2" x14ac:dyDescent="0.25">
      <c r="A1492" t="s">
        <v>2558</v>
      </c>
    </row>
    <row r="1493" spans="1:2" x14ac:dyDescent="0.25">
      <c r="A1493" t="s">
        <v>2559</v>
      </c>
    </row>
    <row r="1494" spans="1:2" x14ac:dyDescent="0.25">
      <c r="A1494" t="s">
        <v>2560</v>
      </c>
    </row>
    <row r="1496" spans="1:2" x14ac:dyDescent="0.25">
      <c r="A1496" t="s">
        <v>2561</v>
      </c>
    </row>
    <row r="1497" spans="1:2" x14ac:dyDescent="0.25">
      <c r="A1497" t="s">
        <v>2562</v>
      </c>
    </row>
    <row r="1498" spans="1:2" x14ac:dyDescent="0.25">
      <c r="A1498" t="s">
        <v>2563</v>
      </c>
    </row>
    <row r="1499" spans="1:2" x14ac:dyDescent="0.25">
      <c r="A1499" t="s">
        <v>2564</v>
      </c>
    </row>
    <row r="1501" spans="1:2" x14ac:dyDescent="0.25">
      <c r="A1501" t="s">
        <v>2565</v>
      </c>
    </row>
    <row r="1502" spans="1:2" x14ac:dyDescent="0.25">
      <c r="B1502" t="s">
        <v>2566</v>
      </c>
    </row>
    <row r="1503" spans="1:2" x14ac:dyDescent="0.25">
      <c r="B1503" t="s">
        <v>2567</v>
      </c>
    </row>
    <row r="1504" spans="1:2" x14ac:dyDescent="0.25">
      <c r="B1504" t="s">
        <v>2568</v>
      </c>
    </row>
    <row r="1505" spans="1:4" x14ac:dyDescent="0.25">
      <c r="B1505" t="s">
        <v>2569</v>
      </c>
    </row>
    <row r="1506" spans="1:4" x14ac:dyDescent="0.25">
      <c r="B1506" t="s">
        <v>2570</v>
      </c>
    </row>
    <row r="1507" spans="1:4" x14ac:dyDescent="0.25">
      <c r="B1507" t="s">
        <v>2571</v>
      </c>
    </row>
    <row r="1509" spans="1:4" x14ac:dyDescent="0.25">
      <c r="A1509" t="s">
        <v>2572</v>
      </c>
    </row>
    <row r="1510" spans="1:4" x14ac:dyDescent="0.25">
      <c r="B1510" t="s">
        <v>2573</v>
      </c>
    </row>
    <row r="1511" spans="1:4" x14ac:dyDescent="0.25">
      <c r="B1511" t="s">
        <v>2574</v>
      </c>
    </row>
    <row r="1512" spans="1:4" x14ac:dyDescent="0.25">
      <c r="C1512" t="s">
        <v>2575</v>
      </c>
    </row>
    <row r="1513" spans="1:4" x14ac:dyDescent="0.25">
      <c r="D1513" t="s">
        <v>2576</v>
      </c>
    </row>
    <row r="1514" spans="1:4" x14ac:dyDescent="0.25">
      <c r="D1514" t="s">
        <v>2577</v>
      </c>
    </row>
    <row r="1515" spans="1:4" x14ac:dyDescent="0.25">
      <c r="B1515" t="s">
        <v>2578</v>
      </c>
    </row>
    <row r="1516" spans="1:4" x14ac:dyDescent="0.25">
      <c r="A1516" t="s">
        <v>2453</v>
      </c>
    </row>
    <row r="1518" spans="1:4" x14ac:dyDescent="0.25">
      <c r="A1518" t="s">
        <v>2579</v>
      </c>
    </row>
    <row r="1519" spans="1:4" x14ac:dyDescent="0.25">
      <c r="A1519" t="s">
        <v>2580</v>
      </c>
    </row>
    <row r="1520" spans="1:4" x14ac:dyDescent="0.25">
      <c r="A1520" t="s">
        <v>2581</v>
      </c>
    </row>
    <row r="1521" spans="1:1" x14ac:dyDescent="0.25">
      <c r="A1521" t="s">
        <v>2582</v>
      </c>
    </row>
    <row r="1522" spans="1:1" x14ac:dyDescent="0.25">
      <c r="A1522" t="s">
        <v>2583</v>
      </c>
    </row>
    <row r="1523" spans="1:1" x14ac:dyDescent="0.25">
      <c r="A1523" t="s">
        <v>2584</v>
      </c>
    </row>
    <row r="1524" spans="1:1" x14ac:dyDescent="0.25">
      <c r="A1524" t="s">
        <v>2585</v>
      </c>
    </row>
    <row r="1525" spans="1:1" x14ac:dyDescent="0.25">
      <c r="A1525" t="s">
        <v>2586</v>
      </c>
    </row>
    <row r="1526" spans="1:1" x14ac:dyDescent="0.25">
      <c r="A1526" t="s">
        <v>2587</v>
      </c>
    </row>
    <row r="1527" spans="1:1" x14ac:dyDescent="0.25">
      <c r="A1527" t="s">
        <v>2588</v>
      </c>
    </row>
    <row r="1528" spans="1:1" x14ac:dyDescent="0.25">
      <c r="A1528" t="s">
        <v>2589</v>
      </c>
    </row>
    <row r="1529" spans="1:1" x14ac:dyDescent="0.25">
      <c r="A1529" t="s">
        <v>2590</v>
      </c>
    </row>
    <row r="1530" spans="1:1" x14ac:dyDescent="0.25">
      <c r="A1530" t="s">
        <v>2591</v>
      </c>
    </row>
    <row r="1531" spans="1:1" x14ac:dyDescent="0.25">
      <c r="A1531" t="s">
        <v>2592</v>
      </c>
    </row>
    <row r="1532" spans="1:1" x14ac:dyDescent="0.25">
      <c r="A1532" t="s">
        <v>2593</v>
      </c>
    </row>
    <row r="1533" spans="1:1" x14ac:dyDescent="0.25">
      <c r="A1533" t="s">
        <v>2594</v>
      </c>
    </row>
    <row r="1534" spans="1:1" x14ac:dyDescent="0.25">
      <c r="A1534" t="s">
        <v>2595</v>
      </c>
    </row>
    <row r="1535" spans="1:1" x14ac:dyDescent="0.25">
      <c r="A1535" t="s">
        <v>2596</v>
      </c>
    </row>
    <row r="1536" spans="1:1" x14ac:dyDescent="0.25">
      <c r="A1536" t="s">
        <v>2597</v>
      </c>
    </row>
    <row r="1537" spans="1:1" x14ac:dyDescent="0.25">
      <c r="A1537" t="s">
        <v>2598</v>
      </c>
    </row>
    <row r="1538" spans="1:1" x14ac:dyDescent="0.25">
      <c r="A1538" t="s">
        <v>2599</v>
      </c>
    </row>
    <row r="1539" spans="1:1" x14ac:dyDescent="0.25">
      <c r="A1539" t="s">
        <v>2600</v>
      </c>
    </row>
    <row r="1541" spans="1:1" x14ac:dyDescent="0.25">
      <c r="A1541" t="s">
        <v>2601</v>
      </c>
    </row>
    <row r="1542" spans="1:1" x14ac:dyDescent="0.25">
      <c r="A1542" t="s">
        <v>2440</v>
      </c>
    </row>
    <row r="1544" spans="1:1" x14ac:dyDescent="0.25">
      <c r="A1544" t="s">
        <v>2550</v>
      </c>
    </row>
    <row r="1545" spans="1:1" x14ac:dyDescent="0.25">
      <c r="A1545" t="s">
        <v>2602</v>
      </c>
    </row>
    <row r="1546" spans="1:1" x14ac:dyDescent="0.25">
      <c r="A1546" t="s">
        <v>2603</v>
      </c>
    </row>
    <row r="1547" spans="1:1" x14ac:dyDescent="0.25">
      <c r="A1547" t="s">
        <v>2446</v>
      </c>
    </row>
    <row r="1548" spans="1:1" x14ac:dyDescent="0.25">
      <c r="A1548" t="s">
        <v>2604</v>
      </c>
    </row>
    <row r="1549" spans="1:1" x14ac:dyDescent="0.25">
      <c r="A1549" t="s">
        <v>2448</v>
      </c>
    </row>
    <row r="1550" spans="1:1" x14ac:dyDescent="0.25">
      <c r="A1550" t="s">
        <v>2605</v>
      </c>
    </row>
    <row r="1551" spans="1:1" x14ac:dyDescent="0.25">
      <c r="A1551" t="s">
        <v>2606</v>
      </c>
    </row>
    <row r="1552" spans="1:1" x14ac:dyDescent="0.25">
      <c r="A1552" t="s">
        <v>2607</v>
      </c>
    </row>
    <row r="1553" spans="1:2" x14ac:dyDescent="0.25">
      <c r="A1553" t="s">
        <v>2608</v>
      </c>
    </row>
    <row r="1554" spans="1:2" x14ac:dyDescent="0.25">
      <c r="A1554" t="s">
        <v>2609</v>
      </c>
    </row>
    <row r="1555" spans="1:2" x14ac:dyDescent="0.25">
      <c r="B1555" t="s">
        <v>2610</v>
      </c>
    </row>
    <row r="1556" spans="1:2" x14ac:dyDescent="0.25">
      <c r="B1556" t="s">
        <v>2611</v>
      </c>
    </row>
    <row r="1558" spans="1:2" x14ac:dyDescent="0.25">
      <c r="A1558" t="s">
        <v>2609</v>
      </c>
    </row>
    <row r="1559" spans="1:2" x14ac:dyDescent="0.25">
      <c r="A1559" t="s">
        <v>2612</v>
      </c>
    </row>
    <row r="1561" spans="1:2" x14ac:dyDescent="0.25">
      <c r="A1561" t="s">
        <v>2609</v>
      </c>
    </row>
    <row r="1562" spans="1:2" x14ac:dyDescent="0.25">
      <c r="A1562" t="s">
        <v>2613</v>
      </c>
    </row>
    <row r="1564" spans="1:2" x14ac:dyDescent="0.25">
      <c r="A1564" t="s">
        <v>2609</v>
      </c>
    </row>
    <row r="1565" spans="1:2" x14ac:dyDescent="0.25">
      <c r="A1565" t="s">
        <v>2614</v>
      </c>
    </row>
    <row r="1566" spans="1:2" x14ac:dyDescent="0.25">
      <c r="A1566" t="s">
        <v>2453</v>
      </c>
    </row>
    <row r="1568" spans="1:2" x14ac:dyDescent="0.25">
      <c r="A1568" t="s">
        <v>2615</v>
      </c>
    </row>
    <row r="1569" spans="1:1" x14ac:dyDescent="0.25">
      <c r="A1569" t="s">
        <v>2616</v>
      </c>
    </row>
    <row r="1570" spans="1:1" x14ac:dyDescent="0.25">
      <c r="A1570" t="s">
        <v>2617</v>
      </c>
    </row>
    <row r="1571" spans="1:1" x14ac:dyDescent="0.25">
      <c r="A1571" t="s">
        <v>2618</v>
      </c>
    </row>
    <row r="1572" spans="1:1" x14ac:dyDescent="0.25">
      <c r="A1572" t="s">
        <v>2619</v>
      </c>
    </row>
    <row r="1573" spans="1:1" x14ac:dyDescent="0.25">
      <c r="A1573" t="s">
        <v>2620</v>
      </c>
    </row>
    <row r="1574" spans="1:1" x14ac:dyDescent="0.25">
      <c r="A1574" t="s">
        <v>2621</v>
      </c>
    </row>
    <row r="1575" spans="1:1" x14ac:dyDescent="0.25">
      <c r="A1575" t="s">
        <v>2622</v>
      </c>
    </row>
    <row r="1576" spans="1:1" x14ac:dyDescent="0.25">
      <c r="A1576" t="s">
        <v>2623</v>
      </c>
    </row>
    <row r="1577" spans="1:1" x14ac:dyDescent="0.25">
      <c r="A1577" t="s">
        <v>2624</v>
      </c>
    </row>
    <row r="1578" spans="1:1" x14ac:dyDescent="0.25">
      <c r="A1578" t="s">
        <v>2625</v>
      </c>
    </row>
    <row r="1579" spans="1:1" x14ac:dyDescent="0.25">
      <c r="A1579" t="s">
        <v>2626</v>
      </c>
    </row>
    <row r="1580" spans="1:1" x14ac:dyDescent="0.25">
      <c r="A1580" t="s">
        <v>2627</v>
      </c>
    </row>
    <row r="1581" spans="1:1" x14ac:dyDescent="0.25">
      <c r="A1581" t="s">
        <v>2628</v>
      </c>
    </row>
    <row r="1582" spans="1:1" x14ac:dyDescent="0.25">
      <c r="A1582" t="s">
        <v>2629</v>
      </c>
    </row>
    <row r="1583" spans="1:1" x14ac:dyDescent="0.25">
      <c r="A1583" t="s">
        <v>2630</v>
      </c>
    </row>
    <row r="1584" spans="1:1" x14ac:dyDescent="0.25">
      <c r="A1584" t="s">
        <v>2631</v>
      </c>
    </row>
    <row r="1585" spans="1:1" x14ac:dyDescent="0.25">
      <c r="A1585" t="s">
        <v>2632</v>
      </c>
    </row>
    <row r="1586" spans="1:1" x14ac:dyDescent="0.25">
      <c r="A1586" t="s">
        <v>2600</v>
      </c>
    </row>
    <row r="1588" spans="1:1" x14ac:dyDescent="0.25">
      <c r="A1588" t="s">
        <v>2440</v>
      </c>
    </row>
    <row r="1590" spans="1:1" x14ac:dyDescent="0.25">
      <c r="A1590" t="s">
        <v>1934</v>
      </c>
    </row>
    <row r="1591" spans="1:1" x14ac:dyDescent="0.25">
      <c r="A1591" t="s">
        <v>2633</v>
      </c>
    </row>
    <row r="1592" spans="1:1" x14ac:dyDescent="0.25">
      <c r="A1592" t="s">
        <v>2634</v>
      </c>
    </row>
    <row r="1594" spans="1:1" x14ac:dyDescent="0.25">
      <c r="A1594" t="s">
        <v>2635</v>
      </c>
    </row>
    <row r="1595" spans="1:1" x14ac:dyDescent="0.25">
      <c r="A1595" t="s">
        <v>2636</v>
      </c>
    </row>
    <row r="1596" spans="1:1" x14ac:dyDescent="0.25">
      <c r="A1596" t="s">
        <v>2637</v>
      </c>
    </row>
    <row r="1597" spans="1:1" x14ac:dyDescent="0.25">
      <c r="A1597" t="s">
        <v>2638</v>
      </c>
    </row>
    <row r="1599" spans="1:1" x14ac:dyDescent="0.25">
      <c r="A1599" t="s">
        <v>2639</v>
      </c>
    </row>
    <row r="1600" spans="1:1" x14ac:dyDescent="0.25">
      <c r="A1600" t="s">
        <v>2640</v>
      </c>
    </row>
    <row r="1601" spans="1:1" x14ac:dyDescent="0.25">
      <c r="A1601" t="s">
        <v>2641</v>
      </c>
    </row>
    <row r="1602" spans="1:1" x14ac:dyDescent="0.25">
      <c r="A1602" t="s">
        <v>2642</v>
      </c>
    </row>
    <row r="1604" spans="1:1" x14ac:dyDescent="0.25">
      <c r="A1604" t="s">
        <v>2643</v>
      </c>
    </row>
    <row r="1606" spans="1:1" x14ac:dyDescent="0.25">
      <c r="A1606" t="s">
        <v>2644</v>
      </c>
    </row>
    <row r="1607" spans="1:1" x14ac:dyDescent="0.25">
      <c r="A1607" t="s">
        <v>2645</v>
      </c>
    </row>
    <row r="1608" spans="1:1" x14ac:dyDescent="0.25">
      <c r="A1608" t="s">
        <v>2646</v>
      </c>
    </row>
    <row r="1609" spans="1:1" x14ac:dyDescent="0.25">
      <c r="A1609" t="s">
        <v>2647</v>
      </c>
    </row>
    <row r="1610" spans="1:1" x14ac:dyDescent="0.25">
      <c r="A1610" t="s">
        <v>2648</v>
      </c>
    </row>
    <row r="1611" spans="1:1" x14ac:dyDescent="0.25">
      <c r="A1611" t="s">
        <v>2649</v>
      </c>
    </row>
    <row r="1612" spans="1:1" x14ac:dyDescent="0.25">
      <c r="A1612" t="s">
        <v>2650</v>
      </c>
    </row>
    <row r="1613" spans="1:1" x14ac:dyDescent="0.25">
      <c r="A1613" t="s">
        <v>2651</v>
      </c>
    </row>
    <row r="1614" spans="1:1" x14ac:dyDescent="0.25">
      <c r="A1614" t="s">
        <v>2652</v>
      </c>
    </row>
    <row r="1615" spans="1:1" x14ac:dyDescent="0.25">
      <c r="A1615" t="s">
        <v>2653</v>
      </c>
    </row>
    <row r="1616" spans="1:1" x14ac:dyDescent="0.25">
      <c r="A1616" t="s">
        <v>2654</v>
      </c>
    </row>
    <row r="1617" spans="1:2" x14ac:dyDescent="0.25">
      <c r="A1617" t="s">
        <v>2655</v>
      </c>
    </row>
    <row r="1618" spans="1:2" x14ac:dyDescent="0.25">
      <c r="A1618" t="s">
        <v>2656</v>
      </c>
    </row>
    <row r="1619" spans="1:2" x14ac:dyDescent="0.25">
      <c r="A1619" t="s">
        <v>2657</v>
      </c>
    </row>
    <row r="1620" spans="1:2" x14ac:dyDescent="0.25">
      <c r="A1620" t="s">
        <v>2658</v>
      </c>
    </row>
    <row r="1621" spans="1:2" x14ac:dyDescent="0.25">
      <c r="A1621" t="s">
        <v>2659</v>
      </c>
    </row>
    <row r="1623" spans="1:2" x14ac:dyDescent="0.25">
      <c r="A1623" t="s">
        <v>2660</v>
      </c>
    </row>
    <row r="1624" spans="1:2" x14ac:dyDescent="0.25">
      <c r="A1624" t="s">
        <v>2661</v>
      </c>
    </row>
    <row r="1625" spans="1:2" x14ac:dyDescent="0.25">
      <c r="B1625" t="s">
        <v>2662</v>
      </c>
    </row>
    <row r="1626" spans="1:2" x14ac:dyDescent="0.25">
      <c r="A1626" t="s">
        <v>1942</v>
      </c>
    </row>
    <row r="1628" spans="1:2" x14ac:dyDescent="0.25">
      <c r="A1628" t="s">
        <v>2550</v>
      </c>
    </row>
    <row r="1629" spans="1:2" x14ac:dyDescent="0.25">
      <c r="A1629" t="s">
        <v>2663</v>
      </c>
    </row>
    <row r="1630" spans="1:2" x14ac:dyDescent="0.25">
      <c r="A1630" t="s">
        <v>2664</v>
      </c>
    </row>
    <row r="1631" spans="1:2" x14ac:dyDescent="0.25">
      <c r="A1631" t="s">
        <v>2665</v>
      </c>
    </row>
    <row r="1632" spans="1:2" x14ac:dyDescent="0.25">
      <c r="A1632" t="s">
        <v>2446</v>
      </c>
    </row>
    <row r="1633" spans="1:1" x14ac:dyDescent="0.25">
      <c r="A1633" t="s">
        <v>2666</v>
      </c>
    </row>
    <row r="1634" spans="1:1" x14ac:dyDescent="0.25">
      <c r="A1634" t="s">
        <v>2667</v>
      </c>
    </row>
    <row r="1635" spans="1:1" x14ac:dyDescent="0.25">
      <c r="A1635" t="s">
        <v>2668</v>
      </c>
    </row>
    <row r="1636" spans="1:1" x14ac:dyDescent="0.25">
      <c r="A1636" t="s">
        <v>2669</v>
      </c>
    </row>
    <row r="1637" spans="1:1" x14ac:dyDescent="0.25">
      <c r="A1637" t="s">
        <v>2670</v>
      </c>
    </row>
    <row r="1638" spans="1:1" x14ac:dyDescent="0.25">
      <c r="A1638" t="s">
        <v>2671</v>
      </c>
    </row>
    <row r="1639" spans="1:1" x14ac:dyDescent="0.25">
      <c r="A1639" t="s">
        <v>2672</v>
      </c>
    </row>
    <row r="1640" spans="1:1" x14ac:dyDescent="0.25">
      <c r="A1640" t="s">
        <v>2600</v>
      </c>
    </row>
    <row r="1642" spans="1:1" x14ac:dyDescent="0.25">
      <c r="A1642" t="s">
        <v>2440</v>
      </c>
    </row>
    <row r="1644" spans="1:1" x14ac:dyDescent="0.25">
      <c r="A1644" t="s">
        <v>1934</v>
      </c>
    </row>
    <row r="1645" spans="1:1" x14ac:dyDescent="0.25">
      <c r="A1645" t="s">
        <v>2673</v>
      </c>
    </row>
    <row r="1647" spans="1:1" x14ac:dyDescent="0.25">
      <c r="A1647" t="s">
        <v>2674</v>
      </c>
    </row>
    <row r="1649" spans="1:1" x14ac:dyDescent="0.25">
      <c r="A1649" t="s">
        <v>2675</v>
      </c>
    </row>
    <row r="1650" spans="1:1" x14ac:dyDescent="0.25">
      <c r="A1650" t="s">
        <v>2676</v>
      </c>
    </row>
    <row r="1652" spans="1:1" x14ac:dyDescent="0.25">
      <c r="A1652" t="s">
        <v>2677</v>
      </c>
    </row>
    <row r="1653" spans="1:1" x14ac:dyDescent="0.25">
      <c r="A1653" t="s">
        <v>2678</v>
      </c>
    </row>
    <row r="1654" spans="1:1" x14ac:dyDescent="0.25">
      <c r="A1654" t="s">
        <v>2392</v>
      </c>
    </row>
    <row r="1655" spans="1:1" x14ac:dyDescent="0.25">
      <c r="A1655" t="s">
        <v>2679</v>
      </c>
    </row>
    <row r="1656" spans="1:1" x14ac:dyDescent="0.25">
      <c r="A1656" t="s">
        <v>2388</v>
      </c>
    </row>
    <row r="1657" spans="1:1" x14ac:dyDescent="0.25">
      <c r="A1657" t="s">
        <v>2680</v>
      </c>
    </row>
    <row r="1658" spans="1:1" x14ac:dyDescent="0.25">
      <c r="A1658" t="s">
        <v>2681</v>
      </c>
    </row>
    <row r="1659" spans="1:1" x14ac:dyDescent="0.25">
      <c r="A1659" t="s">
        <v>1942</v>
      </c>
    </row>
    <row r="1661" spans="1:1" x14ac:dyDescent="0.25">
      <c r="A1661" t="s">
        <v>2440</v>
      </c>
    </row>
    <row r="1663" spans="1:1" x14ac:dyDescent="0.25">
      <c r="A1663" t="s">
        <v>2682</v>
      </c>
    </row>
    <row r="1664" spans="1:1" x14ac:dyDescent="0.25">
      <c r="A1664" t="s">
        <v>2683</v>
      </c>
    </row>
    <row r="1665" spans="1:1" x14ac:dyDescent="0.25">
      <c r="A1665" t="s">
        <v>2684</v>
      </c>
    </row>
    <row r="1666" spans="1:1" x14ac:dyDescent="0.25">
      <c r="A1666" t="s">
        <v>2664</v>
      </c>
    </row>
    <row r="1667" spans="1:1" x14ac:dyDescent="0.25">
      <c r="A1667" t="s">
        <v>2446</v>
      </c>
    </row>
    <row r="1668" spans="1:1" x14ac:dyDescent="0.25">
      <c r="A1668" t="s">
        <v>2685</v>
      </c>
    </row>
    <row r="1669" spans="1:1" x14ac:dyDescent="0.25">
      <c r="A1669" t="s">
        <v>2667</v>
      </c>
    </row>
    <row r="1670" spans="1:1" x14ac:dyDescent="0.25">
      <c r="A1670" t="s">
        <v>2668</v>
      </c>
    </row>
    <row r="1671" spans="1:1" x14ac:dyDescent="0.25">
      <c r="A1671" t="s">
        <v>2669</v>
      </c>
    </row>
    <row r="1672" spans="1:1" x14ac:dyDescent="0.25">
      <c r="A1672" t="s">
        <v>2670</v>
      </c>
    </row>
    <row r="1673" spans="1:1" x14ac:dyDescent="0.25">
      <c r="A1673" t="s">
        <v>2671</v>
      </c>
    </row>
    <row r="1674" spans="1:1" x14ac:dyDescent="0.25">
      <c r="A1674" t="s">
        <v>2672</v>
      </c>
    </row>
    <row r="1675" spans="1:1" x14ac:dyDescent="0.25">
      <c r="A1675" t="s">
        <v>2686</v>
      </c>
    </row>
    <row r="1677" spans="1:1" x14ac:dyDescent="0.25">
      <c r="A1677" t="s">
        <v>2440</v>
      </c>
    </row>
    <row r="1679" spans="1:1" x14ac:dyDescent="0.25">
      <c r="A1679" t="s">
        <v>2682</v>
      </c>
    </row>
    <row r="1680" spans="1:1" x14ac:dyDescent="0.25">
      <c r="A1680" t="s">
        <v>2687</v>
      </c>
    </row>
    <row r="1681" spans="1:1" x14ac:dyDescent="0.25">
      <c r="A1681" t="s">
        <v>2684</v>
      </c>
    </row>
    <row r="1682" spans="1:1" x14ac:dyDescent="0.25">
      <c r="A1682" t="s">
        <v>2664</v>
      </c>
    </row>
    <row r="1683" spans="1:1" x14ac:dyDescent="0.25">
      <c r="A1683" t="s">
        <v>2446</v>
      </c>
    </row>
    <row r="1684" spans="1:1" x14ac:dyDescent="0.25">
      <c r="A1684" t="s">
        <v>2688</v>
      </c>
    </row>
    <row r="1685" spans="1:1" x14ac:dyDescent="0.25">
      <c r="A1685" t="s">
        <v>2667</v>
      </c>
    </row>
    <row r="1686" spans="1:1" x14ac:dyDescent="0.25">
      <c r="A1686" t="s">
        <v>2668</v>
      </c>
    </row>
    <row r="1687" spans="1:1" x14ac:dyDescent="0.25">
      <c r="A1687" t="s">
        <v>2669</v>
      </c>
    </row>
    <row r="1688" spans="1:1" x14ac:dyDescent="0.25">
      <c r="A1688" t="s">
        <v>2670</v>
      </c>
    </row>
    <row r="1689" spans="1:1" x14ac:dyDescent="0.25">
      <c r="A1689" t="s">
        <v>2671</v>
      </c>
    </row>
    <row r="1690" spans="1:1" x14ac:dyDescent="0.25">
      <c r="A1690" t="s">
        <v>2672</v>
      </c>
    </row>
    <row r="1691" spans="1:1" x14ac:dyDescent="0.25">
      <c r="A1691" t="s">
        <v>2686</v>
      </c>
    </row>
    <row r="1693" spans="1:1" x14ac:dyDescent="0.25">
      <c r="A1693" t="s">
        <v>2440</v>
      </c>
    </row>
    <row r="1695" spans="1:1" x14ac:dyDescent="0.25">
      <c r="A1695" t="s">
        <v>2550</v>
      </c>
    </row>
    <row r="1696" spans="1:1" x14ac:dyDescent="0.25">
      <c r="A1696" t="s">
        <v>2689</v>
      </c>
    </row>
    <row r="1697" spans="1:1" x14ac:dyDescent="0.25">
      <c r="A1697" t="s">
        <v>2446</v>
      </c>
    </row>
    <row r="1698" spans="1:1" x14ac:dyDescent="0.25">
      <c r="A1698" t="s">
        <v>2552</v>
      </c>
    </row>
    <row r="1699" spans="1:1" x14ac:dyDescent="0.25">
      <c r="A1699" t="s">
        <v>2448</v>
      </c>
    </row>
    <row r="1700" spans="1:1" x14ac:dyDescent="0.25">
      <c r="A1700" t="s">
        <v>2690</v>
      </c>
    </row>
    <row r="1701" spans="1:1" x14ac:dyDescent="0.25">
      <c r="A1701" t="s">
        <v>2691</v>
      </c>
    </row>
    <row r="1702" spans="1:1" x14ac:dyDescent="0.25">
      <c r="A1702" t="s">
        <v>2692</v>
      </c>
    </row>
    <row r="1703" spans="1:1" x14ac:dyDescent="0.25">
      <c r="A1703" t="s">
        <v>2388</v>
      </c>
    </row>
    <row r="1704" spans="1:1" x14ac:dyDescent="0.25">
      <c r="A1704" t="s">
        <v>2693</v>
      </c>
    </row>
    <row r="1705" spans="1:1" x14ac:dyDescent="0.25">
      <c r="A1705" t="s">
        <v>2453</v>
      </c>
    </row>
    <row r="1707" spans="1:1" x14ac:dyDescent="0.25">
      <c r="A1707" t="s">
        <v>2694</v>
      </c>
    </row>
    <row r="1708" spans="1:1" x14ac:dyDescent="0.25">
      <c r="A1708" t="s">
        <v>2625</v>
      </c>
    </row>
    <row r="1709" spans="1:1" x14ac:dyDescent="0.25">
      <c r="A1709" t="s">
        <v>2626</v>
      </c>
    </row>
    <row r="1710" spans="1:1" x14ac:dyDescent="0.25">
      <c r="A1710" t="s">
        <v>2627</v>
      </c>
    </row>
    <row r="1711" spans="1:1" x14ac:dyDescent="0.25">
      <c r="A1711" t="s">
        <v>2628</v>
      </c>
    </row>
    <row r="1712" spans="1:1" x14ac:dyDescent="0.25">
      <c r="A1712" t="s">
        <v>2615</v>
      </c>
    </row>
    <row r="1713" spans="1:1" x14ac:dyDescent="0.25">
      <c r="A1713" t="s">
        <v>2616</v>
      </c>
    </row>
    <row r="1714" spans="1:1" x14ac:dyDescent="0.25">
      <c r="A1714" t="s">
        <v>2617</v>
      </c>
    </row>
    <row r="1715" spans="1:1" x14ac:dyDescent="0.25">
      <c r="A1715" t="s">
        <v>2618</v>
      </c>
    </row>
    <row r="1716" spans="1:1" x14ac:dyDescent="0.25">
      <c r="A1716" t="s">
        <v>2619</v>
      </c>
    </row>
    <row r="1717" spans="1:1" x14ac:dyDescent="0.25">
      <c r="A1717" t="s">
        <v>2620</v>
      </c>
    </row>
    <row r="1718" spans="1:1" x14ac:dyDescent="0.25">
      <c r="A1718" t="s">
        <v>2621</v>
      </c>
    </row>
    <row r="1719" spans="1:1" x14ac:dyDescent="0.25">
      <c r="A1719" t="s">
        <v>2622</v>
      </c>
    </row>
    <row r="1720" spans="1:1" x14ac:dyDescent="0.25">
      <c r="A1720" t="s">
        <v>2623</v>
      </c>
    </row>
    <row r="1721" spans="1:1" x14ac:dyDescent="0.25">
      <c r="A1721" t="s">
        <v>2600</v>
      </c>
    </row>
    <row r="1723" spans="1:1" x14ac:dyDescent="0.25">
      <c r="A1723" t="s">
        <v>2440</v>
      </c>
    </row>
    <row r="1725" spans="1:1" x14ac:dyDescent="0.25">
      <c r="A1725" t="s">
        <v>2550</v>
      </c>
    </row>
    <row r="1726" spans="1:1" x14ac:dyDescent="0.25">
      <c r="A1726" t="s">
        <v>2695</v>
      </c>
    </row>
    <row r="1727" spans="1:1" x14ac:dyDescent="0.25">
      <c r="A1727" t="s">
        <v>2446</v>
      </c>
    </row>
    <row r="1728" spans="1:1" x14ac:dyDescent="0.25">
      <c r="A1728" t="s">
        <v>2552</v>
      </c>
    </row>
    <row r="1729" spans="1:1" x14ac:dyDescent="0.25">
      <c r="A1729" t="s">
        <v>2448</v>
      </c>
    </row>
    <row r="1731" spans="1:1" x14ac:dyDescent="0.25">
      <c r="A1731" t="s">
        <v>2696</v>
      </c>
    </row>
    <row r="1732" spans="1:1" x14ac:dyDescent="0.25">
      <c r="A1732" t="s">
        <v>2697</v>
      </c>
    </row>
    <row r="1734" spans="1:1" x14ac:dyDescent="0.25">
      <c r="A1734" t="s">
        <v>2698</v>
      </c>
    </row>
    <row r="1735" spans="1:1" x14ac:dyDescent="0.25">
      <c r="A1735" t="s">
        <v>2699</v>
      </c>
    </row>
    <row r="1736" spans="1:1" x14ac:dyDescent="0.25">
      <c r="A1736" t="s">
        <v>2700</v>
      </c>
    </row>
    <row r="1737" spans="1:1" x14ac:dyDescent="0.25">
      <c r="A1737" t="s">
        <v>2701</v>
      </c>
    </row>
    <row r="1738" spans="1:1" x14ac:dyDescent="0.25">
      <c r="A1738" t="s">
        <v>2702</v>
      </c>
    </row>
    <row r="1739" spans="1:1" x14ac:dyDescent="0.25">
      <c r="A1739" t="s">
        <v>2703</v>
      </c>
    </row>
    <row r="1740" spans="1:1" x14ac:dyDescent="0.25">
      <c r="A1740" t="s">
        <v>2704</v>
      </c>
    </row>
    <row r="1741" spans="1:1" x14ac:dyDescent="0.25">
      <c r="A1741" t="s">
        <v>2705</v>
      </c>
    </row>
    <row r="1742" spans="1:1" x14ac:dyDescent="0.25">
      <c r="A1742" t="s">
        <v>2706</v>
      </c>
    </row>
    <row r="1743" spans="1:1" x14ac:dyDescent="0.25">
      <c r="A1743" t="s">
        <v>2707</v>
      </c>
    </row>
    <row r="1744" spans="1:1" x14ac:dyDescent="0.25">
      <c r="A1744" t="s">
        <v>2708</v>
      </c>
    </row>
    <row r="1745" spans="1:1" x14ac:dyDescent="0.25">
      <c r="A1745" t="s">
        <v>2709</v>
      </c>
    </row>
    <row r="1746" spans="1:1" x14ac:dyDescent="0.25">
      <c r="A1746" t="s">
        <v>2710</v>
      </c>
    </row>
    <row r="1747" spans="1:1" x14ac:dyDescent="0.25">
      <c r="A1747" t="s">
        <v>2711</v>
      </c>
    </row>
    <row r="1748" spans="1:1" x14ac:dyDescent="0.25">
      <c r="A1748" t="s">
        <v>2712</v>
      </c>
    </row>
    <row r="1749" spans="1:1" x14ac:dyDescent="0.25">
      <c r="A1749" t="s">
        <v>2713</v>
      </c>
    </row>
    <row r="1750" spans="1:1" x14ac:dyDescent="0.25">
      <c r="A1750" t="s">
        <v>2659</v>
      </c>
    </row>
    <row r="1752" spans="1:1" x14ac:dyDescent="0.25">
      <c r="A1752" t="s">
        <v>2714</v>
      </c>
    </row>
    <row r="1753" spans="1:1" x14ac:dyDescent="0.25">
      <c r="A1753" t="s">
        <v>2715</v>
      </c>
    </row>
    <row r="1755" spans="1:1" x14ac:dyDescent="0.25">
      <c r="A1755" t="s">
        <v>2716</v>
      </c>
    </row>
    <row r="1756" spans="1:1" x14ac:dyDescent="0.25">
      <c r="A1756" t="s">
        <v>2717</v>
      </c>
    </row>
    <row r="1757" spans="1:1" x14ac:dyDescent="0.25">
      <c r="A1757" t="s">
        <v>2718</v>
      </c>
    </row>
    <row r="1758" spans="1:1" x14ac:dyDescent="0.25">
      <c r="A1758" t="s">
        <v>2719</v>
      </c>
    </row>
    <row r="1759" spans="1:1" x14ac:dyDescent="0.25">
      <c r="A1759" t="s">
        <v>2720</v>
      </c>
    </row>
    <row r="1761" spans="1:1" x14ac:dyDescent="0.25">
      <c r="A1761" t="s">
        <v>2721</v>
      </c>
    </row>
    <row r="1763" spans="1:1" x14ac:dyDescent="0.25">
      <c r="A1763" t="s">
        <v>2722</v>
      </c>
    </row>
    <row r="1764" spans="1:1" x14ac:dyDescent="0.25">
      <c r="A1764" t="s">
        <v>2453</v>
      </c>
    </row>
    <row r="1766" spans="1:1" x14ac:dyDescent="0.25">
      <c r="A1766" t="s">
        <v>2667</v>
      </c>
    </row>
    <row r="1767" spans="1:1" x14ac:dyDescent="0.25">
      <c r="A1767" t="s">
        <v>2668</v>
      </c>
    </row>
    <row r="1768" spans="1:1" x14ac:dyDescent="0.25">
      <c r="A1768" t="s">
        <v>2669</v>
      </c>
    </row>
    <row r="1769" spans="1:1" x14ac:dyDescent="0.25">
      <c r="A1769" t="s">
        <v>2670</v>
      </c>
    </row>
    <row r="1770" spans="1:1" x14ac:dyDescent="0.25">
      <c r="A1770" t="s">
        <v>2671</v>
      </c>
    </row>
    <row r="1771" spans="1:1" x14ac:dyDescent="0.25">
      <c r="A1771" t="s">
        <v>2672</v>
      </c>
    </row>
    <row r="1772" spans="1:1" x14ac:dyDescent="0.25">
      <c r="A1772" t="s">
        <v>2600</v>
      </c>
    </row>
    <row r="1774" spans="1:1" x14ac:dyDescent="0.25">
      <c r="A1774" t="s">
        <v>2440</v>
      </c>
    </row>
    <row r="1776" spans="1:1" x14ac:dyDescent="0.25">
      <c r="A1776" t="s">
        <v>2550</v>
      </c>
    </row>
    <row r="1777" spans="1:1" x14ac:dyDescent="0.25">
      <c r="A1777" t="s">
        <v>2723</v>
      </c>
    </row>
    <row r="1778" spans="1:1" x14ac:dyDescent="0.25">
      <c r="A1778" t="s">
        <v>2446</v>
      </c>
    </row>
    <row r="1779" spans="1:1" x14ac:dyDescent="0.25">
      <c r="A1779" t="s">
        <v>2552</v>
      </c>
    </row>
    <row r="1780" spans="1:1" x14ac:dyDescent="0.25">
      <c r="A1780" t="s">
        <v>2448</v>
      </c>
    </row>
    <row r="1782" spans="1:1" x14ac:dyDescent="0.25">
      <c r="A1782" t="s">
        <v>2724</v>
      </c>
    </row>
    <row r="1784" spans="1:1" x14ac:dyDescent="0.25">
      <c r="A1784" t="s">
        <v>2725</v>
      </c>
    </row>
    <row r="1786" spans="1:1" x14ac:dyDescent="0.25">
      <c r="A1786" t="s">
        <v>2726</v>
      </c>
    </row>
    <row r="1787" spans="1:1" x14ac:dyDescent="0.25">
      <c r="A1787" t="s">
        <v>2727</v>
      </c>
    </row>
    <row r="1789" spans="1:1" x14ac:dyDescent="0.25">
      <c r="A1789" t="s">
        <v>2728</v>
      </c>
    </row>
    <row r="1790" spans="1:1" x14ac:dyDescent="0.25">
      <c r="A1790" t="s">
        <v>2729</v>
      </c>
    </row>
    <row r="1792" spans="1:1" x14ac:dyDescent="0.25">
      <c r="A1792" t="s">
        <v>2730</v>
      </c>
    </row>
    <row r="1794" spans="1:2" x14ac:dyDescent="0.25">
      <c r="A1794" t="s">
        <v>2731</v>
      </c>
    </row>
    <row r="1797" spans="1:2" x14ac:dyDescent="0.25">
      <c r="A1797" t="s">
        <v>2661</v>
      </c>
    </row>
    <row r="1798" spans="1:2" x14ac:dyDescent="0.25">
      <c r="A1798" t="s">
        <v>2732</v>
      </c>
    </row>
    <row r="1800" spans="1:2" x14ac:dyDescent="0.25">
      <c r="A1800" t="s">
        <v>2733</v>
      </c>
    </row>
    <row r="1801" spans="1:2" x14ac:dyDescent="0.25">
      <c r="B1801" t="s">
        <v>2734</v>
      </c>
    </row>
    <row r="1802" spans="1:2" x14ac:dyDescent="0.25">
      <c r="A1802" t="s">
        <v>2453</v>
      </c>
    </row>
    <row r="1804" spans="1:2" x14ac:dyDescent="0.25">
      <c r="A1804" t="s">
        <v>2667</v>
      </c>
    </row>
    <row r="1805" spans="1:2" x14ac:dyDescent="0.25">
      <c r="A1805" t="s">
        <v>2668</v>
      </c>
    </row>
    <row r="1806" spans="1:2" x14ac:dyDescent="0.25">
      <c r="A1806" t="s">
        <v>2669</v>
      </c>
    </row>
    <row r="1807" spans="1:2" x14ac:dyDescent="0.25">
      <c r="A1807" t="s">
        <v>2670</v>
      </c>
    </row>
    <row r="1808" spans="1:2" x14ac:dyDescent="0.25">
      <c r="A1808" t="s">
        <v>2671</v>
      </c>
    </row>
    <row r="1809" spans="1:1" x14ac:dyDescent="0.25">
      <c r="A1809" t="s">
        <v>2672</v>
      </c>
    </row>
    <row r="1810" spans="1:1" x14ac:dyDescent="0.25">
      <c r="A1810" t="s">
        <v>2735</v>
      </c>
    </row>
    <row r="1811" spans="1:1" x14ac:dyDescent="0.25">
      <c r="A1811" t="s">
        <v>2736</v>
      </c>
    </row>
    <row r="1812" spans="1:1" x14ac:dyDescent="0.25">
      <c r="A1812" t="s">
        <v>2600</v>
      </c>
    </row>
    <row r="1814" spans="1:1" x14ac:dyDescent="0.25">
      <c r="A1814" t="s">
        <v>2440</v>
      </c>
    </row>
    <row r="1816" spans="1:1" x14ac:dyDescent="0.25">
      <c r="A1816" t="s">
        <v>1934</v>
      </c>
    </row>
    <row r="1817" spans="1:1" x14ac:dyDescent="0.25">
      <c r="A1817" t="s">
        <v>2737</v>
      </c>
    </row>
    <row r="1819" spans="1:1" x14ac:dyDescent="0.25">
      <c r="A1819" t="s">
        <v>2674</v>
      </c>
    </row>
    <row r="1821" spans="1:1" x14ac:dyDescent="0.25">
      <c r="A1821" t="s">
        <v>2738</v>
      </c>
    </row>
    <row r="1822" spans="1:1" x14ac:dyDescent="0.25">
      <c r="A1822" t="s">
        <v>2739</v>
      </c>
    </row>
    <row r="1824" spans="1:1" x14ac:dyDescent="0.25">
      <c r="A1824" t="s">
        <v>2740</v>
      </c>
    </row>
    <row r="1825" spans="1:1" x14ac:dyDescent="0.25">
      <c r="A1825" t="s">
        <v>2741</v>
      </c>
    </row>
    <row r="1826" spans="1:1" x14ac:dyDescent="0.25">
      <c r="A1826" t="s">
        <v>2392</v>
      </c>
    </row>
    <row r="1827" spans="1:1" x14ac:dyDescent="0.25">
      <c r="A1827" t="s">
        <v>2742</v>
      </c>
    </row>
    <row r="1828" spans="1:1" x14ac:dyDescent="0.25">
      <c r="A1828" t="s">
        <v>2388</v>
      </c>
    </row>
    <row r="1829" spans="1:1" x14ac:dyDescent="0.25">
      <c r="A1829" t="s">
        <v>2743</v>
      </c>
    </row>
    <row r="1830" spans="1:1" x14ac:dyDescent="0.25">
      <c r="A1830" t="s">
        <v>2744</v>
      </c>
    </row>
    <row r="1831" spans="1:1" x14ac:dyDescent="0.25">
      <c r="A1831" t="s">
        <v>1942</v>
      </c>
    </row>
    <row r="1833" spans="1:1" x14ac:dyDescent="0.25">
      <c r="A1833" t="s">
        <v>2440</v>
      </c>
    </row>
    <row r="1835" spans="1:1" x14ac:dyDescent="0.25">
      <c r="A1835" t="s">
        <v>2682</v>
      </c>
    </row>
    <row r="1836" spans="1:1" x14ac:dyDescent="0.25">
      <c r="A1836" t="s">
        <v>2745</v>
      </c>
    </row>
    <row r="1837" spans="1:1" x14ac:dyDescent="0.25">
      <c r="A1837" t="s">
        <v>2684</v>
      </c>
    </row>
    <row r="1838" spans="1:1" x14ac:dyDescent="0.25">
      <c r="A1838" t="s">
        <v>2664</v>
      </c>
    </row>
    <row r="1839" spans="1:1" x14ac:dyDescent="0.25">
      <c r="A1839" t="s">
        <v>2446</v>
      </c>
    </row>
    <row r="1840" spans="1:1" x14ac:dyDescent="0.25">
      <c r="A1840" t="s">
        <v>2746</v>
      </c>
    </row>
    <row r="1841" spans="1:1" x14ac:dyDescent="0.25">
      <c r="A1841" t="s">
        <v>2667</v>
      </c>
    </row>
    <row r="1842" spans="1:1" x14ac:dyDescent="0.25">
      <c r="A1842" t="s">
        <v>2668</v>
      </c>
    </row>
    <row r="1843" spans="1:1" x14ac:dyDescent="0.25">
      <c r="A1843" t="s">
        <v>2669</v>
      </c>
    </row>
    <row r="1844" spans="1:1" x14ac:dyDescent="0.25">
      <c r="A1844" t="s">
        <v>2670</v>
      </c>
    </row>
    <row r="1845" spans="1:1" x14ac:dyDescent="0.25">
      <c r="A1845" t="s">
        <v>2671</v>
      </c>
    </row>
    <row r="1846" spans="1:1" x14ac:dyDescent="0.25">
      <c r="A1846" t="s">
        <v>2672</v>
      </c>
    </row>
    <row r="1847" spans="1:1" x14ac:dyDescent="0.25">
      <c r="A1847" t="s">
        <v>2686</v>
      </c>
    </row>
    <row r="1849" spans="1:1" x14ac:dyDescent="0.25">
      <c r="A1849" t="s">
        <v>2440</v>
      </c>
    </row>
    <row r="1851" spans="1:1" x14ac:dyDescent="0.25">
      <c r="A1851" t="s">
        <v>2682</v>
      </c>
    </row>
    <row r="1852" spans="1:1" x14ac:dyDescent="0.25">
      <c r="A1852" t="s">
        <v>2747</v>
      </c>
    </row>
    <row r="1853" spans="1:1" x14ac:dyDescent="0.25">
      <c r="A1853" t="s">
        <v>2684</v>
      </c>
    </row>
    <row r="1854" spans="1:1" x14ac:dyDescent="0.25">
      <c r="A1854" t="s">
        <v>2664</v>
      </c>
    </row>
    <row r="1855" spans="1:1" x14ac:dyDescent="0.25">
      <c r="A1855" t="s">
        <v>2446</v>
      </c>
    </row>
    <row r="1856" spans="1:1" x14ac:dyDescent="0.25">
      <c r="A1856" t="s">
        <v>2748</v>
      </c>
    </row>
    <row r="1857" spans="1:1" x14ac:dyDescent="0.25">
      <c r="A1857" t="s">
        <v>2667</v>
      </c>
    </row>
    <row r="1858" spans="1:1" x14ac:dyDescent="0.25">
      <c r="A1858" t="s">
        <v>2668</v>
      </c>
    </row>
    <row r="1859" spans="1:1" x14ac:dyDescent="0.25">
      <c r="A1859" t="s">
        <v>2669</v>
      </c>
    </row>
    <row r="1860" spans="1:1" x14ac:dyDescent="0.25">
      <c r="A1860" t="s">
        <v>2670</v>
      </c>
    </row>
    <row r="1861" spans="1:1" x14ac:dyDescent="0.25">
      <c r="A1861" t="s">
        <v>2671</v>
      </c>
    </row>
    <row r="1862" spans="1:1" x14ac:dyDescent="0.25">
      <c r="A1862" t="s">
        <v>2672</v>
      </c>
    </row>
    <row r="1863" spans="1:1" x14ac:dyDescent="0.25">
      <c r="A1863" t="s">
        <v>2686</v>
      </c>
    </row>
    <row r="1865" spans="1:1" x14ac:dyDescent="0.25">
      <c r="A1865" t="s">
        <v>2440</v>
      </c>
    </row>
    <row r="1866" spans="1:1" x14ac:dyDescent="0.25">
      <c r="A1866" t="s">
        <v>2749</v>
      </c>
    </row>
    <row r="1868" spans="1:1" x14ac:dyDescent="0.25">
      <c r="A1868" t="s">
        <v>1775</v>
      </c>
    </row>
    <row r="1870" spans="1:1" x14ac:dyDescent="0.25">
      <c r="A1870" t="s">
        <v>2750</v>
      </c>
    </row>
    <row r="1871" spans="1:1" x14ac:dyDescent="0.25">
      <c r="A1871" t="s">
        <v>2437</v>
      </c>
    </row>
    <row r="1872" spans="1:1" x14ac:dyDescent="0.25">
      <c r="A1872" t="s">
        <v>2438</v>
      </c>
    </row>
    <row r="1873" spans="1:1" x14ac:dyDescent="0.25">
      <c r="A1873" t="s">
        <v>2751</v>
      </c>
    </row>
    <row r="1874" spans="1:1" x14ac:dyDescent="0.25">
      <c r="A1874" t="s">
        <v>1942</v>
      </c>
    </row>
    <row r="1876" spans="1:1" x14ac:dyDescent="0.25">
      <c r="A1876" t="s">
        <v>2440</v>
      </c>
    </row>
    <row r="1878" spans="1:1" x14ac:dyDescent="0.25">
      <c r="A1878" t="s">
        <v>2752</v>
      </c>
    </row>
    <row r="1880" spans="1:1" x14ac:dyDescent="0.25">
      <c r="A1880" t="s">
        <v>2440</v>
      </c>
    </row>
    <row r="1882" spans="1:1" x14ac:dyDescent="0.25">
      <c r="A1882" t="s">
        <v>2442</v>
      </c>
    </row>
    <row r="1883" spans="1:1" x14ac:dyDescent="0.25">
      <c r="A1883" t="s">
        <v>2753</v>
      </c>
    </row>
    <row r="1884" spans="1:1" x14ac:dyDescent="0.25">
      <c r="A1884" t="s">
        <v>2444</v>
      </c>
    </row>
    <row r="1885" spans="1:1" x14ac:dyDescent="0.25">
      <c r="A1885" t="s">
        <v>2445</v>
      </c>
    </row>
    <row r="1886" spans="1:1" x14ac:dyDescent="0.25">
      <c r="A1886" t="s">
        <v>2446</v>
      </c>
    </row>
    <row r="1887" spans="1:1" x14ac:dyDescent="0.25">
      <c r="A1887" t="s">
        <v>2447</v>
      </c>
    </row>
    <row r="1888" spans="1:1" x14ac:dyDescent="0.25">
      <c r="A1888" t="s">
        <v>2448</v>
      </c>
    </row>
    <row r="1889" spans="1:1" x14ac:dyDescent="0.25">
      <c r="A1889" t="s">
        <v>2449</v>
      </c>
    </row>
    <row r="1890" spans="1:1" x14ac:dyDescent="0.25">
      <c r="A1890" t="s">
        <v>2450</v>
      </c>
    </row>
    <row r="1891" spans="1:1" x14ac:dyDescent="0.25">
      <c r="A1891" t="s">
        <v>2754</v>
      </c>
    </row>
    <row r="1892" spans="1:1" x14ac:dyDescent="0.25">
      <c r="A1892" t="s">
        <v>2755</v>
      </c>
    </row>
    <row r="1893" spans="1:1" x14ac:dyDescent="0.25">
      <c r="A1893" t="s">
        <v>2257</v>
      </c>
    </row>
    <row r="1894" spans="1:1" x14ac:dyDescent="0.25">
      <c r="A1894" t="s">
        <v>2453</v>
      </c>
    </row>
    <row r="1896" spans="1:1" x14ac:dyDescent="0.25">
      <c r="A1896" t="s">
        <v>2454</v>
      </c>
    </row>
    <row r="1898" spans="1:1" x14ac:dyDescent="0.25">
      <c r="A1898" t="s">
        <v>2440</v>
      </c>
    </row>
    <row r="1900" spans="1:1" x14ac:dyDescent="0.25">
      <c r="A1900" t="s">
        <v>1934</v>
      </c>
    </row>
    <row r="1901" spans="1:1" x14ac:dyDescent="0.25">
      <c r="A1901" t="s">
        <v>2455</v>
      </c>
    </row>
    <row r="1902" spans="1:1" x14ac:dyDescent="0.25">
      <c r="A1902" t="s">
        <v>1942</v>
      </c>
    </row>
    <row r="1904" spans="1:1" x14ac:dyDescent="0.25">
      <c r="A1904" t="s">
        <v>2756</v>
      </c>
    </row>
    <row r="1905" spans="1:1" x14ac:dyDescent="0.25">
      <c r="A1905" t="s">
        <v>2757</v>
      </c>
    </row>
    <row r="1906" spans="1:1" x14ac:dyDescent="0.25">
      <c r="A1906" t="s">
        <v>2758</v>
      </c>
    </row>
    <row r="1907" spans="1:1" x14ac:dyDescent="0.25">
      <c r="A1907" t="s">
        <v>2459</v>
      </c>
    </row>
    <row r="1908" spans="1:1" x14ac:dyDescent="0.25">
      <c r="A1908" t="s">
        <v>2759</v>
      </c>
    </row>
    <row r="1909" spans="1:1" x14ac:dyDescent="0.25">
      <c r="A1909" t="s">
        <v>2461</v>
      </c>
    </row>
    <row r="1910" spans="1:1" x14ac:dyDescent="0.25">
      <c r="A1910" t="s">
        <v>2462</v>
      </c>
    </row>
    <row r="1911" spans="1:1" x14ac:dyDescent="0.25">
      <c r="A1911" t="s">
        <v>2463</v>
      </c>
    </row>
    <row r="1912" spans="1:1" x14ac:dyDescent="0.25">
      <c r="A1912" t="s">
        <v>2464</v>
      </c>
    </row>
    <row r="1913" spans="1:1" x14ac:dyDescent="0.25">
      <c r="A1913" t="s">
        <v>2760</v>
      </c>
    </row>
    <row r="1914" spans="1:1" x14ac:dyDescent="0.25">
      <c r="A1914" t="s">
        <v>2466</v>
      </c>
    </row>
    <row r="1915" spans="1:1" x14ac:dyDescent="0.25">
      <c r="A1915" t="s">
        <v>2467</v>
      </c>
    </row>
    <row r="1916" spans="1:1" x14ac:dyDescent="0.25">
      <c r="A1916" t="s">
        <v>2468</v>
      </c>
    </row>
    <row r="1917" spans="1:1" x14ac:dyDescent="0.25">
      <c r="A1917" t="s">
        <v>2761</v>
      </c>
    </row>
    <row r="1918" spans="1:1" x14ac:dyDescent="0.25">
      <c r="A1918" t="s">
        <v>2762</v>
      </c>
    </row>
    <row r="1919" spans="1:1" x14ac:dyDescent="0.25">
      <c r="A1919" t="s">
        <v>2471</v>
      </c>
    </row>
    <row r="1921" spans="1:1" x14ac:dyDescent="0.25">
      <c r="A1921" t="s">
        <v>2472</v>
      </c>
    </row>
    <row r="1922" spans="1:1" x14ac:dyDescent="0.25">
      <c r="A1922" t="s">
        <v>2473</v>
      </c>
    </row>
    <row r="1923" spans="1:1" x14ac:dyDescent="0.25">
      <c r="A1923" t="s">
        <v>2763</v>
      </c>
    </row>
    <row r="1924" spans="1:1" x14ac:dyDescent="0.25">
      <c r="A1924" t="s">
        <v>2764</v>
      </c>
    </row>
    <row r="1925" spans="1:1" x14ac:dyDescent="0.25">
      <c r="A1925" t="s">
        <v>2765</v>
      </c>
    </row>
    <row r="1926" spans="1:1" x14ac:dyDescent="0.25">
      <c r="A1926" t="s">
        <v>2766</v>
      </c>
    </row>
    <row r="1927" spans="1:1" x14ac:dyDescent="0.25">
      <c r="A1927" t="s">
        <v>2767</v>
      </c>
    </row>
    <row r="1928" spans="1:1" x14ac:dyDescent="0.25">
      <c r="A1928" t="s">
        <v>2768</v>
      </c>
    </row>
    <row r="1929" spans="1:1" x14ac:dyDescent="0.25">
      <c r="A1929" t="s">
        <v>2769</v>
      </c>
    </row>
    <row r="1930" spans="1:1" x14ac:dyDescent="0.25">
      <c r="A1930" t="s">
        <v>2770</v>
      </c>
    </row>
    <row r="1931" spans="1:1" x14ac:dyDescent="0.25">
      <c r="A1931" t="s">
        <v>2771</v>
      </c>
    </row>
    <row r="1932" spans="1:1" x14ac:dyDescent="0.25">
      <c r="A1932" t="s">
        <v>2772</v>
      </c>
    </row>
    <row r="1933" spans="1:1" x14ac:dyDescent="0.25">
      <c r="A1933" t="s">
        <v>2773</v>
      </c>
    </row>
    <row r="1934" spans="1:1" x14ac:dyDescent="0.25">
      <c r="A1934" t="s">
        <v>2774</v>
      </c>
    </row>
    <row r="1935" spans="1:1" x14ac:dyDescent="0.25">
      <c r="A1935" t="s">
        <v>2484</v>
      </c>
    </row>
    <row r="1936" spans="1:1" x14ac:dyDescent="0.25">
      <c r="A1936" t="s">
        <v>2485</v>
      </c>
    </row>
    <row r="1937" spans="1:1" x14ac:dyDescent="0.25">
      <c r="A1937" t="s">
        <v>2775</v>
      </c>
    </row>
    <row r="1938" spans="1:1" x14ac:dyDescent="0.25">
      <c r="A1938" t="s">
        <v>2487</v>
      </c>
    </row>
    <row r="1939" spans="1:1" x14ac:dyDescent="0.25">
      <c r="A1939" t="s">
        <v>2488</v>
      </c>
    </row>
    <row r="1940" spans="1:1" x14ac:dyDescent="0.25">
      <c r="A1940" t="s">
        <v>2489</v>
      </c>
    </row>
    <row r="1941" spans="1:1" x14ac:dyDescent="0.25">
      <c r="A1941" t="s">
        <v>2490</v>
      </c>
    </row>
    <row r="1942" spans="1:1" x14ac:dyDescent="0.25">
      <c r="A1942" t="s">
        <v>2491</v>
      </c>
    </row>
    <row r="1943" spans="1:1" x14ac:dyDescent="0.25">
      <c r="A1943" t="s">
        <v>1893</v>
      </c>
    </row>
    <row r="1944" spans="1:1" x14ac:dyDescent="0.25">
      <c r="A1944" t="s">
        <v>2776</v>
      </c>
    </row>
    <row r="1945" spans="1:1" x14ac:dyDescent="0.25">
      <c r="A1945" t="s">
        <v>2493</v>
      </c>
    </row>
    <row r="1946" spans="1:1" x14ac:dyDescent="0.25">
      <c r="A1946" t="s">
        <v>2488</v>
      </c>
    </row>
    <row r="1947" spans="1:1" x14ac:dyDescent="0.25">
      <c r="A1947" t="s">
        <v>2489</v>
      </c>
    </row>
    <row r="1948" spans="1:1" x14ac:dyDescent="0.25">
      <c r="A1948" t="s">
        <v>2490</v>
      </c>
    </row>
    <row r="1949" spans="1:1" x14ac:dyDescent="0.25">
      <c r="A1949" t="s">
        <v>2491</v>
      </c>
    </row>
    <row r="1950" spans="1:1" x14ac:dyDescent="0.25">
      <c r="A1950" t="s">
        <v>1893</v>
      </c>
    </row>
    <row r="1951" spans="1:1" x14ac:dyDescent="0.25">
      <c r="A1951" t="s">
        <v>2777</v>
      </c>
    </row>
    <row r="1952" spans="1:1" x14ac:dyDescent="0.25">
      <c r="A1952" t="s">
        <v>1892</v>
      </c>
    </row>
    <row r="1953" spans="1:1" x14ac:dyDescent="0.25">
      <c r="A1953" t="s">
        <v>2488</v>
      </c>
    </row>
    <row r="1954" spans="1:1" x14ac:dyDescent="0.25">
      <c r="A1954" t="s">
        <v>2489</v>
      </c>
    </row>
    <row r="1955" spans="1:1" x14ac:dyDescent="0.25">
      <c r="A1955" t="s">
        <v>2490</v>
      </c>
    </row>
    <row r="1956" spans="1:1" x14ac:dyDescent="0.25">
      <c r="A1956" t="s">
        <v>2491</v>
      </c>
    </row>
    <row r="1957" spans="1:1" x14ac:dyDescent="0.25">
      <c r="A1957" t="s">
        <v>2495</v>
      </c>
    </row>
    <row r="1958" spans="1:1" x14ac:dyDescent="0.25">
      <c r="A1958" t="s">
        <v>1893</v>
      </c>
    </row>
    <row r="1959" spans="1:1" x14ac:dyDescent="0.25">
      <c r="A1959" t="s">
        <v>2778</v>
      </c>
    </row>
    <row r="1960" spans="1:1" x14ac:dyDescent="0.25">
      <c r="A1960" t="s">
        <v>2493</v>
      </c>
    </row>
    <row r="1961" spans="1:1" x14ac:dyDescent="0.25">
      <c r="A1961" t="s">
        <v>1892</v>
      </c>
    </row>
    <row r="1962" spans="1:1" x14ac:dyDescent="0.25">
      <c r="A1962" t="s">
        <v>2488</v>
      </c>
    </row>
    <row r="1963" spans="1:1" x14ac:dyDescent="0.25">
      <c r="A1963" t="s">
        <v>2489</v>
      </c>
    </row>
    <row r="1964" spans="1:1" x14ac:dyDescent="0.25">
      <c r="A1964" t="s">
        <v>2490</v>
      </c>
    </row>
    <row r="1965" spans="1:1" x14ac:dyDescent="0.25">
      <c r="A1965" t="s">
        <v>2491</v>
      </c>
    </row>
    <row r="1966" spans="1:1" x14ac:dyDescent="0.25">
      <c r="A1966" t="s">
        <v>2497</v>
      </c>
    </row>
    <row r="1967" spans="1:1" x14ac:dyDescent="0.25">
      <c r="A1967" t="s">
        <v>1893</v>
      </c>
    </row>
    <row r="1968" spans="1:1" x14ac:dyDescent="0.25">
      <c r="A1968" t="s">
        <v>2498</v>
      </c>
    </row>
    <row r="1969" spans="1:1" x14ac:dyDescent="0.25">
      <c r="A1969" t="s">
        <v>1904</v>
      </c>
    </row>
    <row r="1970" spans="1:1" x14ac:dyDescent="0.25">
      <c r="A1970" t="s">
        <v>2499</v>
      </c>
    </row>
    <row r="1971" spans="1:1" x14ac:dyDescent="0.25">
      <c r="A1971" t="s">
        <v>2500</v>
      </c>
    </row>
    <row r="1972" spans="1:1" x14ac:dyDescent="0.25">
      <c r="A1972" t="s">
        <v>2501</v>
      </c>
    </row>
    <row r="1973" spans="1:1" x14ac:dyDescent="0.25">
      <c r="A1973" t="s">
        <v>2502</v>
      </c>
    </row>
    <row r="1974" spans="1:1" x14ac:dyDescent="0.25">
      <c r="A1974" t="s">
        <v>2503</v>
      </c>
    </row>
    <row r="1975" spans="1:1" x14ac:dyDescent="0.25">
      <c r="A1975" t="s">
        <v>2504</v>
      </c>
    </row>
    <row r="1976" spans="1:1" x14ac:dyDescent="0.25">
      <c r="A1976" t="s">
        <v>2505</v>
      </c>
    </row>
    <row r="1977" spans="1:1" x14ac:dyDescent="0.25">
      <c r="A1977" t="s">
        <v>2506</v>
      </c>
    </row>
    <row r="1978" spans="1:1" x14ac:dyDescent="0.25">
      <c r="A1978" t="s">
        <v>2507</v>
      </c>
    </row>
    <row r="1979" spans="1:1" x14ac:dyDescent="0.25">
      <c r="A1979" t="s">
        <v>2508</v>
      </c>
    </row>
    <row r="1980" spans="1:1" x14ac:dyDescent="0.25">
      <c r="A1980" t="s">
        <v>2509</v>
      </c>
    </row>
    <row r="1981" spans="1:1" x14ac:dyDescent="0.25">
      <c r="A1981" t="s">
        <v>2510</v>
      </c>
    </row>
    <row r="1982" spans="1:1" x14ac:dyDescent="0.25">
      <c r="A1982" t="s">
        <v>2511</v>
      </c>
    </row>
    <row r="1983" spans="1:1" x14ac:dyDescent="0.25">
      <c r="A1983" t="s">
        <v>2512</v>
      </c>
    </row>
    <row r="1984" spans="1:1" x14ac:dyDescent="0.25">
      <c r="A1984" t="s">
        <v>1904</v>
      </c>
    </row>
    <row r="1985" spans="1:1" x14ac:dyDescent="0.25">
      <c r="A1985" t="s">
        <v>2513</v>
      </c>
    </row>
    <row r="1986" spans="1:1" x14ac:dyDescent="0.25">
      <c r="A1986" t="s">
        <v>2500</v>
      </c>
    </row>
    <row r="1987" spans="1:1" x14ac:dyDescent="0.25">
      <c r="A1987" t="s">
        <v>2514</v>
      </c>
    </row>
    <row r="1988" spans="1:1" x14ac:dyDescent="0.25">
      <c r="A1988" t="s">
        <v>2502</v>
      </c>
    </row>
    <row r="1989" spans="1:1" x14ac:dyDescent="0.25">
      <c r="A1989" t="s">
        <v>2515</v>
      </c>
    </row>
    <row r="1990" spans="1:1" x14ac:dyDescent="0.25">
      <c r="A1990" t="s">
        <v>2516</v>
      </c>
    </row>
    <row r="1991" spans="1:1" x14ac:dyDescent="0.25">
      <c r="A1991" t="s">
        <v>2517</v>
      </c>
    </row>
    <row r="1992" spans="1:1" x14ac:dyDescent="0.25">
      <c r="A1992" t="s">
        <v>2518</v>
      </c>
    </row>
    <row r="1993" spans="1:1" x14ac:dyDescent="0.25">
      <c r="A1993" t="s">
        <v>2507</v>
      </c>
    </row>
    <row r="1994" spans="1:1" x14ac:dyDescent="0.25">
      <c r="A1994" t="s">
        <v>2512</v>
      </c>
    </row>
    <row r="1995" spans="1:1" x14ac:dyDescent="0.25">
      <c r="A1995" t="s">
        <v>1904</v>
      </c>
    </row>
    <row r="1996" spans="1:1" x14ac:dyDescent="0.25">
      <c r="A1996" t="s">
        <v>2519</v>
      </c>
    </row>
    <row r="1998" spans="1:1" x14ac:dyDescent="0.25">
      <c r="A1998" t="s">
        <v>2520</v>
      </c>
    </row>
    <row r="1999" spans="1:1" x14ac:dyDescent="0.25">
      <c r="A1999" t="s">
        <v>2521</v>
      </c>
    </row>
    <row r="2001" spans="1:1" x14ac:dyDescent="0.25">
      <c r="A2001" t="s">
        <v>2522</v>
      </c>
    </row>
    <row r="2002" spans="1:1" x14ac:dyDescent="0.25">
      <c r="A2002" t="s">
        <v>2523</v>
      </c>
    </row>
    <row r="2003" spans="1:1" x14ac:dyDescent="0.25">
      <c r="A2003" t="s">
        <v>2524</v>
      </c>
    </row>
    <row r="2005" spans="1:1" x14ac:dyDescent="0.25">
      <c r="A2005" t="s">
        <v>2525</v>
      </c>
    </row>
    <row r="2006" spans="1:1" x14ac:dyDescent="0.25">
      <c r="A2006" t="s">
        <v>2526</v>
      </c>
    </row>
    <row r="2007" spans="1:1" x14ac:dyDescent="0.25">
      <c r="A2007" t="s">
        <v>2524</v>
      </c>
    </row>
    <row r="2009" spans="1:1" x14ac:dyDescent="0.25">
      <c r="A2009" t="s">
        <v>2527</v>
      </c>
    </row>
    <row r="2010" spans="1:1" x14ac:dyDescent="0.25">
      <c r="A2010" t="s">
        <v>2528</v>
      </c>
    </row>
    <row r="2011" spans="1:1" x14ac:dyDescent="0.25">
      <c r="A2011" t="s">
        <v>2524</v>
      </c>
    </row>
    <row r="2013" spans="1:1" x14ac:dyDescent="0.25">
      <c r="A2013" t="s">
        <v>2529</v>
      </c>
    </row>
    <row r="2014" spans="1:1" x14ac:dyDescent="0.25">
      <c r="A2014" t="s">
        <v>2530</v>
      </c>
    </row>
    <row r="2015" spans="1:1" x14ac:dyDescent="0.25">
      <c r="A2015" t="s">
        <v>2524</v>
      </c>
    </row>
    <row r="2017" spans="1:1" x14ac:dyDescent="0.25">
      <c r="A2017" t="s">
        <v>2531</v>
      </c>
    </row>
    <row r="2018" spans="1:1" x14ac:dyDescent="0.25">
      <c r="A2018" t="s">
        <v>2532</v>
      </c>
    </row>
    <row r="2019" spans="1:1" x14ac:dyDescent="0.25">
      <c r="A2019" t="s">
        <v>2524</v>
      </c>
    </row>
    <row r="2021" spans="1:1" x14ac:dyDescent="0.25">
      <c r="A2021" t="s">
        <v>2533</v>
      </c>
    </row>
    <row r="2022" spans="1:1" x14ac:dyDescent="0.25">
      <c r="A2022" t="s">
        <v>2534</v>
      </c>
    </row>
    <row r="2023" spans="1:1" x14ac:dyDescent="0.25">
      <c r="A2023" t="s">
        <v>2524</v>
      </c>
    </row>
    <row r="2025" spans="1:1" x14ac:dyDescent="0.25">
      <c r="A2025" t="s">
        <v>2535</v>
      </c>
    </row>
    <row r="2026" spans="1:1" x14ac:dyDescent="0.25">
      <c r="A2026" t="s">
        <v>2536</v>
      </c>
    </row>
    <row r="2027" spans="1:1" x14ac:dyDescent="0.25">
      <c r="A2027" t="s">
        <v>2524</v>
      </c>
    </row>
    <row r="2029" spans="1:1" x14ac:dyDescent="0.25">
      <c r="A2029" t="s">
        <v>2537</v>
      </c>
    </row>
    <row r="2030" spans="1:1" x14ac:dyDescent="0.25">
      <c r="A2030" t="s">
        <v>2538</v>
      </c>
    </row>
    <row r="2031" spans="1:1" x14ac:dyDescent="0.25">
      <c r="A2031" t="s">
        <v>2524</v>
      </c>
    </row>
    <row r="2033" spans="1:1" x14ac:dyDescent="0.25">
      <c r="A2033" t="s">
        <v>2539</v>
      </c>
    </row>
    <row r="2034" spans="1:1" x14ac:dyDescent="0.25">
      <c r="A2034" t="s">
        <v>2540</v>
      </c>
    </row>
    <row r="2035" spans="1:1" x14ac:dyDescent="0.25">
      <c r="A2035" t="s">
        <v>2524</v>
      </c>
    </row>
    <row r="2037" spans="1:1" x14ac:dyDescent="0.25">
      <c r="A2037" t="s">
        <v>2541</v>
      </c>
    </row>
    <row r="2038" spans="1:1" x14ac:dyDescent="0.25">
      <c r="A2038" t="s">
        <v>2542</v>
      </c>
    </row>
    <row r="2039" spans="1:1" x14ac:dyDescent="0.25">
      <c r="A2039" t="s">
        <v>2524</v>
      </c>
    </row>
    <row r="2041" spans="1:1" x14ac:dyDescent="0.25">
      <c r="A2041" t="s">
        <v>2779</v>
      </c>
    </row>
    <row r="2042" spans="1:1" x14ac:dyDescent="0.25">
      <c r="A2042" t="s">
        <v>2780</v>
      </c>
    </row>
    <row r="2043" spans="1:1" x14ac:dyDescent="0.25">
      <c r="A2043" t="s">
        <v>2524</v>
      </c>
    </row>
    <row r="2045" spans="1:1" x14ac:dyDescent="0.25">
      <c r="A2045" t="s">
        <v>2781</v>
      </c>
    </row>
    <row r="2046" spans="1:1" x14ac:dyDescent="0.25">
      <c r="A2046" t="s">
        <v>2782</v>
      </c>
    </row>
    <row r="2047" spans="1:1" x14ac:dyDescent="0.25">
      <c r="A2047" t="s">
        <v>2524</v>
      </c>
    </row>
    <row r="2048" spans="1:1" x14ac:dyDescent="0.25">
      <c r="A2048" t="s">
        <v>2543</v>
      </c>
    </row>
    <row r="2050" spans="1:1" x14ac:dyDescent="0.25">
      <c r="A2050" t="s">
        <v>2544</v>
      </c>
    </row>
    <row r="2051" spans="1:1" x14ac:dyDescent="0.25">
      <c r="A2051" t="s">
        <v>2783</v>
      </c>
    </row>
    <row r="2052" spans="1:1" x14ac:dyDescent="0.25">
      <c r="A2052" t="s">
        <v>2546</v>
      </c>
    </row>
    <row r="2053" spans="1:1" x14ac:dyDescent="0.25">
      <c r="A2053" t="s">
        <v>2446</v>
      </c>
    </row>
    <row r="2054" spans="1:1" x14ac:dyDescent="0.25">
      <c r="A2054" t="s">
        <v>2784</v>
      </c>
    </row>
    <row r="2055" spans="1:1" x14ac:dyDescent="0.25">
      <c r="A2055" t="s">
        <v>2448</v>
      </c>
    </row>
    <row r="2056" spans="1:1" x14ac:dyDescent="0.25">
      <c r="A2056" t="s">
        <v>2785</v>
      </c>
    </row>
    <row r="2057" spans="1:1" x14ac:dyDescent="0.25">
      <c r="A2057" t="s">
        <v>2453</v>
      </c>
    </row>
    <row r="2059" spans="1:1" x14ac:dyDescent="0.25">
      <c r="A2059" t="s">
        <v>2549</v>
      </c>
    </row>
    <row r="2061" spans="1:1" x14ac:dyDescent="0.25">
      <c r="A2061" t="s">
        <v>2786</v>
      </c>
    </row>
    <row r="2062" spans="1:1" x14ac:dyDescent="0.25">
      <c r="A2062" t="s">
        <v>2440</v>
      </c>
    </row>
    <row r="2064" spans="1:1" x14ac:dyDescent="0.25">
      <c r="A2064" t="s">
        <v>2550</v>
      </c>
    </row>
    <row r="2065" spans="1:1" x14ac:dyDescent="0.25">
      <c r="A2065" t="s">
        <v>2787</v>
      </c>
    </row>
    <row r="2066" spans="1:1" x14ac:dyDescent="0.25">
      <c r="A2066" t="s">
        <v>2444</v>
      </c>
    </row>
    <row r="2067" spans="1:1" x14ac:dyDescent="0.25">
      <c r="A2067" t="s">
        <v>2446</v>
      </c>
    </row>
    <row r="2068" spans="1:1" x14ac:dyDescent="0.25">
      <c r="A2068" t="s">
        <v>2552</v>
      </c>
    </row>
    <row r="2069" spans="1:1" x14ac:dyDescent="0.25">
      <c r="A2069" t="s">
        <v>2448</v>
      </c>
    </row>
    <row r="2070" spans="1:1" x14ac:dyDescent="0.25">
      <c r="A2070" t="s">
        <v>2553</v>
      </c>
    </row>
    <row r="2071" spans="1:1" x14ac:dyDescent="0.25">
      <c r="A2071" t="s">
        <v>2554</v>
      </c>
    </row>
    <row r="2073" spans="1:1" x14ac:dyDescent="0.25">
      <c r="A2073" t="s">
        <v>2555</v>
      </c>
    </row>
    <row r="2075" spans="1:1" x14ac:dyDescent="0.25">
      <c r="A2075" t="s">
        <v>2556</v>
      </c>
    </row>
    <row r="2076" spans="1:1" x14ac:dyDescent="0.25">
      <c r="A2076" t="s">
        <v>2557</v>
      </c>
    </row>
    <row r="2078" spans="1:1" x14ac:dyDescent="0.25">
      <c r="A2078" t="s">
        <v>2558</v>
      </c>
    </row>
    <row r="2079" spans="1:1" x14ac:dyDescent="0.25">
      <c r="A2079" t="s">
        <v>2788</v>
      </c>
    </row>
    <row r="2080" spans="1:1" x14ac:dyDescent="0.25">
      <c r="A2080" t="s">
        <v>2560</v>
      </c>
    </row>
    <row r="2082" spans="1:2" x14ac:dyDescent="0.25">
      <c r="A2082" t="s">
        <v>2561</v>
      </c>
    </row>
    <row r="2083" spans="1:2" x14ac:dyDescent="0.25">
      <c r="A2083" t="s">
        <v>2562</v>
      </c>
    </row>
    <row r="2084" spans="1:2" x14ac:dyDescent="0.25">
      <c r="A2084" t="s">
        <v>2563</v>
      </c>
    </row>
    <row r="2085" spans="1:2" x14ac:dyDescent="0.25">
      <c r="A2085" t="s">
        <v>2789</v>
      </c>
    </row>
    <row r="2087" spans="1:2" x14ac:dyDescent="0.25">
      <c r="A2087" t="s">
        <v>2790</v>
      </c>
    </row>
    <row r="2088" spans="1:2" x14ac:dyDescent="0.25">
      <c r="B2088" t="s">
        <v>2791</v>
      </c>
    </row>
    <row r="2089" spans="1:2" x14ac:dyDescent="0.25">
      <c r="B2089" t="s">
        <v>2792</v>
      </c>
    </row>
    <row r="2090" spans="1:2" x14ac:dyDescent="0.25">
      <c r="B2090" t="s">
        <v>2568</v>
      </c>
    </row>
    <row r="2091" spans="1:2" x14ac:dyDescent="0.25">
      <c r="B2091" t="s">
        <v>2569</v>
      </c>
    </row>
    <row r="2092" spans="1:2" x14ac:dyDescent="0.25">
      <c r="B2092" t="s">
        <v>2793</v>
      </c>
    </row>
    <row r="2093" spans="1:2" x14ac:dyDescent="0.25">
      <c r="B2093" t="s">
        <v>2794</v>
      </c>
    </row>
    <row r="2095" spans="1:2" x14ac:dyDescent="0.25">
      <c r="A2095" t="s">
        <v>2795</v>
      </c>
    </row>
    <row r="2096" spans="1:2" x14ac:dyDescent="0.25">
      <c r="B2096" t="s">
        <v>2573</v>
      </c>
    </row>
    <row r="2097" spans="1:4" x14ac:dyDescent="0.25">
      <c r="B2097" t="s">
        <v>2796</v>
      </c>
    </row>
    <row r="2098" spans="1:4" x14ac:dyDescent="0.25">
      <c r="C2098" t="s">
        <v>2797</v>
      </c>
    </row>
    <row r="2099" spans="1:4" x14ac:dyDescent="0.25">
      <c r="D2099" t="s">
        <v>2798</v>
      </c>
    </row>
    <row r="2100" spans="1:4" x14ac:dyDescent="0.25">
      <c r="D2100" t="s">
        <v>2577</v>
      </c>
    </row>
    <row r="2101" spans="1:4" x14ac:dyDescent="0.25">
      <c r="B2101" t="s">
        <v>2799</v>
      </c>
    </row>
    <row r="2102" spans="1:4" x14ac:dyDescent="0.25">
      <c r="A2102" t="s">
        <v>2453</v>
      </c>
    </row>
    <row r="2104" spans="1:4" x14ac:dyDescent="0.25">
      <c r="A2104" t="s">
        <v>2800</v>
      </c>
    </row>
    <row r="2105" spans="1:4" x14ac:dyDescent="0.25">
      <c r="A2105" t="s">
        <v>2801</v>
      </c>
    </row>
    <row r="2106" spans="1:4" x14ac:dyDescent="0.25">
      <c r="A2106" t="s">
        <v>2802</v>
      </c>
    </row>
    <row r="2107" spans="1:4" x14ac:dyDescent="0.25">
      <c r="A2107" t="s">
        <v>2803</v>
      </c>
    </row>
    <row r="2108" spans="1:4" x14ac:dyDescent="0.25">
      <c r="A2108" t="s">
        <v>2804</v>
      </c>
    </row>
    <row r="2109" spans="1:4" x14ac:dyDescent="0.25">
      <c r="A2109" t="s">
        <v>2805</v>
      </c>
    </row>
    <row r="2110" spans="1:4" x14ac:dyDescent="0.25">
      <c r="A2110" t="s">
        <v>2806</v>
      </c>
    </row>
    <row r="2111" spans="1:4" x14ac:dyDescent="0.25">
      <c r="A2111" t="s">
        <v>2807</v>
      </c>
    </row>
    <row r="2112" spans="1:4" x14ac:dyDescent="0.25">
      <c r="A2112" t="s">
        <v>2808</v>
      </c>
    </row>
    <row r="2113" spans="1:1" x14ac:dyDescent="0.25">
      <c r="A2113" t="s">
        <v>2809</v>
      </c>
    </row>
    <row r="2114" spans="1:1" x14ac:dyDescent="0.25">
      <c r="A2114" t="s">
        <v>2810</v>
      </c>
    </row>
    <row r="2115" spans="1:1" x14ac:dyDescent="0.25">
      <c r="A2115" t="s">
        <v>2811</v>
      </c>
    </row>
    <row r="2116" spans="1:1" x14ac:dyDescent="0.25">
      <c r="A2116" t="s">
        <v>2812</v>
      </c>
    </row>
    <row r="2117" spans="1:1" x14ac:dyDescent="0.25">
      <c r="A2117" t="s">
        <v>2813</v>
      </c>
    </row>
    <row r="2118" spans="1:1" x14ac:dyDescent="0.25">
      <c r="A2118" t="s">
        <v>2814</v>
      </c>
    </row>
    <row r="2119" spans="1:1" x14ac:dyDescent="0.25">
      <c r="A2119" t="s">
        <v>2815</v>
      </c>
    </row>
    <row r="2120" spans="1:1" x14ac:dyDescent="0.25">
      <c r="A2120" t="s">
        <v>2816</v>
      </c>
    </row>
    <row r="2121" spans="1:1" x14ac:dyDescent="0.25">
      <c r="A2121" t="s">
        <v>2817</v>
      </c>
    </row>
    <row r="2122" spans="1:1" x14ac:dyDescent="0.25">
      <c r="A2122" t="s">
        <v>2818</v>
      </c>
    </row>
    <row r="2123" spans="1:1" x14ac:dyDescent="0.25">
      <c r="A2123" t="s">
        <v>2819</v>
      </c>
    </row>
    <row r="2124" spans="1:1" x14ac:dyDescent="0.25">
      <c r="A2124" t="s">
        <v>2820</v>
      </c>
    </row>
    <row r="2125" spans="1:1" x14ac:dyDescent="0.25">
      <c r="A2125" t="s">
        <v>2821</v>
      </c>
    </row>
    <row r="2126" spans="1:1" x14ac:dyDescent="0.25">
      <c r="A2126" t="s">
        <v>2822</v>
      </c>
    </row>
    <row r="2127" spans="1:1" x14ac:dyDescent="0.25">
      <c r="A2127" t="s">
        <v>2823</v>
      </c>
    </row>
    <row r="2128" spans="1:1" x14ac:dyDescent="0.25">
      <c r="A2128" t="s">
        <v>2824</v>
      </c>
    </row>
    <row r="2129" spans="1:1" x14ac:dyDescent="0.25">
      <c r="A2129" t="s">
        <v>2600</v>
      </c>
    </row>
    <row r="2131" spans="1:1" x14ac:dyDescent="0.25">
      <c r="A2131" t="s">
        <v>2440</v>
      </c>
    </row>
    <row r="2133" spans="1:1" x14ac:dyDescent="0.25">
      <c r="A2133" t="s">
        <v>2550</v>
      </c>
    </row>
    <row r="2134" spans="1:1" x14ac:dyDescent="0.25">
      <c r="A2134" t="s">
        <v>2825</v>
      </c>
    </row>
    <row r="2135" spans="1:1" x14ac:dyDescent="0.25">
      <c r="A2135" t="s">
        <v>2826</v>
      </c>
    </row>
    <row r="2136" spans="1:1" x14ac:dyDescent="0.25">
      <c r="A2136" t="s">
        <v>2446</v>
      </c>
    </row>
    <row r="2137" spans="1:1" x14ac:dyDescent="0.25">
      <c r="A2137" t="s">
        <v>2827</v>
      </c>
    </row>
    <row r="2138" spans="1:1" x14ac:dyDescent="0.25">
      <c r="A2138" t="s">
        <v>2448</v>
      </c>
    </row>
    <row r="2139" spans="1:1" x14ac:dyDescent="0.25">
      <c r="A2139" t="s">
        <v>2828</v>
      </c>
    </row>
    <row r="2140" spans="1:1" x14ac:dyDescent="0.25">
      <c r="A2140" t="s">
        <v>2829</v>
      </c>
    </row>
    <row r="2143" spans="1:1" x14ac:dyDescent="0.25">
      <c r="A2143" t="s">
        <v>2830</v>
      </c>
    </row>
    <row r="2144" spans="1:1" x14ac:dyDescent="0.25">
      <c r="A2144" t="s">
        <v>2608</v>
      </c>
    </row>
    <row r="2145" spans="1:2" x14ac:dyDescent="0.25">
      <c r="A2145" t="s">
        <v>2831</v>
      </c>
    </row>
    <row r="2146" spans="1:2" x14ac:dyDescent="0.25">
      <c r="B2146" t="s">
        <v>2832</v>
      </c>
    </row>
    <row r="2147" spans="1:2" x14ac:dyDescent="0.25">
      <c r="B2147" t="s">
        <v>2833</v>
      </c>
    </row>
    <row r="2149" spans="1:2" x14ac:dyDescent="0.25">
      <c r="A2149" t="s">
        <v>2834</v>
      </c>
    </row>
    <row r="2150" spans="1:2" x14ac:dyDescent="0.25">
      <c r="A2150" t="s">
        <v>2835</v>
      </c>
    </row>
    <row r="2152" spans="1:2" x14ac:dyDescent="0.25">
      <c r="A2152" t="s">
        <v>2834</v>
      </c>
    </row>
    <row r="2153" spans="1:2" x14ac:dyDescent="0.25">
      <c r="A2153" t="s">
        <v>2836</v>
      </c>
    </row>
    <row r="2155" spans="1:2" x14ac:dyDescent="0.25">
      <c r="A2155" t="s">
        <v>2834</v>
      </c>
    </row>
    <row r="2156" spans="1:2" x14ac:dyDescent="0.25">
      <c r="A2156" t="s">
        <v>2837</v>
      </c>
    </row>
    <row r="2157" spans="1:2" x14ac:dyDescent="0.25">
      <c r="A2157" t="s">
        <v>2453</v>
      </c>
    </row>
    <row r="2159" spans="1:2" x14ac:dyDescent="0.25">
      <c r="A2159" t="s">
        <v>2800</v>
      </c>
    </row>
    <row r="2160" spans="1:2" x14ac:dyDescent="0.25">
      <c r="A2160" t="s">
        <v>2838</v>
      </c>
    </row>
    <row r="2161" spans="1:1" x14ac:dyDescent="0.25">
      <c r="A2161" t="s">
        <v>2839</v>
      </c>
    </row>
    <row r="2162" spans="1:1" x14ac:dyDescent="0.25">
      <c r="A2162" t="s">
        <v>2840</v>
      </c>
    </row>
    <row r="2163" spans="1:1" x14ac:dyDescent="0.25">
      <c r="A2163" t="s">
        <v>2841</v>
      </c>
    </row>
    <row r="2164" spans="1:1" x14ac:dyDescent="0.25">
      <c r="A2164" t="s">
        <v>2842</v>
      </c>
    </row>
    <row r="2165" spans="1:1" x14ac:dyDescent="0.25">
      <c r="A2165" t="s">
        <v>2843</v>
      </c>
    </row>
    <row r="2166" spans="1:1" x14ac:dyDescent="0.25">
      <c r="A2166" t="s">
        <v>2844</v>
      </c>
    </row>
    <row r="2167" spans="1:1" x14ac:dyDescent="0.25">
      <c r="A2167" t="s">
        <v>2845</v>
      </c>
    </row>
    <row r="2168" spans="1:1" x14ac:dyDescent="0.25">
      <c r="A2168" t="s">
        <v>2846</v>
      </c>
    </row>
    <row r="2169" spans="1:1" x14ac:dyDescent="0.25">
      <c r="A2169" t="s">
        <v>2847</v>
      </c>
    </row>
    <row r="2170" spans="1:1" x14ac:dyDescent="0.25">
      <c r="A2170" t="s">
        <v>2848</v>
      </c>
    </row>
    <row r="2171" spans="1:1" x14ac:dyDescent="0.25">
      <c r="A2171" t="s">
        <v>2629</v>
      </c>
    </row>
    <row r="2172" spans="1:1" x14ac:dyDescent="0.25">
      <c r="A2172" t="s">
        <v>2630</v>
      </c>
    </row>
    <row r="2173" spans="1:1" x14ac:dyDescent="0.25">
      <c r="A2173" t="s">
        <v>2631</v>
      </c>
    </row>
    <row r="2174" spans="1:1" x14ac:dyDescent="0.25">
      <c r="A2174" t="s">
        <v>2632</v>
      </c>
    </row>
    <row r="2175" spans="1:1" x14ac:dyDescent="0.25">
      <c r="A2175" t="s">
        <v>2600</v>
      </c>
    </row>
    <row r="2177" spans="1:1" x14ac:dyDescent="0.25">
      <c r="A2177" t="s">
        <v>2440</v>
      </c>
    </row>
    <row r="2179" spans="1:1" x14ac:dyDescent="0.25">
      <c r="A2179" t="s">
        <v>1934</v>
      </c>
    </row>
    <row r="2180" spans="1:1" x14ac:dyDescent="0.25">
      <c r="A2180" t="s">
        <v>2633</v>
      </c>
    </row>
    <row r="2181" spans="1:1" x14ac:dyDescent="0.25">
      <c r="A2181" t="s">
        <v>2634</v>
      </c>
    </row>
    <row r="2183" spans="1:1" x14ac:dyDescent="0.25">
      <c r="A2183" t="s">
        <v>2635</v>
      </c>
    </row>
    <row r="2184" spans="1:1" x14ac:dyDescent="0.25">
      <c r="A2184" t="s">
        <v>2636</v>
      </c>
    </row>
    <row r="2185" spans="1:1" x14ac:dyDescent="0.25">
      <c r="A2185" t="s">
        <v>2637</v>
      </c>
    </row>
    <row r="2186" spans="1:1" x14ac:dyDescent="0.25">
      <c r="A2186" t="s">
        <v>2638</v>
      </c>
    </row>
    <row r="2188" spans="1:1" x14ac:dyDescent="0.25">
      <c r="A2188" t="s">
        <v>2639</v>
      </c>
    </row>
    <row r="2189" spans="1:1" x14ac:dyDescent="0.25">
      <c r="A2189" t="s">
        <v>2640</v>
      </c>
    </row>
    <row r="2190" spans="1:1" x14ac:dyDescent="0.25">
      <c r="A2190" t="s">
        <v>2641</v>
      </c>
    </row>
    <row r="2191" spans="1:1" x14ac:dyDescent="0.25">
      <c r="A2191" t="s">
        <v>2642</v>
      </c>
    </row>
    <row r="2193" spans="1:2" x14ac:dyDescent="0.25">
      <c r="A2193" t="s">
        <v>2849</v>
      </c>
    </row>
    <row r="2195" spans="1:2" x14ac:dyDescent="0.25">
      <c r="A2195" t="s">
        <v>2644</v>
      </c>
    </row>
    <row r="2196" spans="1:2" x14ac:dyDescent="0.25">
      <c r="A2196" t="s">
        <v>2850</v>
      </c>
    </row>
    <row r="2197" spans="1:2" x14ac:dyDescent="0.25">
      <c r="B2197" t="s">
        <v>2851</v>
      </c>
    </row>
    <row r="2198" spans="1:2" x14ac:dyDescent="0.25">
      <c r="B2198" t="s">
        <v>2852</v>
      </c>
    </row>
    <row r="2199" spans="1:2" x14ac:dyDescent="0.25">
      <c r="B2199" t="s">
        <v>2853</v>
      </c>
    </row>
    <row r="2200" spans="1:2" x14ac:dyDescent="0.25">
      <c r="B2200" t="s">
        <v>2854</v>
      </c>
    </row>
    <row r="2201" spans="1:2" x14ac:dyDescent="0.25">
      <c r="B2201" t="s">
        <v>2855</v>
      </c>
    </row>
    <row r="2202" spans="1:2" x14ac:dyDescent="0.25">
      <c r="B2202" t="s">
        <v>2856</v>
      </c>
    </row>
    <row r="2203" spans="1:2" x14ac:dyDescent="0.25">
      <c r="B2203" t="s">
        <v>2857</v>
      </c>
    </row>
    <row r="2204" spans="1:2" x14ac:dyDescent="0.25">
      <c r="B2204" t="s">
        <v>2858</v>
      </c>
    </row>
    <row r="2205" spans="1:2" x14ac:dyDescent="0.25">
      <c r="B2205" t="s">
        <v>2859</v>
      </c>
    </row>
    <row r="2206" spans="1:2" x14ac:dyDescent="0.25">
      <c r="B2206" t="s">
        <v>2860</v>
      </c>
    </row>
    <row r="2207" spans="1:2" x14ac:dyDescent="0.25">
      <c r="B2207" t="s">
        <v>2861</v>
      </c>
    </row>
    <row r="2208" spans="1:2" x14ac:dyDescent="0.25">
      <c r="A2208" t="s">
        <v>2659</v>
      </c>
    </row>
    <row r="2210" spans="1:2" x14ac:dyDescent="0.25">
      <c r="A2210" t="s">
        <v>2862</v>
      </c>
    </row>
    <row r="2211" spans="1:2" x14ac:dyDescent="0.25">
      <c r="A2211" t="s">
        <v>2609</v>
      </c>
    </row>
    <row r="2212" spans="1:2" x14ac:dyDescent="0.25">
      <c r="B2212" t="s">
        <v>2863</v>
      </c>
    </row>
    <row r="2213" spans="1:2" x14ac:dyDescent="0.25">
      <c r="A2213" t="s">
        <v>1942</v>
      </c>
    </row>
    <row r="2215" spans="1:2" x14ac:dyDescent="0.25">
      <c r="A2215" t="s">
        <v>2550</v>
      </c>
    </row>
    <row r="2216" spans="1:2" x14ac:dyDescent="0.25">
      <c r="A2216" t="s">
        <v>2864</v>
      </c>
    </row>
    <row r="2217" spans="1:2" x14ac:dyDescent="0.25">
      <c r="A2217" t="s">
        <v>2664</v>
      </c>
    </row>
    <row r="2218" spans="1:2" x14ac:dyDescent="0.25">
      <c r="A2218" t="s">
        <v>2665</v>
      </c>
    </row>
    <row r="2219" spans="1:2" x14ac:dyDescent="0.25">
      <c r="A2219" t="s">
        <v>2446</v>
      </c>
    </row>
    <row r="2220" spans="1:2" x14ac:dyDescent="0.25">
      <c r="A2220" t="s">
        <v>2666</v>
      </c>
    </row>
    <row r="2221" spans="1:2" x14ac:dyDescent="0.25">
      <c r="A2221" t="s">
        <v>2865</v>
      </c>
    </row>
    <row r="2222" spans="1:2" x14ac:dyDescent="0.25">
      <c r="A2222" t="s">
        <v>2866</v>
      </c>
    </row>
    <row r="2223" spans="1:2" x14ac:dyDescent="0.25">
      <c r="A2223" t="s">
        <v>2867</v>
      </c>
    </row>
    <row r="2224" spans="1:2" x14ac:dyDescent="0.25">
      <c r="A2224" t="s">
        <v>2868</v>
      </c>
    </row>
    <row r="2225" spans="1:1" x14ac:dyDescent="0.25">
      <c r="A2225" t="s">
        <v>2869</v>
      </c>
    </row>
    <row r="2226" spans="1:1" x14ac:dyDescent="0.25">
      <c r="A2226" t="s">
        <v>2870</v>
      </c>
    </row>
    <row r="2227" spans="1:1" x14ac:dyDescent="0.25">
      <c r="A2227" t="s">
        <v>2871</v>
      </c>
    </row>
    <row r="2228" spans="1:1" x14ac:dyDescent="0.25">
      <c r="A2228" t="s">
        <v>2872</v>
      </c>
    </row>
    <row r="2229" spans="1:1" x14ac:dyDescent="0.25">
      <c r="A2229" t="s">
        <v>2873</v>
      </c>
    </row>
    <row r="2230" spans="1:1" x14ac:dyDescent="0.25">
      <c r="A2230" t="s">
        <v>2874</v>
      </c>
    </row>
    <row r="2231" spans="1:1" x14ac:dyDescent="0.25">
      <c r="A2231" t="s">
        <v>2600</v>
      </c>
    </row>
    <row r="2233" spans="1:1" x14ac:dyDescent="0.25">
      <c r="A2233" t="s">
        <v>2440</v>
      </c>
    </row>
    <row r="2235" spans="1:1" x14ac:dyDescent="0.25">
      <c r="A2235" t="s">
        <v>1934</v>
      </c>
    </row>
    <row r="2236" spans="1:1" x14ac:dyDescent="0.25">
      <c r="A2236" t="s">
        <v>2875</v>
      </c>
    </row>
    <row r="2238" spans="1:1" x14ac:dyDescent="0.25">
      <c r="A2238" t="s">
        <v>2674</v>
      </c>
    </row>
    <row r="2240" spans="1:1" x14ac:dyDescent="0.25">
      <c r="A2240" t="s">
        <v>2675</v>
      </c>
    </row>
    <row r="2241" spans="1:1" x14ac:dyDescent="0.25">
      <c r="A2241" t="s">
        <v>2676</v>
      </c>
    </row>
    <row r="2243" spans="1:1" x14ac:dyDescent="0.25">
      <c r="A2243" t="s">
        <v>2876</v>
      </c>
    </row>
    <row r="2244" spans="1:1" x14ac:dyDescent="0.25">
      <c r="A2244" t="s">
        <v>2678</v>
      </c>
    </row>
    <row r="2245" spans="1:1" x14ac:dyDescent="0.25">
      <c r="A2245" t="s">
        <v>2392</v>
      </c>
    </row>
    <row r="2246" spans="1:1" x14ac:dyDescent="0.25">
      <c r="A2246" t="s">
        <v>2877</v>
      </c>
    </row>
    <row r="2247" spans="1:1" x14ac:dyDescent="0.25">
      <c r="A2247" t="s">
        <v>2388</v>
      </c>
    </row>
    <row r="2248" spans="1:1" x14ac:dyDescent="0.25">
      <c r="A2248" t="s">
        <v>2680</v>
      </c>
    </row>
    <row r="2249" spans="1:1" x14ac:dyDescent="0.25">
      <c r="A2249" t="s">
        <v>2878</v>
      </c>
    </row>
    <row r="2250" spans="1:1" x14ac:dyDescent="0.25">
      <c r="A2250" t="s">
        <v>1942</v>
      </c>
    </row>
    <row r="2252" spans="1:1" x14ac:dyDescent="0.25">
      <c r="A2252" t="s">
        <v>2440</v>
      </c>
    </row>
    <row r="2254" spans="1:1" x14ac:dyDescent="0.25">
      <c r="A2254" t="s">
        <v>2682</v>
      </c>
    </row>
    <row r="2255" spans="1:1" x14ac:dyDescent="0.25">
      <c r="A2255" t="s">
        <v>2879</v>
      </c>
    </row>
    <row r="2256" spans="1:1" x14ac:dyDescent="0.25">
      <c r="A2256" t="s">
        <v>2684</v>
      </c>
    </row>
    <row r="2257" spans="1:1" x14ac:dyDescent="0.25">
      <c r="A2257" t="s">
        <v>2664</v>
      </c>
    </row>
    <row r="2258" spans="1:1" x14ac:dyDescent="0.25">
      <c r="A2258" t="s">
        <v>2446</v>
      </c>
    </row>
    <row r="2259" spans="1:1" x14ac:dyDescent="0.25">
      <c r="A2259" t="s">
        <v>2880</v>
      </c>
    </row>
    <row r="2260" spans="1:1" x14ac:dyDescent="0.25">
      <c r="A2260" t="s">
        <v>2865</v>
      </c>
    </row>
    <row r="2261" spans="1:1" x14ac:dyDescent="0.25">
      <c r="A2261" t="s">
        <v>2866</v>
      </c>
    </row>
    <row r="2262" spans="1:1" x14ac:dyDescent="0.25">
      <c r="A2262" t="s">
        <v>2867</v>
      </c>
    </row>
    <row r="2263" spans="1:1" x14ac:dyDescent="0.25">
      <c r="A2263" t="s">
        <v>2868</v>
      </c>
    </row>
    <row r="2264" spans="1:1" x14ac:dyDescent="0.25">
      <c r="A2264" t="s">
        <v>2869</v>
      </c>
    </row>
    <row r="2265" spans="1:1" x14ac:dyDescent="0.25">
      <c r="A2265" t="s">
        <v>2870</v>
      </c>
    </row>
    <row r="2266" spans="1:1" x14ac:dyDescent="0.25">
      <c r="A2266" t="s">
        <v>2871</v>
      </c>
    </row>
    <row r="2267" spans="1:1" x14ac:dyDescent="0.25">
      <c r="A2267" t="s">
        <v>2872</v>
      </c>
    </row>
    <row r="2268" spans="1:1" x14ac:dyDescent="0.25">
      <c r="A2268" t="s">
        <v>2873</v>
      </c>
    </row>
    <row r="2269" spans="1:1" x14ac:dyDescent="0.25">
      <c r="A2269" t="s">
        <v>2874</v>
      </c>
    </row>
    <row r="2270" spans="1:1" x14ac:dyDescent="0.25">
      <c r="A2270" t="s">
        <v>2686</v>
      </c>
    </row>
    <row r="2272" spans="1:1" x14ac:dyDescent="0.25">
      <c r="A2272" t="s">
        <v>2440</v>
      </c>
    </row>
    <row r="2274" spans="1:1" x14ac:dyDescent="0.25">
      <c r="A2274" t="s">
        <v>2682</v>
      </c>
    </row>
    <row r="2275" spans="1:1" x14ac:dyDescent="0.25">
      <c r="A2275" t="s">
        <v>2881</v>
      </c>
    </row>
    <row r="2276" spans="1:1" x14ac:dyDescent="0.25">
      <c r="A2276" t="s">
        <v>2684</v>
      </c>
    </row>
    <row r="2277" spans="1:1" x14ac:dyDescent="0.25">
      <c r="A2277" t="s">
        <v>2664</v>
      </c>
    </row>
    <row r="2278" spans="1:1" x14ac:dyDescent="0.25">
      <c r="A2278" t="s">
        <v>2446</v>
      </c>
    </row>
    <row r="2279" spans="1:1" x14ac:dyDescent="0.25">
      <c r="A2279" t="s">
        <v>2882</v>
      </c>
    </row>
    <row r="2280" spans="1:1" x14ac:dyDescent="0.25">
      <c r="A2280" t="s">
        <v>2865</v>
      </c>
    </row>
    <row r="2281" spans="1:1" x14ac:dyDescent="0.25">
      <c r="A2281" t="s">
        <v>2866</v>
      </c>
    </row>
    <row r="2282" spans="1:1" x14ac:dyDescent="0.25">
      <c r="A2282" t="s">
        <v>2867</v>
      </c>
    </row>
    <row r="2283" spans="1:1" x14ac:dyDescent="0.25">
      <c r="A2283" t="s">
        <v>2868</v>
      </c>
    </row>
    <row r="2284" spans="1:1" x14ac:dyDescent="0.25">
      <c r="A2284" t="s">
        <v>2869</v>
      </c>
    </row>
    <row r="2285" spans="1:1" x14ac:dyDescent="0.25">
      <c r="A2285" t="s">
        <v>2870</v>
      </c>
    </row>
    <row r="2286" spans="1:1" x14ac:dyDescent="0.25">
      <c r="A2286" t="s">
        <v>2871</v>
      </c>
    </row>
    <row r="2287" spans="1:1" x14ac:dyDescent="0.25">
      <c r="A2287" t="s">
        <v>2872</v>
      </c>
    </row>
    <row r="2288" spans="1:1" x14ac:dyDescent="0.25">
      <c r="A2288" t="s">
        <v>2873</v>
      </c>
    </row>
    <row r="2289" spans="1:1" x14ac:dyDescent="0.25">
      <c r="A2289" t="s">
        <v>2874</v>
      </c>
    </row>
    <row r="2290" spans="1:1" x14ac:dyDescent="0.25">
      <c r="A2290" t="s">
        <v>2686</v>
      </c>
    </row>
    <row r="2292" spans="1:1" x14ac:dyDescent="0.25">
      <c r="A2292" t="s">
        <v>2440</v>
      </c>
    </row>
    <row r="2294" spans="1:1" x14ac:dyDescent="0.25">
      <c r="A2294" t="s">
        <v>2550</v>
      </c>
    </row>
    <row r="2295" spans="1:1" x14ac:dyDescent="0.25">
      <c r="A2295" t="s">
        <v>2883</v>
      </c>
    </row>
    <row r="2296" spans="1:1" x14ac:dyDescent="0.25">
      <c r="A2296" t="s">
        <v>2446</v>
      </c>
    </row>
    <row r="2297" spans="1:1" x14ac:dyDescent="0.25">
      <c r="A2297" t="s">
        <v>2552</v>
      </c>
    </row>
    <row r="2298" spans="1:1" x14ac:dyDescent="0.25">
      <c r="A2298" t="s">
        <v>2448</v>
      </c>
    </row>
    <row r="2299" spans="1:1" x14ac:dyDescent="0.25">
      <c r="A2299" t="s">
        <v>2884</v>
      </c>
    </row>
    <row r="2300" spans="1:1" x14ac:dyDescent="0.25">
      <c r="A2300" t="s">
        <v>2885</v>
      </c>
    </row>
    <row r="2301" spans="1:1" x14ac:dyDescent="0.25">
      <c r="A2301" t="s">
        <v>2886</v>
      </c>
    </row>
    <row r="2302" spans="1:1" x14ac:dyDescent="0.25">
      <c r="A2302" t="s">
        <v>2887</v>
      </c>
    </row>
    <row r="2303" spans="1:1" x14ac:dyDescent="0.25">
      <c r="A2303" t="s">
        <v>2888</v>
      </c>
    </row>
    <row r="2304" spans="1:1" x14ac:dyDescent="0.25">
      <c r="A2304" t="s">
        <v>2453</v>
      </c>
    </row>
    <row r="2306" spans="1:1" x14ac:dyDescent="0.25">
      <c r="A2306" t="s">
        <v>2889</v>
      </c>
    </row>
    <row r="2307" spans="1:1" x14ac:dyDescent="0.25">
      <c r="A2307" t="s">
        <v>2890</v>
      </c>
    </row>
    <row r="2308" spans="1:1" x14ac:dyDescent="0.25">
      <c r="A2308" t="s">
        <v>2891</v>
      </c>
    </row>
    <row r="2309" spans="1:1" x14ac:dyDescent="0.25">
      <c r="A2309" t="s">
        <v>2892</v>
      </c>
    </row>
    <row r="2310" spans="1:1" x14ac:dyDescent="0.25">
      <c r="A2310" t="s">
        <v>2893</v>
      </c>
    </row>
    <row r="2311" spans="1:1" x14ac:dyDescent="0.25">
      <c r="A2311" t="s">
        <v>2600</v>
      </c>
    </row>
    <row r="2313" spans="1:1" x14ac:dyDescent="0.25">
      <c r="A2313" t="s">
        <v>2440</v>
      </c>
    </row>
    <row r="2315" spans="1:1" x14ac:dyDescent="0.25">
      <c r="A2315" t="s">
        <v>2550</v>
      </c>
    </row>
    <row r="2316" spans="1:1" x14ac:dyDescent="0.25">
      <c r="A2316" t="s">
        <v>2894</v>
      </c>
    </row>
    <row r="2317" spans="1:1" x14ac:dyDescent="0.25">
      <c r="A2317" t="s">
        <v>2446</v>
      </c>
    </row>
    <row r="2318" spans="1:1" x14ac:dyDescent="0.25">
      <c r="A2318" t="s">
        <v>2552</v>
      </c>
    </row>
    <row r="2319" spans="1:1" x14ac:dyDescent="0.25">
      <c r="A2319" t="s">
        <v>2448</v>
      </c>
    </row>
    <row r="2321" spans="1:1" x14ac:dyDescent="0.25">
      <c r="A2321" t="s">
        <v>2696</v>
      </c>
    </row>
    <row r="2322" spans="1:1" x14ac:dyDescent="0.25">
      <c r="A2322" t="s">
        <v>2895</v>
      </c>
    </row>
    <row r="2325" spans="1:1" x14ac:dyDescent="0.25">
      <c r="A2325" t="s">
        <v>2699</v>
      </c>
    </row>
    <row r="2326" spans="1:1" x14ac:dyDescent="0.25">
      <c r="A2326" t="s">
        <v>2896</v>
      </c>
    </row>
    <row r="2327" spans="1:1" x14ac:dyDescent="0.25">
      <c r="A2327" t="s">
        <v>2897</v>
      </c>
    </row>
    <row r="2328" spans="1:1" x14ac:dyDescent="0.25">
      <c r="A2328" t="s">
        <v>2898</v>
      </c>
    </row>
    <row r="2329" spans="1:1" x14ac:dyDescent="0.25">
      <c r="A2329" t="s">
        <v>2899</v>
      </c>
    </row>
    <row r="2330" spans="1:1" x14ac:dyDescent="0.25">
      <c r="A2330" t="s">
        <v>2900</v>
      </c>
    </row>
    <row r="2331" spans="1:1" x14ac:dyDescent="0.25">
      <c r="A2331" t="s">
        <v>2659</v>
      </c>
    </row>
    <row r="2334" spans="1:1" x14ac:dyDescent="0.25">
      <c r="A2334" t="s">
        <v>2901</v>
      </c>
    </row>
    <row r="2336" spans="1:1" x14ac:dyDescent="0.25">
      <c r="A2336" t="s">
        <v>2902</v>
      </c>
    </row>
    <row r="2337" spans="1:2" x14ac:dyDescent="0.25">
      <c r="A2337" t="s">
        <v>2903</v>
      </c>
    </row>
    <row r="2338" spans="1:2" x14ac:dyDescent="0.25">
      <c r="A2338" t="s">
        <v>2904</v>
      </c>
    </row>
    <row r="2339" spans="1:2" x14ac:dyDescent="0.25">
      <c r="A2339" t="s">
        <v>2905</v>
      </c>
    </row>
    <row r="2340" spans="1:2" x14ac:dyDescent="0.25">
      <c r="A2340" t="s">
        <v>2906</v>
      </c>
    </row>
    <row r="2341" spans="1:2" x14ac:dyDescent="0.25">
      <c r="A2341" t="s">
        <v>2907</v>
      </c>
    </row>
    <row r="2343" spans="1:2" x14ac:dyDescent="0.25">
      <c r="A2343" t="s">
        <v>2908</v>
      </c>
    </row>
    <row r="2345" spans="1:2" x14ac:dyDescent="0.25">
      <c r="A2345" t="s">
        <v>2909</v>
      </c>
    </row>
    <row r="2346" spans="1:2" x14ac:dyDescent="0.25">
      <c r="B2346" t="s">
        <v>2910</v>
      </c>
    </row>
    <row r="2348" spans="1:2" x14ac:dyDescent="0.25">
      <c r="A2348" t="s">
        <v>2911</v>
      </c>
    </row>
    <row r="2349" spans="1:2" x14ac:dyDescent="0.25">
      <c r="B2349" t="s">
        <v>2912</v>
      </c>
    </row>
    <row r="2352" spans="1:2" x14ac:dyDescent="0.25">
      <c r="A2352" t="s">
        <v>2714</v>
      </c>
    </row>
    <row r="2353" spans="1:1" x14ac:dyDescent="0.25">
      <c r="A2353" t="s">
        <v>2913</v>
      </c>
    </row>
    <row r="2355" spans="1:1" x14ac:dyDescent="0.25">
      <c r="A2355" t="s">
        <v>2914</v>
      </c>
    </row>
    <row r="2356" spans="1:1" x14ac:dyDescent="0.25">
      <c r="A2356" t="s">
        <v>2717</v>
      </c>
    </row>
    <row r="2357" spans="1:1" x14ac:dyDescent="0.25">
      <c r="A2357" t="s">
        <v>2718</v>
      </c>
    </row>
    <row r="2358" spans="1:1" x14ac:dyDescent="0.25">
      <c r="A2358" t="s">
        <v>2915</v>
      </c>
    </row>
    <row r="2359" spans="1:1" x14ac:dyDescent="0.25">
      <c r="A2359" t="s">
        <v>2916</v>
      </c>
    </row>
    <row r="2361" spans="1:1" x14ac:dyDescent="0.25">
      <c r="A2361" t="s">
        <v>2917</v>
      </c>
    </row>
    <row r="2363" spans="1:1" x14ac:dyDescent="0.25">
      <c r="A2363" t="s">
        <v>2918</v>
      </c>
    </row>
    <row r="2364" spans="1:1" x14ac:dyDescent="0.25">
      <c r="A2364" t="s">
        <v>2453</v>
      </c>
    </row>
    <row r="2366" spans="1:1" x14ac:dyDescent="0.25">
      <c r="A2366" t="s">
        <v>2865</v>
      </c>
    </row>
    <row r="2367" spans="1:1" x14ac:dyDescent="0.25">
      <c r="A2367" t="s">
        <v>2866</v>
      </c>
    </row>
    <row r="2368" spans="1:1" x14ac:dyDescent="0.25">
      <c r="A2368" t="s">
        <v>2867</v>
      </c>
    </row>
    <row r="2369" spans="1:1" x14ac:dyDescent="0.25">
      <c r="A2369" t="s">
        <v>2868</v>
      </c>
    </row>
    <row r="2370" spans="1:1" x14ac:dyDescent="0.25">
      <c r="A2370" t="s">
        <v>2869</v>
      </c>
    </row>
    <row r="2371" spans="1:1" x14ac:dyDescent="0.25">
      <c r="A2371" t="s">
        <v>2870</v>
      </c>
    </row>
    <row r="2372" spans="1:1" x14ac:dyDescent="0.25">
      <c r="A2372" t="s">
        <v>2871</v>
      </c>
    </row>
    <row r="2373" spans="1:1" x14ac:dyDescent="0.25">
      <c r="A2373" t="s">
        <v>2872</v>
      </c>
    </row>
    <row r="2374" spans="1:1" x14ac:dyDescent="0.25">
      <c r="A2374" t="s">
        <v>2873</v>
      </c>
    </row>
    <row r="2375" spans="1:1" x14ac:dyDescent="0.25">
      <c r="A2375" t="s">
        <v>2874</v>
      </c>
    </row>
    <row r="2376" spans="1:1" x14ac:dyDescent="0.25">
      <c r="A2376" t="s">
        <v>2600</v>
      </c>
    </row>
    <row r="2378" spans="1:1" x14ac:dyDescent="0.25">
      <c r="A2378" t="s">
        <v>2440</v>
      </c>
    </row>
    <row r="2380" spans="1:1" x14ac:dyDescent="0.25">
      <c r="A2380" t="s">
        <v>2550</v>
      </c>
    </row>
    <row r="2381" spans="1:1" x14ac:dyDescent="0.25">
      <c r="A2381" t="s">
        <v>2919</v>
      </c>
    </row>
    <row r="2382" spans="1:1" x14ac:dyDescent="0.25">
      <c r="A2382" t="s">
        <v>2446</v>
      </c>
    </row>
    <row r="2383" spans="1:1" x14ac:dyDescent="0.25">
      <c r="A2383" t="s">
        <v>2552</v>
      </c>
    </row>
    <row r="2384" spans="1:1" x14ac:dyDescent="0.25">
      <c r="A2384" t="s">
        <v>2448</v>
      </c>
    </row>
    <row r="2386" spans="1:1" x14ac:dyDescent="0.25">
      <c r="A2386" t="s">
        <v>2724</v>
      </c>
    </row>
    <row r="2388" spans="1:1" x14ac:dyDescent="0.25">
      <c r="A2388" t="s">
        <v>2920</v>
      </c>
    </row>
    <row r="2390" spans="1:1" x14ac:dyDescent="0.25">
      <c r="A2390" t="s">
        <v>2726</v>
      </c>
    </row>
    <row r="2391" spans="1:1" x14ac:dyDescent="0.25">
      <c r="A2391" t="s">
        <v>2727</v>
      </c>
    </row>
    <row r="2393" spans="1:1" x14ac:dyDescent="0.25">
      <c r="A2393" t="s">
        <v>2728</v>
      </c>
    </row>
    <row r="2394" spans="1:1" x14ac:dyDescent="0.25">
      <c r="A2394" t="s">
        <v>2729</v>
      </c>
    </row>
    <row r="2396" spans="1:1" x14ac:dyDescent="0.25">
      <c r="A2396" t="s">
        <v>2730</v>
      </c>
    </row>
    <row r="2398" spans="1:1" x14ac:dyDescent="0.25">
      <c r="A2398" t="s">
        <v>2921</v>
      </c>
    </row>
    <row r="2401" spans="1:2" x14ac:dyDescent="0.25">
      <c r="A2401" t="s">
        <v>2609</v>
      </c>
    </row>
    <row r="2402" spans="1:2" x14ac:dyDescent="0.25">
      <c r="A2402" t="s">
        <v>2732</v>
      </c>
    </row>
    <row r="2404" spans="1:2" x14ac:dyDescent="0.25">
      <c r="A2404" t="s">
        <v>2733</v>
      </c>
    </row>
    <row r="2405" spans="1:2" x14ac:dyDescent="0.25">
      <c r="B2405" t="s">
        <v>2922</v>
      </c>
    </row>
    <row r="2406" spans="1:2" x14ac:dyDescent="0.25">
      <c r="A2406" t="s">
        <v>2453</v>
      </c>
    </row>
    <row r="2408" spans="1:2" x14ac:dyDescent="0.25">
      <c r="A2408" t="s">
        <v>2865</v>
      </c>
    </row>
    <row r="2409" spans="1:2" x14ac:dyDescent="0.25">
      <c r="A2409" t="s">
        <v>2866</v>
      </c>
    </row>
    <row r="2410" spans="1:2" x14ac:dyDescent="0.25">
      <c r="A2410" t="s">
        <v>2867</v>
      </c>
    </row>
    <row r="2411" spans="1:2" x14ac:dyDescent="0.25">
      <c r="A2411" t="s">
        <v>2868</v>
      </c>
    </row>
    <row r="2412" spans="1:2" x14ac:dyDescent="0.25">
      <c r="A2412" t="s">
        <v>2869</v>
      </c>
    </row>
    <row r="2413" spans="1:2" x14ac:dyDescent="0.25">
      <c r="A2413" t="s">
        <v>2870</v>
      </c>
    </row>
    <row r="2414" spans="1:2" x14ac:dyDescent="0.25">
      <c r="A2414" t="s">
        <v>2871</v>
      </c>
    </row>
    <row r="2415" spans="1:2" x14ac:dyDescent="0.25">
      <c r="A2415" t="s">
        <v>2872</v>
      </c>
    </row>
    <row r="2416" spans="1:2" x14ac:dyDescent="0.25">
      <c r="A2416" t="s">
        <v>2873</v>
      </c>
    </row>
    <row r="2417" spans="1:1" x14ac:dyDescent="0.25">
      <c r="A2417" t="s">
        <v>2874</v>
      </c>
    </row>
    <row r="2418" spans="1:1" x14ac:dyDescent="0.25">
      <c r="A2418" t="s">
        <v>2735</v>
      </c>
    </row>
    <row r="2419" spans="1:1" x14ac:dyDescent="0.25">
      <c r="A2419" t="s">
        <v>2736</v>
      </c>
    </row>
    <row r="2420" spans="1:1" x14ac:dyDescent="0.25">
      <c r="A2420" t="s">
        <v>2600</v>
      </c>
    </row>
    <row r="2422" spans="1:1" x14ac:dyDescent="0.25">
      <c r="A2422" t="s">
        <v>2440</v>
      </c>
    </row>
    <row r="2424" spans="1:1" x14ac:dyDescent="0.25">
      <c r="A2424" t="s">
        <v>1934</v>
      </c>
    </row>
    <row r="2425" spans="1:1" x14ac:dyDescent="0.25">
      <c r="A2425" t="s">
        <v>2923</v>
      </c>
    </row>
    <row r="2427" spans="1:1" x14ac:dyDescent="0.25">
      <c r="A2427" t="s">
        <v>2674</v>
      </c>
    </row>
    <row r="2429" spans="1:1" x14ac:dyDescent="0.25">
      <c r="A2429" t="s">
        <v>2924</v>
      </c>
    </row>
    <row r="2430" spans="1:1" x14ac:dyDescent="0.25">
      <c r="A2430" t="s">
        <v>2925</v>
      </c>
    </row>
    <row r="2432" spans="1:1" x14ac:dyDescent="0.25">
      <c r="A2432" t="s">
        <v>2926</v>
      </c>
    </row>
    <row r="2433" spans="1:1" x14ac:dyDescent="0.25">
      <c r="A2433" t="s">
        <v>2927</v>
      </c>
    </row>
    <row r="2434" spans="1:1" x14ac:dyDescent="0.25">
      <c r="A2434" t="s">
        <v>2392</v>
      </c>
    </row>
    <row r="2435" spans="1:1" x14ac:dyDescent="0.25">
      <c r="A2435" t="s">
        <v>2928</v>
      </c>
    </row>
    <row r="2436" spans="1:1" x14ac:dyDescent="0.25">
      <c r="A2436" t="s">
        <v>2388</v>
      </c>
    </row>
    <row r="2437" spans="1:1" x14ac:dyDescent="0.25">
      <c r="A2437" t="s">
        <v>2929</v>
      </c>
    </row>
    <row r="2438" spans="1:1" x14ac:dyDescent="0.25">
      <c r="A2438" t="s">
        <v>2930</v>
      </c>
    </row>
    <row r="2439" spans="1:1" x14ac:dyDescent="0.25">
      <c r="A2439" t="s">
        <v>1942</v>
      </c>
    </row>
    <row r="2441" spans="1:1" x14ac:dyDescent="0.25">
      <c r="A2441" t="s">
        <v>2440</v>
      </c>
    </row>
    <row r="2443" spans="1:1" x14ac:dyDescent="0.25">
      <c r="A2443" t="s">
        <v>2682</v>
      </c>
    </row>
    <row r="2444" spans="1:1" x14ac:dyDescent="0.25">
      <c r="A2444" t="s">
        <v>2931</v>
      </c>
    </row>
    <row r="2445" spans="1:1" x14ac:dyDescent="0.25">
      <c r="A2445" t="s">
        <v>2684</v>
      </c>
    </row>
    <row r="2446" spans="1:1" x14ac:dyDescent="0.25">
      <c r="A2446" t="s">
        <v>2664</v>
      </c>
    </row>
    <row r="2447" spans="1:1" x14ac:dyDescent="0.25">
      <c r="A2447" t="s">
        <v>2446</v>
      </c>
    </row>
    <row r="2448" spans="1:1" x14ac:dyDescent="0.25">
      <c r="A2448" t="s">
        <v>2932</v>
      </c>
    </row>
    <row r="2449" spans="1:1" x14ac:dyDescent="0.25">
      <c r="A2449" t="s">
        <v>2865</v>
      </c>
    </row>
    <row r="2450" spans="1:1" x14ac:dyDescent="0.25">
      <c r="A2450" t="s">
        <v>2866</v>
      </c>
    </row>
    <row r="2451" spans="1:1" x14ac:dyDescent="0.25">
      <c r="A2451" t="s">
        <v>2867</v>
      </c>
    </row>
    <row r="2452" spans="1:1" x14ac:dyDescent="0.25">
      <c r="A2452" t="s">
        <v>2868</v>
      </c>
    </row>
    <row r="2453" spans="1:1" x14ac:dyDescent="0.25">
      <c r="A2453" t="s">
        <v>2869</v>
      </c>
    </row>
    <row r="2454" spans="1:1" x14ac:dyDescent="0.25">
      <c r="A2454" t="s">
        <v>2870</v>
      </c>
    </row>
    <row r="2455" spans="1:1" x14ac:dyDescent="0.25">
      <c r="A2455" t="s">
        <v>2871</v>
      </c>
    </row>
    <row r="2456" spans="1:1" x14ac:dyDescent="0.25">
      <c r="A2456" t="s">
        <v>2872</v>
      </c>
    </row>
    <row r="2457" spans="1:1" x14ac:dyDescent="0.25">
      <c r="A2457" t="s">
        <v>2873</v>
      </c>
    </row>
    <row r="2458" spans="1:1" x14ac:dyDescent="0.25">
      <c r="A2458" t="s">
        <v>2874</v>
      </c>
    </row>
    <row r="2459" spans="1:1" x14ac:dyDescent="0.25">
      <c r="A2459" t="s">
        <v>2686</v>
      </c>
    </row>
    <row r="2461" spans="1:1" x14ac:dyDescent="0.25">
      <c r="A2461" t="s">
        <v>2440</v>
      </c>
    </row>
    <row r="2463" spans="1:1" x14ac:dyDescent="0.25">
      <c r="A2463" t="s">
        <v>2682</v>
      </c>
    </row>
    <row r="2464" spans="1:1" x14ac:dyDescent="0.25">
      <c r="A2464" t="s">
        <v>2933</v>
      </c>
    </row>
    <row r="2465" spans="1:1" x14ac:dyDescent="0.25">
      <c r="A2465" t="s">
        <v>2684</v>
      </c>
    </row>
    <row r="2466" spans="1:1" x14ac:dyDescent="0.25">
      <c r="A2466" t="s">
        <v>2664</v>
      </c>
    </row>
    <row r="2467" spans="1:1" x14ac:dyDescent="0.25">
      <c r="A2467" t="s">
        <v>2446</v>
      </c>
    </row>
    <row r="2468" spans="1:1" x14ac:dyDescent="0.25">
      <c r="A2468" t="s">
        <v>2934</v>
      </c>
    </row>
    <row r="2469" spans="1:1" x14ac:dyDescent="0.25">
      <c r="A2469" t="s">
        <v>2865</v>
      </c>
    </row>
    <row r="2470" spans="1:1" x14ac:dyDescent="0.25">
      <c r="A2470" t="s">
        <v>2866</v>
      </c>
    </row>
    <row r="2471" spans="1:1" x14ac:dyDescent="0.25">
      <c r="A2471" t="s">
        <v>2867</v>
      </c>
    </row>
    <row r="2472" spans="1:1" x14ac:dyDescent="0.25">
      <c r="A2472" t="s">
        <v>2868</v>
      </c>
    </row>
    <row r="2473" spans="1:1" x14ac:dyDescent="0.25">
      <c r="A2473" t="s">
        <v>2869</v>
      </c>
    </row>
    <row r="2474" spans="1:1" x14ac:dyDescent="0.25">
      <c r="A2474" t="s">
        <v>2870</v>
      </c>
    </row>
    <row r="2475" spans="1:1" x14ac:dyDescent="0.25">
      <c r="A2475" t="s">
        <v>2871</v>
      </c>
    </row>
    <row r="2476" spans="1:1" x14ac:dyDescent="0.25">
      <c r="A2476" t="s">
        <v>2872</v>
      </c>
    </row>
    <row r="2477" spans="1:1" x14ac:dyDescent="0.25">
      <c r="A2477" t="s">
        <v>2873</v>
      </c>
    </row>
    <row r="2478" spans="1:1" x14ac:dyDescent="0.25">
      <c r="A2478" t="s">
        <v>2874</v>
      </c>
    </row>
    <row r="2479" spans="1:1" x14ac:dyDescent="0.25">
      <c r="A2479" t="s">
        <v>2686</v>
      </c>
    </row>
    <row r="2481" spans="1:2" x14ac:dyDescent="0.25">
      <c r="A2481" t="s">
        <v>2440</v>
      </c>
    </row>
    <row r="2482" spans="1:2" x14ac:dyDescent="0.25">
      <c r="A2482" t="s">
        <v>2749</v>
      </c>
    </row>
    <row r="2484" spans="1:2" x14ac:dyDescent="0.25">
      <c r="A2484" t="s">
        <v>1775</v>
      </c>
    </row>
    <row r="2486" spans="1:2" x14ac:dyDescent="0.25">
      <c r="A2486" t="s">
        <v>1929</v>
      </c>
    </row>
    <row r="2487" spans="1:2" x14ac:dyDescent="0.25">
      <c r="A2487" t="s">
        <v>2935</v>
      </c>
    </row>
    <row r="2488" spans="1:2" x14ac:dyDescent="0.25">
      <c r="A2488" t="s">
        <v>1947</v>
      </c>
    </row>
    <row r="2489" spans="1:2" x14ac:dyDescent="0.25">
      <c r="A2489" t="s">
        <v>1931</v>
      </c>
    </row>
    <row r="2490" spans="1:2" x14ac:dyDescent="0.25">
      <c r="A2490" t="s">
        <v>2936</v>
      </c>
    </row>
    <row r="2491" spans="1:2" x14ac:dyDescent="0.25">
      <c r="A2491" t="s">
        <v>2937</v>
      </c>
    </row>
    <row r="2492" spans="1:2" x14ac:dyDescent="0.25">
      <c r="A2492" t="s">
        <v>1934</v>
      </c>
    </row>
    <row r="2493" spans="1:2" x14ac:dyDescent="0.25">
      <c r="A2493" t="s">
        <v>2938</v>
      </c>
    </row>
    <row r="2494" spans="1:2" x14ac:dyDescent="0.25">
      <c r="A2494" t="s">
        <v>2939</v>
      </c>
    </row>
    <row r="2495" spans="1:2" x14ac:dyDescent="0.25">
      <c r="A2495" t="s">
        <v>2940</v>
      </c>
    </row>
    <row r="2496" spans="1:2" x14ac:dyDescent="0.25">
      <c r="B2496" t="s">
        <v>2941</v>
      </c>
    </row>
    <row r="2497" spans="1:1" x14ac:dyDescent="0.25">
      <c r="A2497" t="s">
        <v>1942</v>
      </c>
    </row>
    <row r="2499" spans="1:1" x14ac:dyDescent="0.25">
      <c r="A2499" t="s">
        <v>2942</v>
      </c>
    </row>
    <row r="2500" spans="1:1" x14ac:dyDescent="0.25">
      <c r="A2500" t="s">
        <v>2943</v>
      </c>
    </row>
    <row r="2501" spans="1:1" x14ac:dyDescent="0.25">
      <c r="A2501" t="s">
        <v>2944</v>
      </c>
    </row>
    <row r="2502" spans="1:1" x14ac:dyDescent="0.25">
      <c r="A2502" t="s">
        <v>2945</v>
      </c>
    </row>
    <row r="2503" spans="1:1" x14ac:dyDescent="0.25">
      <c r="A2503" t="s">
        <v>2946</v>
      </c>
    </row>
    <row r="2504" spans="1:1" x14ac:dyDescent="0.25">
      <c r="A2504" t="s">
        <v>2947</v>
      </c>
    </row>
    <row r="2505" spans="1:1" x14ac:dyDescent="0.25">
      <c r="A2505" t="s">
        <v>2948</v>
      </c>
    </row>
    <row r="2506" spans="1:1" x14ac:dyDescent="0.25">
      <c r="A2506" t="s">
        <v>2949</v>
      </c>
    </row>
    <row r="2507" spans="1:1" x14ac:dyDescent="0.25">
      <c r="A2507" t="s">
        <v>2950</v>
      </c>
    </row>
    <row r="2508" spans="1:1" x14ac:dyDescent="0.25">
      <c r="A2508" t="s">
        <v>2951</v>
      </c>
    </row>
    <row r="2509" spans="1:1" x14ac:dyDescent="0.25">
      <c r="A2509" t="s">
        <v>2952</v>
      </c>
    </row>
    <row r="2510" spans="1:1" x14ac:dyDescent="0.25">
      <c r="A2510" t="s">
        <v>2953</v>
      </c>
    </row>
    <row r="2511" spans="1:1" x14ac:dyDescent="0.25">
      <c r="A2511" t="s">
        <v>2954</v>
      </c>
    </row>
    <row r="2512" spans="1:1" x14ac:dyDescent="0.25">
      <c r="A2512" t="s">
        <v>2955</v>
      </c>
    </row>
    <row r="2513" spans="1:1" x14ac:dyDescent="0.25">
      <c r="A2513" t="s">
        <v>2956</v>
      </c>
    </row>
    <row r="2514" spans="1:1" x14ac:dyDescent="0.25">
      <c r="A2514" t="s">
        <v>2957</v>
      </c>
    </row>
    <row r="2515" spans="1:1" x14ac:dyDescent="0.25">
      <c r="A2515" t="s">
        <v>1945</v>
      </c>
    </row>
    <row r="2517" spans="1:1" x14ac:dyDescent="0.25">
      <c r="A2517" t="s">
        <v>1775</v>
      </c>
    </row>
    <row r="2519" spans="1:1" x14ac:dyDescent="0.25">
      <c r="A2519" t="s">
        <v>2958</v>
      </c>
    </row>
    <row r="2520" spans="1:1" x14ac:dyDescent="0.25">
      <c r="A2520" t="s">
        <v>2959</v>
      </c>
    </row>
    <row r="2521" spans="1:1" x14ac:dyDescent="0.25">
      <c r="A2521" t="s">
        <v>1931</v>
      </c>
    </row>
    <row r="2522" spans="1:1" x14ac:dyDescent="0.25">
      <c r="A2522" t="s">
        <v>2960</v>
      </c>
    </row>
    <row r="2523" spans="1:1" x14ac:dyDescent="0.25">
      <c r="A2523" t="s">
        <v>1934</v>
      </c>
    </row>
    <row r="2524" spans="1:1" x14ac:dyDescent="0.25">
      <c r="A2524" t="s">
        <v>2961</v>
      </c>
    </row>
    <row r="2525" spans="1:1" x14ac:dyDescent="0.25">
      <c r="A2525" t="s">
        <v>1942</v>
      </c>
    </row>
    <row r="2527" spans="1:1" x14ac:dyDescent="0.25">
      <c r="A2527" t="s">
        <v>2962</v>
      </c>
    </row>
    <row r="2529" spans="1:1" x14ac:dyDescent="0.25">
      <c r="A2529" t="s">
        <v>1775</v>
      </c>
    </row>
    <row r="2531" spans="1:1" x14ac:dyDescent="0.25">
      <c r="A2531" t="s">
        <v>1929</v>
      </c>
    </row>
    <row r="2532" spans="1:1" x14ac:dyDescent="0.25">
      <c r="A2532" t="s">
        <v>2963</v>
      </c>
    </row>
    <row r="2533" spans="1:1" x14ac:dyDescent="0.25">
      <c r="A2533" t="s">
        <v>1947</v>
      </c>
    </row>
    <row r="2534" spans="1:1" x14ac:dyDescent="0.25">
      <c r="A2534" t="s">
        <v>1931</v>
      </c>
    </row>
    <row r="2535" spans="1:1" x14ac:dyDescent="0.25">
      <c r="A2535" t="s">
        <v>2964</v>
      </c>
    </row>
    <row r="2536" spans="1:1" x14ac:dyDescent="0.25">
      <c r="A2536" t="s">
        <v>1934</v>
      </c>
    </row>
    <row r="2538" spans="1:1" x14ac:dyDescent="0.25">
      <c r="A2538" t="s">
        <v>2965</v>
      </c>
    </row>
    <row r="2539" spans="1:1" x14ac:dyDescent="0.25">
      <c r="A2539" t="s">
        <v>2966</v>
      </c>
    </row>
    <row r="2540" spans="1:1" x14ac:dyDescent="0.25">
      <c r="A2540" t="s">
        <v>2967</v>
      </c>
    </row>
    <row r="2541" spans="1:1" x14ac:dyDescent="0.25">
      <c r="A2541" t="s">
        <v>2968</v>
      </c>
    </row>
    <row r="2542" spans="1:1" x14ac:dyDescent="0.25">
      <c r="A2542" t="s">
        <v>2969</v>
      </c>
    </row>
    <row r="2544" spans="1:1" x14ac:dyDescent="0.25">
      <c r="A2544" t="s">
        <v>2970</v>
      </c>
    </row>
    <row r="2545" spans="1:1" x14ac:dyDescent="0.25">
      <c r="A2545" t="s">
        <v>2971</v>
      </c>
    </row>
    <row r="2546" spans="1:1" x14ac:dyDescent="0.25">
      <c r="A2546" t="s">
        <v>2972</v>
      </c>
    </row>
    <row r="2547" spans="1:1" x14ac:dyDescent="0.25">
      <c r="A2547" t="s">
        <v>2973</v>
      </c>
    </row>
    <row r="2548" spans="1:1" x14ac:dyDescent="0.25">
      <c r="A2548" t="s">
        <v>2974</v>
      </c>
    </row>
    <row r="2549" spans="1:1" x14ac:dyDescent="0.25">
      <c r="A2549" t="s">
        <v>1940</v>
      </c>
    </row>
    <row r="2550" spans="1:1" x14ac:dyDescent="0.25">
      <c r="A2550" t="s">
        <v>2975</v>
      </c>
    </row>
    <row r="2552" spans="1:1" x14ac:dyDescent="0.25">
      <c r="A2552" t="s">
        <v>2976</v>
      </c>
    </row>
    <row r="2553" spans="1:1" x14ac:dyDescent="0.25">
      <c r="A2553" t="s">
        <v>2977</v>
      </c>
    </row>
    <row r="2554" spans="1:1" x14ac:dyDescent="0.25">
      <c r="A2554" t="s">
        <v>2978</v>
      </c>
    </row>
    <row r="2555" spans="1:1" x14ac:dyDescent="0.25">
      <c r="A2555" t="s">
        <v>2979</v>
      </c>
    </row>
    <row r="2556" spans="1:1" x14ac:dyDescent="0.25">
      <c r="A2556" t="s">
        <v>2980</v>
      </c>
    </row>
    <row r="2557" spans="1:1" x14ac:dyDescent="0.25">
      <c r="A2557" t="s">
        <v>2981</v>
      </c>
    </row>
    <row r="2558" spans="1:1" x14ac:dyDescent="0.25">
      <c r="A2558" t="s">
        <v>2982</v>
      </c>
    </row>
    <row r="2559" spans="1:1" x14ac:dyDescent="0.25">
      <c r="A2559" t="s">
        <v>2983</v>
      </c>
    </row>
    <row r="2560" spans="1:1" x14ac:dyDescent="0.25">
      <c r="A2560" t="s">
        <v>2984</v>
      </c>
    </row>
    <row r="2561" spans="1:1" x14ac:dyDescent="0.25">
      <c r="A2561" t="s">
        <v>2985</v>
      </c>
    </row>
    <row r="2562" spans="1:1" x14ac:dyDescent="0.25">
      <c r="A2562" t="s">
        <v>1942</v>
      </c>
    </row>
    <row r="2564" spans="1:1" x14ac:dyDescent="0.25">
      <c r="A2564" t="s">
        <v>2986</v>
      </c>
    </row>
    <row r="2565" spans="1:1" x14ac:dyDescent="0.25">
      <c r="A2565" t="s">
        <v>2987</v>
      </c>
    </row>
    <row r="2566" spans="1:1" x14ac:dyDescent="0.25">
      <c r="A2566" t="s">
        <v>2988</v>
      </c>
    </row>
    <row r="2567" spans="1:1" x14ac:dyDescent="0.25">
      <c r="A2567" t="s">
        <v>1945</v>
      </c>
    </row>
    <row r="2569" spans="1:1" x14ac:dyDescent="0.25">
      <c r="A2569" t="s">
        <v>1775</v>
      </c>
    </row>
    <row r="2571" spans="1:1" x14ac:dyDescent="0.25">
      <c r="A2571" t="s">
        <v>2958</v>
      </c>
    </row>
    <row r="2572" spans="1:1" x14ac:dyDescent="0.25">
      <c r="A2572" t="s">
        <v>2989</v>
      </c>
    </row>
    <row r="2573" spans="1:1" x14ac:dyDescent="0.25">
      <c r="A2573" t="s">
        <v>1931</v>
      </c>
    </row>
    <row r="2574" spans="1:1" x14ac:dyDescent="0.25">
      <c r="A2574" t="s">
        <v>2990</v>
      </c>
    </row>
    <row r="2575" spans="1:1" x14ac:dyDescent="0.25">
      <c r="A2575" t="s">
        <v>1934</v>
      </c>
    </row>
    <row r="2577" spans="1:1" x14ac:dyDescent="0.25">
      <c r="A2577" t="s">
        <v>2991</v>
      </c>
    </row>
    <row r="2578" spans="1:1" x14ac:dyDescent="0.25">
      <c r="A2578" t="s">
        <v>2992</v>
      </c>
    </row>
    <row r="2579" spans="1:1" x14ac:dyDescent="0.25">
      <c r="A2579" t="s">
        <v>2993</v>
      </c>
    </row>
    <row r="2580" spans="1:1" x14ac:dyDescent="0.25">
      <c r="A2580" t="s">
        <v>2994</v>
      </c>
    </row>
    <row r="2581" spans="1:1" x14ac:dyDescent="0.25">
      <c r="A2581" t="s">
        <v>2995</v>
      </c>
    </row>
    <row r="2582" spans="1:1" x14ac:dyDescent="0.25">
      <c r="A2582" t="s">
        <v>2993</v>
      </c>
    </row>
    <row r="2583" spans="1:1" x14ac:dyDescent="0.25">
      <c r="A2583" t="s">
        <v>1940</v>
      </c>
    </row>
    <row r="2584" spans="1:1" x14ac:dyDescent="0.25">
      <c r="A2584" t="s">
        <v>2996</v>
      </c>
    </row>
    <row r="2585" spans="1:1" x14ac:dyDescent="0.25">
      <c r="A2585" t="s">
        <v>1942</v>
      </c>
    </row>
    <row r="2587" spans="1:1" x14ac:dyDescent="0.25">
      <c r="A2587" t="s">
        <v>2962</v>
      </c>
    </row>
    <row r="2589" spans="1:1" x14ac:dyDescent="0.25">
      <c r="A2589" t="s">
        <v>1775</v>
      </c>
    </row>
    <row r="2591" spans="1:1" x14ac:dyDescent="0.25">
      <c r="A2591" t="s">
        <v>2958</v>
      </c>
    </row>
    <row r="2592" spans="1:1" x14ac:dyDescent="0.25">
      <c r="A2592" t="s">
        <v>2997</v>
      </c>
    </row>
    <row r="2593" spans="1:1" x14ac:dyDescent="0.25">
      <c r="A2593" t="s">
        <v>1931</v>
      </c>
    </row>
    <row r="2594" spans="1:1" x14ac:dyDescent="0.25">
      <c r="A2594" t="s">
        <v>2998</v>
      </c>
    </row>
    <row r="2595" spans="1:1" x14ac:dyDescent="0.25">
      <c r="A2595" t="s">
        <v>1934</v>
      </c>
    </row>
    <row r="2596" spans="1:1" x14ac:dyDescent="0.25">
      <c r="A2596" t="s">
        <v>2991</v>
      </c>
    </row>
    <row r="2597" spans="1:1" x14ac:dyDescent="0.25">
      <c r="A2597" t="s">
        <v>2999</v>
      </c>
    </row>
    <row r="2598" spans="1:1" x14ac:dyDescent="0.25">
      <c r="A2598" t="s">
        <v>3000</v>
      </c>
    </row>
    <row r="2599" spans="1:1" x14ac:dyDescent="0.25">
      <c r="A2599" t="s">
        <v>2994</v>
      </c>
    </row>
    <row r="2600" spans="1:1" x14ac:dyDescent="0.25">
      <c r="A2600" t="s">
        <v>3001</v>
      </c>
    </row>
    <row r="2601" spans="1:1" x14ac:dyDescent="0.25">
      <c r="A2601" t="s">
        <v>3000</v>
      </c>
    </row>
    <row r="2602" spans="1:1" x14ac:dyDescent="0.25">
      <c r="A2602" t="s">
        <v>1940</v>
      </c>
    </row>
    <row r="2603" spans="1:1" x14ac:dyDescent="0.25">
      <c r="A2603" t="s">
        <v>3002</v>
      </c>
    </row>
    <row r="2604" spans="1:1" x14ac:dyDescent="0.25">
      <c r="A2604" t="s">
        <v>1942</v>
      </c>
    </row>
    <row r="2606" spans="1:1" x14ac:dyDescent="0.25">
      <c r="A2606" t="s">
        <v>2962</v>
      </c>
    </row>
    <row r="2608" spans="1:1" x14ac:dyDescent="0.25">
      <c r="A2608" t="s">
        <v>1775</v>
      </c>
    </row>
    <row r="2610" spans="1:1" x14ac:dyDescent="0.25">
      <c r="A2610" t="s">
        <v>2958</v>
      </c>
    </row>
    <row r="2611" spans="1:1" x14ac:dyDescent="0.25">
      <c r="A2611" t="s">
        <v>3003</v>
      </c>
    </row>
    <row r="2612" spans="1:1" x14ac:dyDescent="0.25">
      <c r="A2612" t="s">
        <v>1931</v>
      </c>
    </row>
    <row r="2613" spans="1:1" x14ac:dyDescent="0.25">
      <c r="A2613" t="s">
        <v>3004</v>
      </c>
    </row>
    <row r="2614" spans="1:1" x14ac:dyDescent="0.25">
      <c r="A2614" t="s">
        <v>1934</v>
      </c>
    </row>
    <row r="2615" spans="1:1" x14ac:dyDescent="0.25">
      <c r="A2615" t="s">
        <v>3005</v>
      </c>
    </row>
    <row r="2616" spans="1:1" x14ac:dyDescent="0.25">
      <c r="A2616" t="s">
        <v>3006</v>
      </c>
    </row>
    <row r="2618" spans="1:1" x14ac:dyDescent="0.25">
      <c r="A2618" t="s">
        <v>3007</v>
      </c>
    </row>
    <row r="2619" spans="1:1" x14ac:dyDescent="0.25">
      <c r="A2619" t="s">
        <v>3008</v>
      </c>
    </row>
    <row r="2620" spans="1:1" x14ac:dyDescent="0.25">
      <c r="A2620" t="s">
        <v>1940</v>
      </c>
    </row>
    <row r="2621" spans="1:1" x14ac:dyDescent="0.25">
      <c r="A2621" t="s">
        <v>3009</v>
      </c>
    </row>
    <row r="2622" spans="1:1" x14ac:dyDescent="0.25">
      <c r="A2622" t="s">
        <v>1942</v>
      </c>
    </row>
    <row r="2624" spans="1:1" x14ac:dyDescent="0.25">
      <c r="A2624" t="s">
        <v>2962</v>
      </c>
    </row>
    <row r="2626" spans="1:1" x14ac:dyDescent="0.25">
      <c r="A2626" t="s">
        <v>1775</v>
      </c>
    </row>
    <row r="2628" spans="1:1" x14ac:dyDescent="0.25">
      <c r="A2628" t="s">
        <v>2958</v>
      </c>
    </row>
    <row r="2629" spans="1:1" x14ac:dyDescent="0.25">
      <c r="A2629" t="s">
        <v>3010</v>
      </c>
    </row>
    <row r="2630" spans="1:1" x14ac:dyDescent="0.25">
      <c r="A2630" t="s">
        <v>1931</v>
      </c>
    </row>
    <row r="2631" spans="1:1" x14ac:dyDescent="0.25">
      <c r="A2631" t="s">
        <v>3011</v>
      </c>
    </row>
    <row r="2632" spans="1:1" x14ac:dyDescent="0.25">
      <c r="A2632" t="s">
        <v>1934</v>
      </c>
    </row>
    <row r="2634" spans="1:1" x14ac:dyDescent="0.25">
      <c r="A2634" t="s">
        <v>3012</v>
      </c>
    </row>
    <row r="2635" spans="1:1" x14ac:dyDescent="0.25">
      <c r="A2635" t="s">
        <v>3013</v>
      </c>
    </row>
    <row r="2636" spans="1:1" x14ac:dyDescent="0.25">
      <c r="A2636" t="s">
        <v>3014</v>
      </c>
    </row>
    <row r="2637" spans="1:1" x14ac:dyDescent="0.25">
      <c r="A2637" t="s">
        <v>3015</v>
      </c>
    </row>
    <row r="2638" spans="1:1" x14ac:dyDescent="0.25">
      <c r="A2638" t="s">
        <v>3016</v>
      </c>
    </row>
    <row r="2639" spans="1:1" x14ac:dyDescent="0.25">
      <c r="A2639" t="s">
        <v>3014</v>
      </c>
    </row>
    <row r="2640" spans="1:1" x14ac:dyDescent="0.25">
      <c r="A2640" t="s">
        <v>1940</v>
      </c>
    </row>
    <row r="2641" spans="1:1" x14ac:dyDescent="0.25">
      <c r="A2641" t="s">
        <v>3017</v>
      </c>
    </row>
    <row r="2642" spans="1:1" x14ac:dyDescent="0.25">
      <c r="A2642" t="s">
        <v>1942</v>
      </c>
    </row>
    <row r="2644" spans="1:1" x14ac:dyDescent="0.25">
      <c r="A2644" t="s">
        <v>2962</v>
      </c>
    </row>
    <row r="2646" spans="1:1" x14ac:dyDescent="0.25">
      <c r="A2646" t="s">
        <v>1775</v>
      </c>
    </row>
    <row r="2648" spans="1:1" x14ac:dyDescent="0.25">
      <c r="A2648" t="s">
        <v>1929</v>
      </c>
    </row>
    <row r="2649" spans="1:1" x14ac:dyDescent="0.25">
      <c r="A2649" t="s">
        <v>3018</v>
      </c>
    </row>
    <row r="2650" spans="1:1" x14ac:dyDescent="0.25">
      <c r="A2650" t="s">
        <v>1947</v>
      </c>
    </row>
    <row r="2651" spans="1:1" x14ac:dyDescent="0.25">
      <c r="A2651" t="s">
        <v>1931</v>
      </c>
    </row>
    <row r="2652" spans="1:1" x14ac:dyDescent="0.25">
      <c r="A2652" t="s">
        <v>3019</v>
      </c>
    </row>
    <row r="2653" spans="1:1" x14ac:dyDescent="0.25">
      <c r="A2653" t="s">
        <v>1934</v>
      </c>
    </row>
    <row r="2654" spans="1:1" x14ac:dyDescent="0.25">
      <c r="A2654" t="s">
        <v>3020</v>
      </c>
    </row>
    <row r="2655" spans="1:1" x14ac:dyDescent="0.25">
      <c r="A2655" t="s">
        <v>3021</v>
      </c>
    </row>
    <row r="2656" spans="1:1" x14ac:dyDescent="0.25">
      <c r="A2656" t="s">
        <v>3022</v>
      </c>
    </row>
    <row r="2658" spans="1:1" x14ac:dyDescent="0.25">
      <c r="A2658" t="s">
        <v>3023</v>
      </c>
    </row>
    <row r="2659" spans="1:1" x14ac:dyDescent="0.25">
      <c r="A2659" t="s">
        <v>3024</v>
      </c>
    </row>
    <row r="2660" spans="1:1" x14ac:dyDescent="0.25">
      <c r="A2660" t="s">
        <v>3025</v>
      </c>
    </row>
    <row r="2662" spans="1:1" x14ac:dyDescent="0.25">
      <c r="A2662" t="s">
        <v>3026</v>
      </c>
    </row>
    <row r="2663" spans="1:1" x14ac:dyDescent="0.25">
      <c r="A2663" t="s">
        <v>3027</v>
      </c>
    </row>
    <row r="2664" spans="1:1" x14ac:dyDescent="0.25">
      <c r="A2664" t="s">
        <v>3028</v>
      </c>
    </row>
    <row r="2666" spans="1:1" x14ac:dyDescent="0.25">
      <c r="A2666" t="s">
        <v>3029</v>
      </c>
    </row>
    <row r="2667" spans="1:1" x14ac:dyDescent="0.25">
      <c r="A2667" t="s">
        <v>3030</v>
      </c>
    </row>
    <row r="2668" spans="1:1" x14ac:dyDescent="0.25">
      <c r="A2668" t="s">
        <v>3031</v>
      </c>
    </row>
    <row r="2670" spans="1:1" x14ac:dyDescent="0.25">
      <c r="A2670" t="s">
        <v>3032</v>
      </c>
    </row>
    <row r="2671" spans="1:1" x14ac:dyDescent="0.25">
      <c r="A2671" t="s">
        <v>3021</v>
      </c>
    </row>
    <row r="2672" spans="1:1" x14ac:dyDescent="0.25">
      <c r="A2672" t="s">
        <v>3033</v>
      </c>
    </row>
    <row r="2673" spans="1:1" x14ac:dyDescent="0.25">
      <c r="A2673" t="s">
        <v>3034</v>
      </c>
    </row>
    <row r="2675" spans="1:1" x14ac:dyDescent="0.25">
      <c r="A2675" t="s">
        <v>3035</v>
      </c>
    </row>
    <row r="2676" spans="1:1" x14ac:dyDescent="0.25">
      <c r="A2676" t="s">
        <v>3036</v>
      </c>
    </row>
    <row r="2677" spans="1:1" x14ac:dyDescent="0.25">
      <c r="A2677" t="s">
        <v>3037</v>
      </c>
    </row>
    <row r="2678" spans="1:1" x14ac:dyDescent="0.25">
      <c r="A2678" t="s">
        <v>3038</v>
      </c>
    </row>
    <row r="2679" spans="1:1" x14ac:dyDescent="0.25">
      <c r="A2679" t="s">
        <v>3036</v>
      </c>
    </row>
    <row r="2680" spans="1:1" x14ac:dyDescent="0.25">
      <c r="A2680" t="s">
        <v>3037</v>
      </c>
    </row>
    <row r="2681" spans="1:1" x14ac:dyDescent="0.25">
      <c r="A2681" t="s">
        <v>3039</v>
      </c>
    </row>
    <row r="2682" spans="1:1" x14ac:dyDescent="0.25">
      <c r="A2682" t="s">
        <v>3036</v>
      </c>
    </row>
    <row r="2684" spans="1:1" x14ac:dyDescent="0.25">
      <c r="A2684" t="s">
        <v>3040</v>
      </c>
    </row>
    <row r="2685" spans="1:1" x14ac:dyDescent="0.25">
      <c r="A2685" t="s">
        <v>3041</v>
      </c>
    </row>
    <row r="2686" spans="1:1" x14ac:dyDescent="0.25">
      <c r="A2686" t="s">
        <v>3042</v>
      </c>
    </row>
    <row r="2687" spans="1:1" x14ac:dyDescent="0.25">
      <c r="A2687" t="s">
        <v>3043</v>
      </c>
    </row>
    <row r="2688" spans="1:1" x14ac:dyDescent="0.25">
      <c r="A2688" t="s">
        <v>1940</v>
      </c>
    </row>
    <row r="2689" spans="1:1" x14ac:dyDescent="0.25">
      <c r="A2689" t="s">
        <v>3044</v>
      </c>
    </row>
    <row r="2690" spans="1:1" x14ac:dyDescent="0.25">
      <c r="A2690" t="s">
        <v>1942</v>
      </c>
    </row>
    <row r="2692" spans="1:1" x14ac:dyDescent="0.25">
      <c r="A2692" t="s">
        <v>3045</v>
      </c>
    </row>
    <row r="2693" spans="1:1" x14ac:dyDescent="0.25">
      <c r="A2693" t="s">
        <v>3046</v>
      </c>
    </row>
    <row r="2694" spans="1:1" x14ac:dyDescent="0.25">
      <c r="A2694" t="s">
        <v>3047</v>
      </c>
    </row>
    <row r="2695" spans="1:1" x14ac:dyDescent="0.25">
      <c r="A2695" t="s">
        <v>1945</v>
      </c>
    </row>
    <row r="2697" spans="1:1" x14ac:dyDescent="0.25">
      <c r="A2697" t="s">
        <v>1775</v>
      </c>
    </row>
    <row r="2699" spans="1:1" x14ac:dyDescent="0.25">
      <c r="A2699" t="s">
        <v>1929</v>
      </c>
    </row>
    <row r="2700" spans="1:1" x14ac:dyDescent="0.25">
      <c r="A2700" t="s">
        <v>3048</v>
      </c>
    </row>
    <row r="2701" spans="1:1" x14ac:dyDescent="0.25">
      <c r="A2701" t="s">
        <v>1947</v>
      </c>
    </row>
    <row r="2702" spans="1:1" x14ac:dyDescent="0.25">
      <c r="A2702" t="s">
        <v>1931</v>
      </c>
    </row>
    <row r="2703" spans="1:1" x14ac:dyDescent="0.25">
      <c r="A2703" t="s">
        <v>3049</v>
      </c>
    </row>
    <row r="2704" spans="1:1" x14ac:dyDescent="0.25">
      <c r="A2704" t="s">
        <v>1934</v>
      </c>
    </row>
    <row r="2706" spans="1:1" x14ac:dyDescent="0.25">
      <c r="A2706" t="s">
        <v>3050</v>
      </c>
    </row>
    <row r="2707" spans="1:1" x14ac:dyDescent="0.25">
      <c r="A2707" t="s">
        <v>3051</v>
      </c>
    </row>
    <row r="2708" spans="1:1" x14ac:dyDescent="0.25">
      <c r="A2708" t="s">
        <v>3052</v>
      </c>
    </row>
    <row r="2709" spans="1:1" x14ac:dyDescent="0.25">
      <c r="A2709" t="s">
        <v>3053</v>
      </c>
    </row>
    <row r="2711" spans="1:1" x14ac:dyDescent="0.25">
      <c r="A2711" t="s">
        <v>3054</v>
      </c>
    </row>
    <row r="2712" spans="1:1" x14ac:dyDescent="0.25">
      <c r="A2712" t="s">
        <v>3055</v>
      </c>
    </row>
    <row r="2713" spans="1:1" x14ac:dyDescent="0.25">
      <c r="A2713" t="s">
        <v>1940</v>
      </c>
    </row>
    <row r="2714" spans="1:1" x14ac:dyDescent="0.25">
      <c r="A2714" t="s">
        <v>3056</v>
      </c>
    </row>
    <row r="2715" spans="1:1" x14ac:dyDescent="0.25">
      <c r="A2715" t="s">
        <v>1942</v>
      </c>
    </row>
    <row r="2717" spans="1:1" x14ac:dyDescent="0.25">
      <c r="A2717" t="s">
        <v>3057</v>
      </c>
    </row>
    <row r="2718" spans="1:1" x14ac:dyDescent="0.25">
      <c r="A2718" t="s">
        <v>3058</v>
      </c>
    </row>
    <row r="2719" spans="1:1" x14ac:dyDescent="0.25">
      <c r="A2719" t="s">
        <v>1945</v>
      </c>
    </row>
    <row r="2721" spans="1:1" x14ac:dyDescent="0.25">
      <c r="A2721" t="s">
        <v>1775</v>
      </c>
    </row>
    <row r="2723" spans="1:1" x14ac:dyDescent="0.25">
      <c r="A2723" t="s">
        <v>1929</v>
      </c>
    </row>
    <row r="2724" spans="1:1" x14ac:dyDescent="0.25">
      <c r="A2724" t="s">
        <v>3059</v>
      </c>
    </row>
    <row r="2725" spans="1:1" x14ac:dyDescent="0.25">
      <c r="A2725" t="s">
        <v>3060</v>
      </c>
    </row>
    <row r="2726" spans="1:1" x14ac:dyDescent="0.25">
      <c r="A2726" t="s">
        <v>3061</v>
      </c>
    </row>
    <row r="2727" spans="1:1" x14ac:dyDescent="0.25">
      <c r="A2727" t="s">
        <v>3062</v>
      </c>
    </row>
    <row r="2728" spans="1:1" x14ac:dyDescent="0.25">
      <c r="A2728" t="s">
        <v>1945</v>
      </c>
    </row>
    <row r="2730" spans="1:1" x14ac:dyDescent="0.25">
      <c r="A2730" t="s">
        <v>1775</v>
      </c>
    </row>
    <row r="2732" spans="1:1" x14ac:dyDescent="0.25">
      <c r="A2732" t="s">
        <v>1929</v>
      </c>
    </row>
    <row r="2733" spans="1:1" x14ac:dyDescent="0.25">
      <c r="A2733" t="s">
        <v>3063</v>
      </c>
    </row>
    <row r="2734" spans="1:1" x14ac:dyDescent="0.25">
      <c r="A2734" t="s">
        <v>3064</v>
      </c>
    </row>
    <row r="2735" spans="1:1" x14ac:dyDescent="0.25">
      <c r="A2735" t="s">
        <v>3065</v>
      </c>
    </row>
    <row r="2736" spans="1:1" x14ac:dyDescent="0.25">
      <c r="A2736" t="s">
        <v>3066</v>
      </c>
    </row>
    <row r="2737" spans="1:1" x14ac:dyDescent="0.25">
      <c r="A2737" t="s">
        <v>3067</v>
      </c>
    </row>
    <row r="2738" spans="1:1" x14ac:dyDescent="0.25">
      <c r="A2738" t="s">
        <v>3068</v>
      </c>
    </row>
    <row r="2739" spans="1:1" x14ac:dyDescent="0.25">
      <c r="A2739" t="s">
        <v>3069</v>
      </c>
    </row>
    <row r="2740" spans="1:1" x14ac:dyDescent="0.25">
      <c r="A2740" t="s">
        <v>3070</v>
      </c>
    </row>
    <row r="2741" spans="1:1" x14ac:dyDescent="0.25">
      <c r="A2741" t="s">
        <v>3071</v>
      </c>
    </row>
    <row r="2742" spans="1:1" x14ac:dyDescent="0.25">
      <c r="A2742" t="s">
        <v>3072</v>
      </c>
    </row>
    <row r="2743" spans="1:1" x14ac:dyDescent="0.25">
      <c r="A2743" t="s">
        <v>3073</v>
      </c>
    </row>
    <row r="2744" spans="1:1" x14ac:dyDescent="0.25">
      <c r="A2744" t="s">
        <v>3074</v>
      </c>
    </row>
    <row r="2745" spans="1:1" x14ac:dyDescent="0.25">
      <c r="A2745" t="s">
        <v>3075</v>
      </c>
    </row>
    <row r="2746" spans="1:1" x14ac:dyDescent="0.25">
      <c r="A2746" t="s">
        <v>1945</v>
      </c>
    </row>
    <row r="2748" spans="1:1" x14ac:dyDescent="0.25">
      <c r="A2748" t="s">
        <v>1775</v>
      </c>
    </row>
    <row r="2750" spans="1:1" x14ac:dyDescent="0.25">
      <c r="A2750" t="s">
        <v>1929</v>
      </c>
    </row>
    <row r="2751" spans="1:1" x14ac:dyDescent="0.25">
      <c r="A2751" t="s">
        <v>3076</v>
      </c>
    </row>
    <row r="2752" spans="1:1" x14ac:dyDescent="0.25">
      <c r="A2752" t="s">
        <v>3077</v>
      </c>
    </row>
    <row r="2753" spans="1:1" x14ac:dyDescent="0.25">
      <c r="A2753" t="s">
        <v>3078</v>
      </c>
    </row>
    <row r="2754" spans="1:1" x14ac:dyDescent="0.25">
      <c r="A2754" t="s">
        <v>3079</v>
      </c>
    </row>
    <row r="2755" spans="1:1" x14ac:dyDescent="0.25">
      <c r="A2755" t="s">
        <v>3080</v>
      </c>
    </row>
    <row r="2756" spans="1:1" x14ac:dyDescent="0.25">
      <c r="A2756" t="s">
        <v>3081</v>
      </c>
    </row>
    <row r="2757" spans="1:1" x14ac:dyDescent="0.25">
      <c r="A2757" t="s">
        <v>3075</v>
      </c>
    </row>
    <row r="2758" spans="1:1" x14ac:dyDescent="0.25">
      <c r="A2758" t="s">
        <v>1945</v>
      </c>
    </row>
    <row r="2760" spans="1:1" x14ac:dyDescent="0.25">
      <c r="A2760" t="s">
        <v>1775</v>
      </c>
    </row>
    <row r="2762" spans="1:1" x14ac:dyDescent="0.25">
      <c r="A2762" t="s">
        <v>1929</v>
      </c>
    </row>
    <row r="2763" spans="1:1" x14ac:dyDescent="0.25">
      <c r="A2763" t="s">
        <v>3082</v>
      </c>
    </row>
    <row r="2764" spans="1:1" x14ac:dyDescent="0.25">
      <c r="A2764" t="s">
        <v>3083</v>
      </c>
    </row>
    <row r="2765" spans="1:1" x14ac:dyDescent="0.25">
      <c r="A2765" t="s">
        <v>3084</v>
      </c>
    </row>
    <row r="2766" spans="1:1" x14ac:dyDescent="0.25">
      <c r="A2766" t="s">
        <v>3085</v>
      </c>
    </row>
    <row r="2767" spans="1:1" x14ac:dyDescent="0.25">
      <c r="A2767" t="s">
        <v>3086</v>
      </c>
    </row>
    <row r="2768" spans="1:1" x14ac:dyDescent="0.25">
      <c r="A2768" t="s">
        <v>3087</v>
      </c>
    </row>
    <row r="2769" spans="1:1" x14ac:dyDescent="0.25">
      <c r="A2769" t="s">
        <v>1945</v>
      </c>
    </row>
    <row r="2771" spans="1:1" x14ac:dyDescent="0.25">
      <c r="A2771" t="s">
        <v>1775</v>
      </c>
    </row>
    <row r="2773" spans="1:1" x14ac:dyDescent="0.25">
      <c r="A2773" t="s">
        <v>1929</v>
      </c>
    </row>
    <row r="2774" spans="1:1" x14ac:dyDescent="0.25">
      <c r="A2774" t="s">
        <v>3088</v>
      </c>
    </row>
    <row r="2775" spans="1:1" x14ac:dyDescent="0.25">
      <c r="A2775" t="s">
        <v>3089</v>
      </c>
    </row>
    <row r="2776" spans="1:1" x14ac:dyDescent="0.25">
      <c r="A2776" t="s">
        <v>1947</v>
      </c>
    </row>
    <row r="2777" spans="1:1" x14ac:dyDescent="0.25">
      <c r="A2777" t="s">
        <v>1931</v>
      </c>
    </row>
    <row r="2778" spans="1:1" x14ac:dyDescent="0.25">
      <c r="A2778" t="s">
        <v>3090</v>
      </c>
    </row>
    <row r="2779" spans="1:1" x14ac:dyDescent="0.25">
      <c r="A2779" t="s">
        <v>1934</v>
      </c>
    </row>
    <row r="2780" spans="1:1" x14ac:dyDescent="0.25">
      <c r="A2780" t="s">
        <v>3091</v>
      </c>
    </row>
    <row r="2781" spans="1:1" x14ac:dyDescent="0.25">
      <c r="A2781" t="s">
        <v>1942</v>
      </c>
    </row>
    <row r="2783" spans="1:1" x14ac:dyDescent="0.25">
      <c r="A2783" t="s">
        <v>3092</v>
      </c>
    </row>
    <row r="2784" spans="1:1" x14ac:dyDescent="0.25">
      <c r="A2784" t="s">
        <v>3093</v>
      </c>
    </row>
    <row r="2785" spans="1:1" x14ac:dyDescent="0.25">
      <c r="A2785" t="s">
        <v>3094</v>
      </c>
    </row>
    <row r="2786" spans="1:1" x14ac:dyDescent="0.25">
      <c r="A2786" t="s">
        <v>1945</v>
      </c>
    </row>
    <row r="2788" spans="1:1" x14ac:dyDescent="0.25">
      <c r="A2788" t="s">
        <v>1775</v>
      </c>
    </row>
    <row r="2790" spans="1:1" x14ac:dyDescent="0.25">
      <c r="A2790" t="s">
        <v>1929</v>
      </c>
    </row>
    <row r="2791" spans="1:1" x14ac:dyDescent="0.25">
      <c r="A2791" t="s">
        <v>3095</v>
      </c>
    </row>
    <row r="2792" spans="1:1" x14ac:dyDescent="0.25">
      <c r="A2792" t="s">
        <v>3096</v>
      </c>
    </row>
    <row r="2793" spans="1:1" x14ac:dyDescent="0.25">
      <c r="A2793" t="s">
        <v>3097</v>
      </c>
    </row>
    <row r="2794" spans="1:1" x14ac:dyDescent="0.25">
      <c r="A2794" t="s">
        <v>2031</v>
      </c>
    </row>
    <row r="2795" spans="1:1" x14ac:dyDescent="0.25">
      <c r="A2795" t="s">
        <v>2032</v>
      </c>
    </row>
    <row r="2796" spans="1:1" x14ac:dyDescent="0.25">
      <c r="A2796" t="s">
        <v>1945</v>
      </c>
    </row>
    <row r="2798" spans="1:1" x14ac:dyDescent="0.25">
      <c r="A2798" t="s">
        <v>1775</v>
      </c>
    </row>
    <row r="2800" spans="1:1" x14ac:dyDescent="0.25">
      <c r="A2800" t="s">
        <v>1929</v>
      </c>
    </row>
    <row r="2801" spans="1:2" x14ac:dyDescent="0.25">
      <c r="A2801" t="s">
        <v>3098</v>
      </c>
    </row>
    <row r="2802" spans="1:2" x14ac:dyDescent="0.25">
      <c r="A2802" t="s">
        <v>1931</v>
      </c>
    </row>
    <row r="2803" spans="1:2" x14ac:dyDescent="0.25">
      <c r="A2803" t="s">
        <v>3099</v>
      </c>
    </row>
    <row r="2804" spans="1:2" x14ac:dyDescent="0.25">
      <c r="A2804" t="s">
        <v>2308</v>
      </c>
    </row>
    <row r="2805" spans="1:2" x14ac:dyDescent="0.25">
      <c r="A2805" t="s">
        <v>1934</v>
      </c>
    </row>
    <row r="2806" spans="1:2" x14ac:dyDescent="0.25">
      <c r="A2806" t="s">
        <v>3100</v>
      </c>
    </row>
    <row r="2807" spans="1:2" x14ac:dyDescent="0.25">
      <c r="B2807" t="s">
        <v>3101</v>
      </c>
    </row>
    <row r="2808" spans="1:2" x14ac:dyDescent="0.25">
      <c r="A2808" t="s">
        <v>3102</v>
      </c>
    </row>
    <row r="2809" spans="1:2" x14ac:dyDescent="0.25">
      <c r="B2809" t="s">
        <v>3103</v>
      </c>
    </row>
    <row r="2810" spans="1:2" x14ac:dyDescent="0.25">
      <c r="A2810" t="s">
        <v>3104</v>
      </c>
    </row>
    <row r="2811" spans="1:2" x14ac:dyDescent="0.25">
      <c r="B2811" t="s">
        <v>3105</v>
      </c>
    </row>
    <row r="2812" spans="1:2" x14ac:dyDescent="0.25">
      <c r="A2812" t="s">
        <v>1940</v>
      </c>
    </row>
    <row r="2813" spans="1:2" x14ac:dyDescent="0.25">
      <c r="B2813" t="s">
        <v>3106</v>
      </c>
    </row>
    <row r="2814" spans="1:2" x14ac:dyDescent="0.25">
      <c r="A2814" t="s">
        <v>1942</v>
      </c>
    </row>
    <row r="2816" spans="1:2" x14ac:dyDescent="0.25">
      <c r="A2816" t="s">
        <v>3107</v>
      </c>
    </row>
    <row r="2817" spans="1:1" x14ac:dyDescent="0.25">
      <c r="A2817" t="s">
        <v>3108</v>
      </c>
    </row>
    <row r="2818" spans="1:1" x14ac:dyDescent="0.25">
      <c r="A2818" t="s">
        <v>3109</v>
      </c>
    </row>
    <row r="2819" spans="1:1" x14ac:dyDescent="0.25">
      <c r="A2819" t="s">
        <v>3110</v>
      </c>
    </row>
    <row r="2820" spans="1:1" x14ac:dyDescent="0.25">
      <c r="A2820" t="s">
        <v>1945</v>
      </c>
    </row>
    <row r="2822" spans="1:1" x14ac:dyDescent="0.25">
      <c r="A2822" t="s">
        <v>1775</v>
      </c>
    </row>
    <row r="2824" spans="1:1" x14ac:dyDescent="0.25">
      <c r="A2824" t="s">
        <v>3111</v>
      </c>
    </row>
    <row r="2825" spans="1:1" x14ac:dyDescent="0.25">
      <c r="A2825" t="s">
        <v>3112</v>
      </c>
    </row>
    <row r="2826" spans="1:1" x14ac:dyDescent="0.25">
      <c r="A2826" t="s">
        <v>3113</v>
      </c>
    </row>
    <row r="2828" spans="1:1" x14ac:dyDescent="0.25">
      <c r="A2828" t="s">
        <v>3114</v>
      </c>
    </row>
    <row r="2829" spans="1:1" x14ac:dyDescent="0.25">
      <c r="A2829" t="s">
        <v>3115</v>
      </c>
    </row>
    <row r="2830" spans="1:1" x14ac:dyDescent="0.25">
      <c r="A2830" t="s">
        <v>3116</v>
      </c>
    </row>
    <row r="2831" spans="1:1" x14ac:dyDescent="0.25">
      <c r="A2831" t="s">
        <v>3117</v>
      </c>
    </row>
    <row r="2832" spans="1:1" x14ac:dyDescent="0.25">
      <c r="A2832" t="s">
        <v>3118</v>
      </c>
    </row>
    <row r="2833" spans="1:1" x14ac:dyDescent="0.25">
      <c r="A2833" t="s">
        <v>3119</v>
      </c>
    </row>
    <row r="2834" spans="1:1" x14ac:dyDescent="0.25">
      <c r="A2834" t="s">
        <v>3120</v>
      </c>
    </row>
    <row r="2836" spans="1:1" x14ac:dyDescent="0.25">
      <c r="A2836" t="s">
        <v>3121</v>
      </c>
    </row>
    <row r="2837" spans="1:1" x14ac:dyDescent="0.25">
      <c r="A2837" t="s">
        <v>3122</v>
      </c>
    </row>
    <row r="2838" spans="1:1" x14ac:dyDescent="0.25">
      <c r="A2838" t="s">
        <v>3123</v>
      </c>
    </row>
    <row r="2839" spans="1:1" x14ac:dyDescent="0.25">
      <c r="A2839" t="s">
        <v>3124</v>
      </c>
    </row>
    <row r="2840" spans="1:1" x14ac:dyDescent="0.25">
      <c r="A2840" t="s">
        <v>3125</v>
      </c>
    </row>
    <row r="2841" spans="1:1" x14ac:dyDescent="0.25">
      <c r="A2841" t="s">
        <v>3126</v>
      </c>
    </row>
    <row r="2842" spans="1:1" x14ac:dyDescent="0.25">
      <c r="A2842" t="s">
        <v>3127</v>
      </c>
    </row>
    <row r="2845" spans="1:1" x14ac:dyDescent="0.25">
      <c r="A2845" t="s">
        <v>3128</v>
      </c>
    </row>
    <row r="2846" spans="1:1" x14ac:dyDescent="0.25">
      <c r="A2846" t="s">
        <v>3129</v>
      </c>
    </row>
    <row r="2847" spans="1:1" x14ac:dyDescent="0.25">
      <c r="A2847" t="s">
        <v>3130</v>
      </c>
    </row>
    <row r="2848" spans="1:1" x14ac:dyDescent="0.25">
      <c r="A2848" t="s">
        <v>3131</v>
      </c>
    </row>
    <row r="2849" spans="1:1" x14ac:dyDescent="0.25">
      <c r="A2849" t="s">
        <v>3132</v>
      </c>
    </row>
    <row r="2850" spans="1:1" x14ac:dyDescent="0.25">
      <c r="A2850" t="s">
        <v>3133</v>
      </c>
    </row>
    <row r="2851" spans="1:1" x14ac:dyDescent="0.25">
      <c r="A2851" t="s">
        <v>3134</v>
      </c>
    </row>
    <row r="2852" spans="1:1" x14ac:dyDescent="0.25">
      <c r="A2852" t="s">
        <v>3135</v>
      </c>
    </row>
    <row r="2854" spans="1:1" x14ac:dyDescent="0.25">
      <c r="A2854" t="s">
        <v>3136</v>
      </c>
    </row>
    <row r="2855" spans="1:1" x14ac:dyDescent="0.25">
      <c r="A2855" t="s">
        <v>3137</v>
      </c>
    </row>
    <row r="2856" spans="1:1" x14ac:dyDescent="0.25">
      <c r="A2856" t="s">
        <v>3136</v>
      </c>
    </row>
    <row r="2858" spans="1:1" x14ac:dyDescent="0.25">
      <c r="A2858" t="s">
        <v>3138</v>
      </c>
    </row>
    <row r="2859" spans="1:1" x14ac:dyDescent="0.25">
      <c r="A2859" t="s">
        <v>3139</v>
      </c>
    </row>
    <row r="2860" spans="1:1" x14ac:dyDescent="0.25">
      <c r="A2860" t="s">
        <v>3140</v>
      </c>
    </row>
    <row r="2861" spans="1:1" x14ac:dyDescent="0.25">
      <c r="A2861" t="s">
        <v>3141</v>
      </c>
    </row>
    <row r="2862" spans="1:1" x14ac:dyDescent="0.25">
      <c r="A2862" t="s">
        <v>3142</v>
      </c>
    </row>
    <row r="2863" spans="1:1" x14ac:dyDescent="0.25">
      <c r="A2863" t="s">
        <v>1940</v>
      </c>
    </row>
    <row r="2864" spans="1:1" x14ac:dyDescent="0.25">
      <c r="A2864" t="s">
        <v>3143</v>
      </c>
    </row>
    <row r="2866" spans="1:1" x14ac:dyDescent="0.25">
      <c r="A2866" t="s">
        <v>3144</v>
      </c>
    </row>
    <row r="2867" spans="1:1" x14ac:dyDescent="0.25">
      <c r="A2867" t="s">
        <v>3139</v>
      </c>
    </row>
    <row r="2868" spans="1:1" x14ac:dyDescent="0.25">
      <c r="A2868" t="s">
        <v>3145</v>
      </c>
    </row>
    <row r="2869" spans="1:1" x14ac:dyDescent="0.25">
      <c r="A2869" t="s">
        <v>3104</v>
      </c>
    </row>
    <row r="2870" spans="1:1" x14ac:dyDescent="0.25">
      <c r="A2870" t="s">
        <v>3146</v>
      </c>
    </row>
    <row r="2871" spans="1:1" x14ac:dyDescent="0.25">
      <c r="A2871" t="s">
        <v>1940</v>
      </c>
    </row>
    <row r="2872" spans="1:1" x14ac:dyDescent="0.25">
      <c r="A2872" t="s">
        <v>3147</v>
      </c>
    </row>
    <row r="2874" spans="1:1" x14ac:dyDescent="0.25">
      <c r="A2874" t="s">
        <v>3148</v>
      </c>
    </row>
    <row r="2875" spans="1:1" x14ac:dyDescent="0.25">
      <c r="A2875" t="s">
        <v>3149</v>
      </c>
    </row>
    <row r="2877" spans="1:1" x14ac:dyDescent="0.25">
      <c r="A2877" t="s">
        <v>3150</v>
      </c>
    </row>
    <row r="2878" spans="1:1" x14ac:dyDescent="0.25">
      <c r="A2878" t="s">
        <v>3151</v>
      </c>
    </row>
    <row r="2879" spans="1:1" x14ac:dyDescent="0.25">
      <c r="A2879" t="s">
        <v>3152</v>
      </c>
    </row>
    <row r="2880" spans="1:1" x14ac:dyDescent="0.25">
      <c r="A2880" t="s">
        <v>3153</v>
      </c>
    </row>
    <row r="2881" spans="1:1" x14ac:dyDescent="0.25">
      <c r="A2881" t="s">
        <v>3154</v>
      </c>
    </row>
    <row r="2882" spans="1:1" x14ac:dyDescent="0.25">
      <c r="A2882" t="s">
        <v>1940</v>
      </c>
    </row>
    <row r="2883" spans="1:1" x14ac:dyDescent="0.25">
      <c r="A2883" t="s">
        <v>3155</v>
      </c>
    </row>
    <row r="2885" spans="1:1" x14ac:dyDescent="0.25">
      <c r="A2885" t="s">
        <v>3156</v>
      </c>
    </row>
    <row r="2886" spans="1:1" x14ac:dyDescent="0.25">
      <c r="A2886" t="s">
        <v>3157</v>
      </c>
    </row>
    <row r="2887" spans="1:1" x14ac:dyDescent="0.25">
      <c r="A2887" t="s">
        <v>3158</v>
      </c>
    </row>
    <row r="2888" spans="1:1" x14ac:dyDescent="0.25">
      <c r="A2888" t="s">
        <v>3159</v>
      </c>
    </row>
    <row r="2890" spans="1:1" x14ac:dyDescent="0.25">
      <c r="A2890" t="s">
        <v>3136</v>
      </c>
    </row>
    <row r="2891" spans="1:1" x14ac:dyDescent="0.25">
      <c r="A2891" t="s">
        <v>3160</v>
      </c>
    </row>
    <row r="2892" spans="1:1" x14ac:dyDescent="0.25">
      <c r="A2892" t="s">
        <v>3161</v>
      </c>
    </row>
    <row r="2893" spans="1:1" x14ac:dyDescent="0.25">
      <c r="A2893" t="s">
        <v>3136</v>
      </c>
    </row>
    <row r="2895" spans="1:1" x14ac:dyDescent="0.25">
      <c r="A2895" t="s">
        <v>3136</v>
      </c>
    </row>
    <row r="2896" spans="1:1" x14ac:dyDescent="0.25">
      <c r="A2896" t="s">
        <v>3162</v>
      </c>
    </row>
    <row r="2897" spans="1:1" x14ac:dyDescent="0.25">
      <c r="A2897" t="s">
        <v>3136</v>
      </c>
    </row>
    <row r="2900" spans="1:1" x14ac:dyDescent="0.25">
      <c r="A2900" t="s">
        <v>3163</v>
      </c>
    </row>
    <row r="2901" spans="1:1" x14ac:dyDescent="0.25">
      <c r="A2901" t="s">
        <v>3164</v>
      </c>
    </row>
    <row r="2902" spans="1:1" x14ac:dyDescent="0.25">
      <c r="A2902" t="s">
        <v>3165</v>
      </c>
    </row>
    <row r="2903" spans="1:1" x14ac:dyDescent="0.25">
      <c r="A2903" t="s">
        <v>3166</v>
      </c>
    </row>
    <row r="2904" spans="1:1" x14ac:dyDescent="0.25">
      <c r="A2904" t="s">
        <v>3167</v>
      </c>
    </row>
    <row r="2905" spans="1:1" x14ac:dyDescent="0.25">
      <c r="A2905" t="s">
        <v>3168</v>
      </c>
    </row>
    <row r="2906" spans="1:1" x14ac:dyDescent="0.25">
      <c r="A2906" t="s">
        <v>3169</v>
      </c>
    </row>
    <row r="2909" spans="1:1" x14ac:dyDescent="0.25">
      <c r="A2909" t="s">
        <v>3136</v>
      </c>
    </row>
    <row r="2910" spans="1:1" x14ac:dyDescent="0.25">
      <c r="A2910" t="s">
        <v>3170</v>
      </c>
    </row>
    <row r="2911" spans="1:1" x14ac:dyDescent="0.25">
      <c r="A2911" t="s">
        <v>3136</v>
      </c>
    </row>
    <row r="2913" spans="1:1" x14ac:dyDescent="0.25">
      <c r="A2913" t="s">
        <v>3171</v>
      </c>
    </row>
    <row r="2914" spans="1:1" x14ac:dyDescent="0.25">
      <c r="A2914" t="s">
        <v>3172</v>
      </c>
    </row>
    <row r="2915" spans="1:1" x14ac:dyDescent="0.25">
      <c r="A2915" t="s">
        <v>3173</v>
      </c>
    </row>
    <row r="2916" spans="1:1" x14ac:dyDescent="0.25">
      <c r="A2916" t="s">
        <v>3174</v>
      </c>
    </row>
    <row r="2917" spans="1:1" x14ac:dyDescent="0.25">
      <c r="A2917" t="s">
        <v>3175</v>
      </c>
    </row>
    <row r="2918" spans="1:1" x14ac:dyDescent="0.25">
      <c r="A2918" t="s">
        <v>3176</v>
      </c>
    </row>
    <row r="2919" spans="1:1" x14ac:dyDescent="0.25">
      <c r="A2919" t="s">
        <v>3177</v>
      </c>
    </row>
    <row r="2921" spans="1:1" x14ac:dyDescent="0.25">
      <c r="A2921" t="s">
        <v>3136</v>
      </c>
    </row>
    <row r="2922" spans="1:1" x14ac:dyDescent="0.25">
      <c r="A2922" t="s">
        <v>3178</v>
      </c>
    </row>
    <row r="2923" spans="1:1" x14ac:dyDescent="0.25">
      <c r="A2923" t="s">
        <v>3136</v>
      </c>
    </row>
    <row r="2925" spans="1:1" x14ac:dyDescent="0.25">
      <c r="A2925" t="s">
        <v>3179</v>
      </c>
    </row>
    <row r="2926" spans="1:1" x14ac:dyDescent="0.25">
      <c r="A2926" t="s">
        <v>3180</v>
      </c>
    </row>
    <row r="2927" spans="1:1" x14ac:dyDescent="0.25">
      <c r="A2927" t="s">
        <v>3181</v>
      </c>
    </row>
    <row r="2928" spans="1:1" x14ac:dyDescent="0.25">
      <c r="A2928" t="s">
        <v>3182</v>
      </c>
    </row>
    <row r="2929" spans="1:1" x14ac:dyDescent="0.25">
      <c r="A2929" t="s">
        <v>3183</v>
      </c>
    </row>
    <row r="2930" spans="1:1" x14ac:dyDescent="0.25">
      <c r="A2930" t="s">
        <v>3184</v>
      </c>
    </row>
    <row r="2931" spans="1:1" x14ac:dyDescent="0.25">
      <c r="A2931" t="s">
        <v>3185</v>
      </c>
    </row>
    <row r="2933" spans="1:1" x14ac:dyDescent="0.25">
      <c r="A2933" t="s">
        <v>3186</v>
      </c>
    </row>
    <row r="2934" spans="1:1" x14ac:dyDescent="0.25">
      <c r="A2934" t="s">
        <v>3187</v>
      </c>
    </row>
    <row r="2935" spans="1:1" x14ac:dyDescent="0.25">
      <c r="A2935" t="s">
        <v>3188</v>
      </c>
    </row>
    <row r="2936" spans="1:1" x14ac:dyDescent="0.25">
      <c r="A2936" t="s">
        <v>3189</v>
      </c>
    </row>
    <row r="2937" spans="1:1" x14ac:dyDescent="0.25">
      <c r="A2937" t="s">
        <v>3190</v>
      </c>
    </row>
    <row r="2938" spans="1:1" x14ac:dyDescent="0.25">
      <c r="A2938" t="s">
        <v>3191</v>
      </c>
    </row>
    <row r="2939" spans="1:1" x14ac:dyDescent="0.25">
      <c r="A2939" t="s">
        <v>3192</v>
      </c>
    </row>
    <row r="2940" spans="1:1" x14ac:dyDescent="0.25">
      <c r="A2940" t="s">
        <v>3193</v>
      </c>
    </row>
    <row r="2942" spans="1:1" x14ac:dyDescent="0.25">
      <c r="A2942" t="s">
        <v>3136</v>
      </c>
    </row>
    <row r="2943" spans="1:1" x14ac:dyDescent="0.25">
      <c r="A2943" t="s">
        <v>3194</v>
      </c>
    </row>
    <row r="2944" spans="1:1" x14ac:dyDescent="0.25">
      <c r="A2944" t="s">
        <v>3136</v>
      </c>
    </row>
    <row r="2946" spans="1:1" x14ac:dyDescent="0.25">
      <c r="A2946" t="s">
        <v>3195</v>
      </c>
    </row>
    <row r="2947" spans="1:1" x14ac:dyDescent="0.25">
      <c r="A2947" t="s">
        <v>3196</v>
      </c>
    </row>
    <row r="2948" spans="1:1" x14ac:dyDescent="0.25">
      <c r="A2948" t="s">
        <v>3197</v>
      </c>
    </row>
    <row r="2949" spans="1:1" x14ac:dyDescent="0.25">
      <c r="A2949" t="s">
        <v>3198</v>
      </c>
    </row>
    <row r="2950" spans="1:1" x14ac:dyDescent="0.25">
      <c r="A2950" t="s">
        <v>3199</v>
      </c>
    </row>
    <row r="2951" spans="1:1" x14ac:dyDescent="0.25">
      <c r="A2951" t="s">
        <v>3200</v>
      </c>
    </row>
    <row r="2952" spans="1:1" x14ac:dyDescent="0.25">
      <c r="A2952" t="s">
        <v>3201</v>
      </c>
    </row>
    <row r="2953" spans="1:1" x14ac:dyDescent="0.25">
      <c r="A2953" t="s">
        <v>3202</v>
      </c>
    </row>
    <row r="2954" spans="1:1" x14ac:dyDescent="0.25">
      <c r="A2954" t="s">
        <v>2659</v>
      </c>
    </row>
    <row r="2956" spans="1:1" x14ac:dyDescent="0.25">
      <c r="A2956" t="s">
        <v>3203</v>
      </c>
    </row>
    <row r="2958" spans="1:1" x14ac:dyDescent="0.25">
      <c r="A2958" t="s">
        <v>3204</v>
      </c>
    </row>
    <row r="2959" spans="1:1" x14ac:dyDescent="0.25">
      <c r="A2959" t="s">
        <v>3205</v>
      </c>
    </row>
    <row r="2960" spans="1:1" x14ac:dyDescent="0.25">
      <c r="A2960" t="s">
        <v>3206</v>
      </c>
    </row>
    <row r="2961" spans="1:1" x14ac:dyDescent="0.25">
      <c r="A2961" t="s">
        <v>3207</v>
      </c>
    </row>
    <row r="2962" spans="1:1" x14ac:dyDescent="0.25">
      <c r="A2962" t="s">
        <v>3208</v>
      </c>
    </row>
    <row r="2963" spans="1:1" x14ac:dyDescent="0.25">
      <c r="A2963" t="s">
        <v>3209</v>
      </c>
    </row>
    <row r="2964" spans="1:1" x14ac:dyDescent="0.25">
      <c r="A2964" t="s">
        <v>1940</v>
      </c>
    </row>
    <row r="2965" spans="1:1" x14ac:dyDescent="0.25">
      <c r="A2965" t="s">
        <v>3210</v>
      </c>
    </row>
    <row r="2966" spans="1:1" x14ac:dyDescent="0.25">
      <c r="A2966" t="s">
        <v>3211</v>
      </c>
    </row>
    <row r="2967" spans="1:1" x14ac:dyDescent="0.25">
      <c r="A2967" t="s">
        <v>3037</v>
      </c>
    </row>
    <row r="2968" spans="1:1" x14ac:dyDescent="0.25">
      <c r="A2968" t="s">
        <v>3212</v>
      </c>
    </row>
    <row r="2969" spans="1:1" x14ac:dyDescent="0.25">
      <c r="A2969" t="s">
        <v>3213</v>
      </c>
    </row>
    <row r="2970" spans="1:1" x14ac:dyDescent="0.25">
      <c r="A2970" t="s">
        <v>3214</v>
      </c>
    </row>
    <row r="2973" spans="1:1" x14ac:dyDescent="0.25">
      <c r="A2973" t="s">
        <v>3215</v>
      </c>
    </row>
    <row r="2974" spans="1:1" x14ac:dyDescent="0.25">
      <c r="A2974" t="s">
        <v>3216</v>
      </c>
    </row>
    <row r="2975" spans="1:1" x14ac:dyDescent="0.25">
      <c r="A2975" t="s">
        <v>3217</v>
      </c>
    </row>
    <row r="2976" spans="1:1" x14ac:dyDescent="0.25">
      <c r="A2976" t="s">
        <v>3218</v>
      </c>
    </row>
    <row r="2979" spans="1:2" x14ac:dyDescent="0.25">
      <c r="A2979" t="s">
        <v>3219</v>
      </c>
    </row>
    <row r="2981" spans="1:2" x14ac:dyDescent="0.25">
      <c r="A2981" t="s">
        <v>3220</v>
      </c>
    </row>
    <row r="2982" spans="1:2" x14ac:dyDescent="0.25">
      <c r="B2982" t="s">
        <v>3221</v>
      </c>
    </row>
    <row r="2983" spans="1:2" x14ac:dyDescent="0.25">
      <c r="B2983" t="s">
        <v>3222</v>
      </c>
    </row>
    <row r="2984" spans="1:2" x14ac:dyDescent="0.25">
      <c r="B2984" t="s">
        <v>3223</v>
      </c>
    </row>
    <row r="2987" spans="1:2" x14ac:dyDescent="0.25">
      <c r="A2987" t="s">
        <v>3224</v>
      </c>
    </row>
    <row r="2988" spans="1:2" x14ac:dyDescent="0.25">
      <c r="A2988" t="s">
        <v>3225</v>
      </c>
    </row>
    <row r="2989" spans="1:2" x14ac:dyDescent="0.25">
      <c r="A2989" t="s">
        <v>3226</v>
      </c>
    </row>
    <row r="2990" spans="1:2" x14ac:dyDescent="0.25">
      <c r="A2990" t="s">
        <v>3227</v>
      </c>
    </row>
    <row r="2991" spans="1:2" x14ac:dyDescent="0.25">
      <c r="A2991" t="s">
        <v>3228</v>
      </c>
    </row>
    <row r="2992" spans="1:2" x14ac:dyDescent="0.25">
      <c r="A2992" t="s">
        <v>3229</v>
      </c>
    </row>
    <row r="2993" spans="1:1" x14ac:dyDescent="0.25">
      <c r="A2993" t="s">
        <v>3230</v>
      </c>
    </row>
    <row r="2994" spans="1:1" x14ac:dyDescent="0.25">
      <c r="A2994" t="s">
        <v>1926</v>
      </c>
    </row>
    <row r="2996" spans="1:1" x14ac:dyDescent="0.25">
      <c r="A2996" t="s">
        <v>1775</v>
      </c>
    </row>
    <row r="2998" spans="1:1" x14ac:dyDescent="0.25">
      <c r="A2998" t="s">
        <v>2037</v>
      </c>
    </row>
    <row r="2999" spans="1:1" x14ac:dyDescent="0.25">
      <c r="A2999" t="s">
        <v>3231</v>
      </c>
    </row>
    <row r="3000" spans="1:1" x14ac:dyDescent="0.25">
      <c r="A3000" t="s">
        <v>3232</v>
      </c>
    </row>
    <row r="3001" spans="1:1" x14ac:dyDescent="0.25">
      <c r="A3001" t="s">
        <v>1931</v>
      </c>
    </row>
    <row r="3002" spans="1:1" x14ac:dyDescent="0.25">
      <c r="A3002" t="s">
        <v>3233</v>
      </c>
    </row>
    <row r="3003" spans="1:1" x14ac:dyDescent="0.25">
      <c r="A3003" t="s">
        <v>1934</v>
      </c>
    </row>
    <row r="3004" spans="1:1" x14ac:dyDescent="0.25">
      <c r="A3004" t="s">
        <v>3234</v>
      </c>
    </row>
    <row r="3005" spans="1:1" x14ac:dyDescent="0.25">
      <c r="A3005" t="s">
        <v>3235</v>
      </c>
    </row>
    <row r="3006" spans="1:1" x14ac:dyDescent="0.25">
      <c r="A3006" t="s">
        <v>3236</v>
      </c>
    </row>
    <row r="3007" spans="1:1" x14ac:dyDescent="0.25">
      <c r="A3007" t="s">
        <v>3237</v>
      </c>
    </row>
    <row r="3008" spans="1:1" x14ac:dyDescent="0.25">
      <c r="A3008" t="s">
        <v>3238</v>
      </c>
    </row>
    <row r="3009" spans="1:1" x14ac:dyDescent="0.25">
      <c r="A3009" t="s">
        <v>3239</v>
      </c>
    </row>
    <row r="3010" spans="1:1" x14ac:dyDescent="0.25">
      <c r="A3010" t="s">
        <v>3240</v>
      </c>
    </row>
    <row r="3011" spans="1:1" x14ac:dyDescent="0.25">
      <c r="A3011" t="s">
        <v>3241</v>
      </c>
    </row>
    <row r="3012" spans="1:1" x14ac:dyDescent="0.25">
      <c r="A3012" t="s">
        <v>3242</v>
      </c>
    </row>
    <row r="3013" spans="1:1" x14ac:dyDescent="0.25">
      <c r="A3013" t="s">
        <v>3243</v>
      </c>
    </row>
    <row r="3014" spans="1:1" x14ac:dyDescent="0.25">
      <c r="A3014" t="s">
        <v>3244</v>
      </c>
    </row>
    <row r="3015" spans="1:1" x14ac:dyDescent="0.25">
      <c r="A3015" t="s">
        <v>3245</v>
      </c>
    </row>
    <row r="3016" spans="1:1" x14ac:dyDescent="0.25">
      <c r="A3016" t="s">
        <v>3246</v>
      </c>
    </row>
    <row r="3017" spans="1:1" x14ac:dyDescent="0.25">
      <c r="A3017" t="s">
        <v>3247</v>
      </c>
    </row>
    <row r="3018" spans="1:1" x14ac:dyDescent="0.25">
      <c r="A3018" t="s">
        <v>3248</v>
      </c>
    </row>
    <row r="3019" spans="1:1" x14ac:dyDescent="0.25">
      <c r="A3019" t="s">
        <v>3249</v>
      </c>
    </row>
    <row r="3020" spans="1:1" x14ac:dyDescent="0.25">
      <c r="A3020" t="s">
        <v>3250</v>
      </c>
    </row>
    <row r="3021" spans="1:1" x14ac:dyDescent="0.25">
      <c r="A3021" t="s">
        <v>3251</v>
      </c>
    </row>
    <row r="3022" spans="1:1" x14ac:dyDescent="0.25">
      <c r="A3022" t="s">
        <v>3252</v>
      </c>
    </row>
    <row r="3023" spans="1:1" x14ac:dyDescent="0.25">
      <c r="A3023" t="s">
        <v>3253</v>
      </c>
    </row>
    <row r="3024" spans="1:1" x14ac:dyDescent="0.25">
      <c r="A3024" t="s">
        <v>3254</v>
      </c>
    </row>
    <row r="3025" spans="1:1" x14ac:dyDescent="0.25">
      <c r="A3025" t="s">
        <v>3255</v>
      </c>
    </row>
    <row r="3026" spans="1:1" x14ac:dyDescent="0.25">
      <c r="A3026" t="s">
        <v>3256</v>
      </c>
    </row>
    <row r="3027" spans="1:1" x14ac:dyDescent="0.25">
      <c r="A3027" t="s">
        <v>3257</v>
      </c>
    </row>
    <row r="3028" spans="1:1" x14ac:dyDescent="0.25">
      <c r="A3028" t="s">
        <v>3258</v>
      </c>
    </row>
    <row r="3029" spans="1:1" x14ac:dyDescent="0.25">
      <c r="A3029" t="s">
        <v>3259</v>
      </c>
    </row>
    <row r="3030" spans="1:1" x14ac:dyDescent="0.25">
      <c r="A3030" t="s">
        <v>3260</v>
      </c>
    </row>
    <row r="3031" spans="1:1" x14ac:dyDescent="0.25">
      <c r="A3031" t="s">
        <v>3261</v>
      </c>
    </row>
    <row r="3032" spans="1:1" x14ac:dyDescent="0.25">
      <c r="A3032" t="s">
        <v>3262</v>
      </c>
    </row>
    <row r="3033" spans="1:1" x14ac:dyDescent="0.25">
      <c r="A3033" t="s">
        <v>3263</v>
      </c>
    </row>
    <row r="3034" spans="1:1" x14ac:dyDescent="0.25">
      <c r="A3034" t="s">
        <v>3264</v>
      </c>
    </row>
    <row r="3035" spans="1:1" x14ac:dyDescent="0.25">
      <c r="A3035" t="s">
        <v>3265</v>
      </c>
    </row>
    <row r="3036" spans="1:1" x14ac:dyDescent="0.25">
      <c r="A3036" t="s">
        <v>3266</v>
      </c>
    </row>
    <row r="3037" spans="1:1" x14ac:dyDescent="0.25">
      <c r="A3037" t="s">
        <v>3267</v>
      </c>
    </row>
    <row r="3038" spans="1:1" x14ac:dyDescent="0.25">
      <c r="A3038" t="s">
        <v>3268</v>
      </c>
    </row>
    <row r="3039" spans="1:1" x14ac:dyDescent="0.25">
      <c r="A3039" t="s">
        <v>3269</v>
      </c>
    </row>
    <row r="3040" spans="1:1" x14ac:dyDescent="0.25">
      <c r="A3040" t="s">
        <v>3270</v>
      </c>
    </row>
    <row r="3041" spans="1:1" x14ac:dyDescent="0.25">
      <c r="A3041" t="s">
        <v>3271</v>
      </c>
    </row>
    <row r="3042" spans="1:1" x14ac:dyDescent="0.25">
      <c r="A3042" t="s">
        <v>3272</v>
      </c>
    </row>
    <row r="3043" spans="1:1" x14ac:dyDescent="0.25">
      <c r="A3043" t="s">
        <v>3273</v>
      </c>
    </row>
    <row r="3044" spans="1:1" x14ac:dyDescent="0.25">
      <c r="A3044" t="s">
        <v>3274</v>
      </c>
    </row>
    <row r="3045" spans="1:1" x14ac:dyDescent="0.25">
      <c r="A3045" t="s">
        <v>3275</v>
      </c>
    </row>
    <row r="3046" spans="1:1" x14ac:dyDescent="0.25">
      <c r="A3046" t="s">
        <v>3276</v>
      </c>
    </row>
    <row r="3047" spans="1:1" x14ac:dyDescent="0.25">
      <c r="A3047" t="s">
        <v>3277</v>
      </c>
    </row>
    <row r="3048" spans="1:1" x14ac:dyDescent="0.25">
      <c r="A3048" t="s">
        <v>3278</v>
      </c>
    </row>
    <row r="3049" spans="1:1" x14ac:dyDescent="0.25">
      <c r="A3049" t="s">
        <v>1942</v>
      </c>
    </row>
    <row r="3051" spans="1:1" x14ac:dyDescent="0.25">
      <c r="A3051" t="s">
        <v>3279</v>
      </c>
    </row>
    <row r="3052" spans="1:1" x14ac:dyDescent="0.25">
      <c r="A3052" t="s">
        <v>3280</v>
      </c>
    </row>
    <row r="3053" spans="1:1" x14ac:dyDescent="0.25">
      <c r="A3053" t="s">
        <v>3281</v>
      </c>
    </row>
    <row r="3054" spans="1:1" x14ac:dyDescent="0.25">
      <c r="A3054" t="s">
        <v>3282</v>
      </c>
    </row>
    <row r="3055" spans="1:1" x14ac:dyDescent="0.25">
      <c r="A3055" t="s">
        <v>3283</v>
      </c>
    </row>
    <row r="3056" spans="1:1" x14ac:dyDescent="0.25">
      <c r="A3056" t="s">
        <v>3284</v>
      </c>
    </row>
    <row r="3057" spans="1:1" x14ac:dyDescent="0.25">
      <c r="A3057" t="s">
        <v>3285</v>
      </c>
    </row>
    <row r="3058" spans="1:1" x14ac:dyDescent="0.25">
      <c r="A3058" t="s">
        <v>3286</v>
      </c>
    </row>
    <row r="3059" spans="1:1" x14ac:dyDescent="0.25">
      <c r="A3059" t="s">
        <v>3287</v>
      </c>
    </row>
    <row r="3060" spans="1:1" x14ac:dyDescent="0.25">
      <c r="A3060" t="s">
        <v>3288</v>
      </c>
    </row>
    <row r="3061" spans="1:1" x14ac:dyDescent="0.25">
      <c r="A3061" t="s">
        <v>3289</v>
      </c>
    </row>
    <row r="3062" spans="1:1" x14ac:dyDescent="0.25">
      <c r="A3062" t="s">
        <v>3290</v>
      </c>
    </row>
    <row r="3063" spans="1:1" x14ac:dyDescent="0.25">
      <c r="A3063" t="s">
        <v>3291</v>
      </c>
    </row>
    <row r="3064" spans="1:1" x14ac:dyDescent="0.25">
      <c r="A3064" t="s">
        <v>3292</v>
      </c>
    </row>
    <row r="3065" spans="1:1" x14ac:dyDescent="0.25">
      <c r="A3065" t="s">
        <v>3293</v>
      </c>
    </row>
    <row r="3066" spans="1:1" x14ac:dyDescent="0.25">
      <c r="A3066" t="s">
        <v>3294</v>
      </c>
    </row>
    <row r="3067" spans="1:1" x14ac:dyDescent="0.25">
      <c r="A3067" t="s">
        <v>3295</v>
      </c>
    </row>
    <row r="3068" spans="1:1" x14ac:dyDescent="0.25">
      <c r="A3068" t="s">
        <v>3296</v>
      </c>
    </row>
    <row r="3069" spans="1:1" x14ac:dyDescent="0.25">
      <c r="A3069" t="s">
        <v>3297</v>
      </c>
    </row>
    <row r="3070" spans="1:1" x14ac:dyDescent="0.25">
      <c r="A3070" t="s">
        <v>3298</v>
      </c>
    </row>
    <row r="3071" spans="1:1" x14ac:dyDescent="0.25">
      <c r="A3071" t="s">
        <v>3299</v>
      </c>
    </row>
    <row r="3072" spans="1:1" x14ac:dyDescent="0.25">
      <c r="A3072" t="s">
        <v>3300</v>
      </c>
    </row>
    <row r="3073" spans="1:1" x14ac:dyDescent="0.25">
      <c r="A3073" t="s">
        <v>3301</v>
      </c>
    </row>
    <row r="3074" spans="1:1" x14ac:dyDescent="0.25">
      <c r="A3074" t="s">
        <v>3302</v>
      </c>
    </row>
    <row r="3075" spans="1:1" x14ac:dyDescent="0.25">
      <c r="A3075" t="s">
        <v>3303</v>
      </c>
    </row>
    <row r="3076" spans="1:1" x14ac:dyDescent="0.25">
      <c r="A3076" t="s">
        <v>3304</v>
      </c>
    </row>
    <row r="3077" spans="1:1" x14ac:dyDescent="0.25">
      <c r="A3077" t="s">
        <v>3305</v>
      </c>
    </row>
    <row r="3078" spans="1:1" x14ac:dyDescent="0.25">
      <c r="A3078" t="s">
        <v>3306</v>
      </c>
    </row>
    <row r="3079" spans="1:1" x14ac:dyDescent="0.25">
      <c r="A3079" t="s">
        <v>3307</v>
      </c>
    </row>
    <row r="3080" spans="1:1" x14ac:dyDescent="0.25">
      <c r="A3080" t="s">
        <v>3308</v>
      </c>
    </row>
    <row r="3081" spans="1:1" x14ac:dyDescent="0.25">
      <c r="A3081" t="s">
        <v>3309</v>
      </c>
    </row>
    <row r="3082" spans="1:1" x14ac:dyDescent="0.25">
      <c r="A3082" t="s">
        <v>3310</v>
      </c>
    </row>
    <row r="3083" spans="1:1" x14ac:dyDescent="0.25">
      <c r="A3083" t="s">
        <v>3311</v>
      </c>
    </row>
    <row r="3084" spans="1:1" x14ac:dyDescent="0.25">
      <c r="A3084" t="s">
        <v>3312</v>
      </c>
    </row>
    <row r="3085" spans="1:1" x14ac:dyDescent="0.25">
      <c r="A3085" t="s">
        <v>3313</v>
      </c>
    </row>
    <row r="3086" spans="1:1" x14ac:dyDescent="0.25">
      <c r="A3086" t="s">
        <v>3314</v>
      </c>
    </row>
    <row r="3087" spans="1:1" x14ac:dyDescent="0.25">
      <c r="A3087" t="s">
        <v>3315</v>
      </c>
    </row>
    <row r="3088" spans="1:1" x14ac:dyDescent="0.25">
      <c r="A3088" t="s">
        <v>3316</v>
      </c>
    </row>
    <row r="3089" spans="1:1" x14ac:dyDescent="0.25">
      <c r="A3089" t="s">
        <v>3317</v>
      </c>
    </row>
    <row r="3090" spans="1:1" x14ac:dyDescent="0.25">
      <c r="A3090" t="s">
        <v>3318</v>
      </c>
    </row>
    <row r="3091" spans="1:1" x14ac:dyDescent="0.25">
      <c r="A3091" t="s">
        <v>3319</v>
      </c>
    </row>
    <row r="3092" spans="1:1" x14ac:dyDescent="0.25">
      <c r="A3092" t="s">
        <v>3320</v>
      </c>
    </row>
    <row r="3093" spans="1:1" x14ac:dyDescent="0.25">
      <c r="A3093" t="s">
        <v>3321</v>
      </c>
    </row>
    <row r="3094" spans="1:1" x14ac:dyDescent="0.25">
      <c r="A3094" t="s">
        <v>3322</v>
      </c>
    </row>
    <row r="3095" spans="1:1" x14ac:dyDescent="0.25">
      <c r="A3095" t="s">
        <v>3323</v>
      </c>
    </row>
    <row r="3096" spans="1:1" x14ac:dyDescent="0.25">
      <c r="A3096" t="s">
        <v>2043</v>
      </c>
    </row>
    <row r="3098" spans="1:1" x14ac:dyDescent="0.25">
      <c r="A3098" t="s">
        <v>1775</v>
      </c>
    </row>
    <row r="3100" spans="1:1" x14ac:dyDescent="0.25">
      <c r="A3100" t="s">
        <v>1929</v>
      </c>
    </row>
    <row r="3101" spans="1:1" x14ac:dyDescent="0.25">
      <c r="A3101" t="s">
        <v>3324</v>
      </c>
    </row>
    <row r="3102" spans="1:1" x14ac:dyDescent="0.25">
      <c r="A3102" t="s">
        <v>1947</v>
      </c>
    </row>
    <row r="3103" spans="1:1" x14ac:dyDescent="0.25">
      <c r="A3103" t="s">
        <v>3232</v>
      </c>
    </row>
    <row r="3104" spans="1:1" x14ac:dyDescent="0.25">
      <c r="A3104" t="s">
        <v>1931</v>
      </c>
    </row>
    <row r="3105" spans="1:1" x14ac:dyDescent="0.25">
      <c r="A3105" t="s">
        <v>3325</v>
      </c>
    </row>
    <row r="3106" spans="1:1" x14ac:dyDescent="0.25">
      <c r="A3106" t="s">
        <v>2308</v>
      </c>
    </row>
    <row r="3107" spans="1:1" x14ac:dyDescent="0.25">
      <c r="A3107" t="s">
        <v>3326</v>
      </c>
    </row>
    <row r="3108" spans="1:1" x14ac:dyDescent="0.25">
      <c r="A3108" t="s">
        <v>3327</v>
      </c>
    </row>
    <row r="3109" spans="1:1" x14ac:dyDescent="0.25">
      <c r="A3109" t="s">
        <v>3328</v>
      </c>
    </row>
    <row r="3110" spans="1:1" x14ac:dyDescent="0.25">
      <c r="A3110" t="s">
        <v>3329</v>
      </c>
    </row>
    <row r="3111" spans="1:1" x14ac:dyDescent="0.25">
      <c r="A3111" t="s">
        <v>3330</v>
      </c>
    </row>
    <row r="3112" spans="1:1" x14ac:dyDescent="0.25">
      <c r="A3112" t="s">
        <v>3331</v>
      </c>
    </row>
    <row r="3113" spans="1:1" x14ac:dyDescent="0.25">
      <c r="A3113" t="s">
        <v>3332</v>
      </c>
    </row>
    <row r="3114" spans="1:1" x14ac:dyDescent="0.25">
      <c r="A3114" t="s">
        <v>1945</v>
      </c>
    </row>
    <row r="3116" spans="1:1" x14ac:dyDescent="0.25">
      <c r="A3116" t="s">
        <v>1775</v>
      </c>
    </row>
    <row r="3118" spans="1:1" x14ac:dyDescent="0.25">
      <c r="A3118" t="s">
        <v>3333</v>
      </c>
    </row>
    <row r="3119" spans="1:1" x14ac:dyDescent="0.25">
      <c r="A3119" t="s">
        <v>3334</v>
      </c>
    </row>
    <row r="3120" spans="1:1" x14ac:dyDescent="0.25">
      <c r="A3120" t="s">
        <v>3335</v>
      </c>
    </row>
    <row r="3121" spans="1:1" x14ac:dyDescent="0.25">
      <c r="A3121" t="s">
        <v>1926</v>
      </c>
    </row>
    <row r="3123" spans="1:1" x14ac:dyDescent="0.25">
      <c r="A3123" t="s">
        <v>1775</v>
      </c>
    </row>
    <row r="3125" spans="1:1" x14ac:dyDescent="0.25">
      <c r="A3125" t="s">
        <v>3336</v>
      </c>
    </row>
    <row r="3127" spans="1:1" x14ac:dyDescent="0.25">
      <c r="A3127" t="s">
        <v>1775</v>
      </c>
    </row>
    <row r="3129" spans="1:1" x14ac:dyDescent="0.25">
      <c r="A3129" t="s">
        <v>3337</v>
      </c>
    </row>
    <row r="3131" spans="1:1" x14ac:dyDescent="0.25">
      <c r="A3131" t="s">
        <v>1775</v>
      </c>
    </row>
    <row r="3133" spans="1:1" x14ac:dyDescent="0.25">
      <c r="A3133" t="s">
        <v>2037</v>
      </c>
    </row>
    <row r="3134" spans="1:1" x14ac:dyDescent="0.25">
      <c r="A3134" t="s">
        <v>3338</v>
      </c>
    </row>
    <row r="3135" spans="1:1" x14ac:dyDescent="0.25">
      <c r="A3135" t="s">
        <v>1931</v>
      </c>
    </row>
    <row r="3136" spans="1:1" x14ac:dyDescent="0.25">
      <c r="A3136" t="s">
        <v>3339</v>
      </c>
    </row>
    <row r="3137" spans="1:1" x14ac:dyDescent="0.25">
      <c r="A3137" t="s">
        <v>2043</v>
      </c>
    </row>
    <row r="3139" spans="1:1" x14ac:dyDescent="0.25">
      <c r="A3139" t="s">
        <v>1775</v>
      </c>
    </row>
    <row r="3141" spans="1:1" x14ac:dyDescent="0.25">
      <c r="A3141" t="s">
        <v>3340</v>
      </c>
    </row>
    <row r="3142" spans="1:1" x14ac:dyDescent="0.25">
      <c r="A3142" t="s">
        <v>3341</v>
      </c>
    </row>
    <row r="3144" spans="1:1" x14ac:dyDescent="0.25">
      <c r="A3144" t="s">
        <v>2440</v>
      </c>
    </row>
    <row r="3146" spans="1:1" x14ac:dyDescent="0.25">
      <c r="A3146" t="s">
        <v>2682</v>
      </c>
    </row>
    <row r="3147" spans="1:1" x14ac:dyDescent="0.25">
      <c r="A3147" t="s">
        <v>3342</v>
      </c>
    </row>
    <row r="3148" spans="1:1" x14ac:dyDescent="0.25">
      <c r="A3148" t="s">
        <v>2684</v>
      </c>
    </row>
    <row r="3149" spans="1:1" x14ac:dyDescent="0.25">
      <c r="A3149" t="s">
        <v>3343</v>
      </c>
    </row>
    <row r="3150" spans="1:1" x14ac:dyDescent="0.25">
      <c r="A3150" t="s">
        <v>3344</v>
      </c>
    </row>
    <row r="3151" spans="1:1" x14ac:dyDescent="0.25">
      <c r="A3151" t="s">
        <v>3345</v>
      </c>
    </row>
    <row r="3152" spans="1:1" x14ac:dyDescent="0.25">
      <c r="A3152" t="s">
        <v>3346</v>
      </c>
    </row>
    <row r="3153" spans="1:1" x14ac:dyDescent="0.25">
      <c r="A3153" t="s">
        <v>3347</v>
      </c>
    </row>
    <row r="3155" spans="1:1" x14ac:dyDescent="0.25">
      <c r="A3155" t="s">
        <v>3348</v>
      </c>
    </row>
    <row r="3156" spans="1:1" x14ac:dyDescent="0.25">
      <c r="A3156" t="s">
        <v>3349</v>
      </c>
    </row>
    <row r="3157" spans="1:1" x14ac:dyDescent="0.25">
      <c r="A3157" t="s">
        <v>3350</v>
      </c>
    </row>
    <row r="3158" spans="1:1" x14ac:dyDescent="0.25">
      <c r="A3158" t="s">
        <v>3351</v>
      </c>
    </row>
    <row r="3159" spans="1:1" x14ac:dyDescent="0.25">
      <c r="A3159" t="s">
        <v>3352</v>
      </c>
    </row>
    <row r="3160" spans="1:1" x14ac:dyDescent="0.25">
      <c r="A3160" t="s">
        <v>3353</v>
      </c>
    </row>
    <row r="3161" spans="1:1" x14ac:dyDescent="0.25">
      <c r="A3161" t="s">
        <v>2686</v>
      </c>
    </row>
    <row r="3163" spans="1:1" x14ac:dyDescent="0.25">
      <c r="A3163" t="s">
        <v>2440</v>
      </c>
    </row>
    <row r="3165" spans="1:1" x14ac:dyDescent="0.25">
      <c r="A3165" t="s">
        <v>1934</v>
      </c>
    </row>
    <row r="3166" spans="1:1" x14ac:dyDescent="0.25">
      <c r="A3166" t="s">
        <v>3354</v>
      </c>
    </row>
    <row r="3167" spans="1:1" x14ac:dyDescent="0.25">
      <c r="A3167" t="s">
        <v>1942</v>
      </c>
    </row>
    <row r="3169" spans="1:1" x14ac:dyDescent="0.25">
      <c r="A3169" t="s">
        <v>2440</v>
      </c>
    </row>
    <row r="3171" spans="1:1" x14ac:dyDescent="0.25">
      <c r="A3171" t="s">
        <v>3355</v>
      </c>
    </row>
    <row r="3173" spans="1:1" x14ac:dyDescent="0.25">
      <c r="A3173" t="s">
        <v>2440</v>
      </c>
    </row>
    <row r="3175" spans="1:1" x14ac:dyDescent="0.25">
      <c r="A3175" t="s">
        <v>1934</v>
      </c>
    </row>
    <row r="3176" spans="1:1" x14ac:dyDescent="0.25">
      <c r="A3176" t="s">
        <v>3356</v>
      </c>
    </row>
    <row r="3177" spans="1:1" x14ac:dyDescent="0.25">
      <c r="A3177" t="s">
        <v>3357</v>
      </c>
    </row>
    <row r="3178" spans="1:1" x14ac:dyDescent="0.25">
      <c r="A3178" t="s">
        <v>3358</v>
      </c>
    </row>
    <row r="3179" spans="1:1" x14ac:dyDescent="0.25">
      <c r="A3179" t="s">
        <v>1942</v>
      </c>
    </row>
    <row r="3181" spans="1:1" x14ac:dyDescent="0.25">
      <c r="A3181" t="s">
        <v>2440</v>
      </c>
    </row>
    <row r="3183" spans="1:1" x14ac:dyDescent="0.25">
      <c r="A3183" t="s">
        <v>2682</v>
      </c>
    </row>
    <row r="3184" spans="1:1" x14ac:dyDescent="0.25">
      <c r="A3184" t="s">
        <v>3359</v>
      </c>
    </row>
    <row r="3185" spans="1:1" x14ac:dyDescent="0.25">
      <c r="A3185" t="s">
        <v>2446</v>
      </c>
    </row>
    <row r="3186" spans="1:1" x14ac:dyDescent="0.25">
      <c r="A3186" t="s">
        <v>3360</v>
      </c>
    </row>
    <row r="3187" spans="1:1" x14ac:dyDescent="0.25">
      <c r="A3187" t="s">
        <v>3361</v>
      </c>
    </row>
    <row r="3188" spans="1:1" x14ac:dyDescent="0.25">
      <c r="A3188" t="s">
        <v>3362</v>
      </c>
    </row>
    <row r="3189" spans="1:1" x14ac:dyDescent="0.25">
      <c r="A3189" t="s">
        <v>3363</v>
      </c>
    </row>
    <row r="3190" spans="1:1" x14ac:dyDescent="0.25">
      <c r="A3190" t="s">
        <v>2686</v>
      </c>
    </row>
    <row r="3192" spans="1:1" x14ac:dyDescent="0.25">
      <c r="A3192" t="s">
        <v>2440</v>
      </c>
    </row>
    <row r="3194" spans="1:1" x14ac:dyDescent="0.25">
      <c r="A3194" t="s">
        <v>3364</v>
      </c>
    </row>
    <row r="3196" spans="1:1" x14ac:dyDescent="0.25">
      <c r="A3196" t="s">
        <v>2440</v>
      </c>
    </row>
    <row r="3198" spans="1:1" x14ac:dyDescent="0.25">
      <c r="A3198" t="s">
        <v>1934</v>
      </c>
    </row>
    <row r="3199" spans="1:1" x14ac:dyDescent="0.25">
      <c r="A3199" t="s">
        <v>3356</v>
      </c>
    </row>
    <row r="3200" spans="1:1" x14ac:dyDescent="0.25">
      <c r="A3200" t="s">
        <v>3365</v>
      </c>
    </row>
    <row r="3201" spans="1:1" x14ac:dyDescent="0.25">
      <c r="A3201" t="s">
        <v>3366</v>
      </c>
    </row>
    <row r="3202" spans="1:1" x14ac:dyDescent="0.25">
      <c r="A3202" t="s">
        <v>1942</v>
      </c>
    </row>
    <row r="3204" spans="1:1" x14ac:dyDescent="0.25">
      <c r="A3204" t="s">
        <v>2440</v>
      </c>
    </row>
    <row r="3206" spans="1:1" x14ac:dyDescent="0.25">
      <c r="A3206" t="s">
        <v>2682</v>
      </c>
    </row>
    <row r="3207" spans="1:1" x14ac:dyDescent="0.25">
      <c r="A3207" t="s">
        <v>3367</v>
      </c>
    </row>
    <row r="3208" spans="1:1" x14ac:dyDescent="0.25">
      <c r="A3208" t="s">
        <v>2446</v>
      </c>
    </row>
    <row r="3209" spans="1:1" x14ac:dyDescent="0.25">
      <c r="A3209" t="s">
        <v>3360</v>
      </c>
    </row>
    <row r="3210" spans="1:1" x14ac:dyDescent="0.25">
      <c r="A3210" t="s">
        <v>3361</v>
      </c>
    </row>
    <row r="3211" spans="1:1" x14ac:dyDescent="0.25">
      <c r="A3211" t="s">
        <v>3362</v>
      </c>
    </row>
    <row r="3212" spans="1:1" x14ac:dyDescent="0.25">
      <c r="A3212" t="s">
        <v>3363</v>
      </c>
    </row>
    <row r="3213" spans="1:1" x14ac:dyDescent="0.25">
      <c r="A3213" t="s">
        <v>2686</v>
      </c>
    </row>
    <row r="3215" spans="1:1" x14ac:dyDescent="0.25">
      <c r="A3215" t="s">
        <v>2440</v>
      </c>
    </row>
    <row r="3217" spans="1:1" x14ac:dyDescent="0.25">
      <c r="A3217" t="s">
        <v>3368</v>
      </c>
    </row>
    <row r="3219" spans="1:1" x14ac:dyDescent="0.25">
      <c r="A3219" t="s">
        <v>2440</v>
      </c>
    </row>
    <row r="3221" spans="1:1" x14ac:dyDescent="0.25">
      <c r="A3221" t="s">
        <v>1934</v>
      </c>
    </row>
    <row r="3222" spans="1:1" x14ac:dyDescent="0.25">
      <c r="A3222" t="s">
        <v>3356</v>
      </c>
    </row>
    <row r="3223" spans="1:1" x14ac:dyDescent="0.25">
      <c r="A3223" t="s">
        <v>3369</v>
      </c>
    </row>
    <row r="3224" spans="1:1" x14ac:dyDescent="0.25">
      <c r="A3224" t="s">
        <v>3370</v>
      </c>
    </row>
    <row r="3225" spans="1:1" x14ac:dyDescent="0.25">
      <c r="A3225" t="s">
        <v>1942</v>
      </c>
    </row>
    <row r="3227" spans="1:1" x14ac:dyDescent="0.25">
      <c r="A3227" t="s">
        <v>2440</v>
      </c>
    </row>
    <row r="3229" spans="1:1" x14ac:dyDescent="0.25">
      <c r="A3229" t="s">
        <v>2682</v>
      </c>
    </row>
    <row r="3230" spans="1:1" x14ac:dyDescent="0.25">
      <c r="A3230" t="s">
        <v>3371</v>
      </c>
    </row>
    <row r="3231" spans="1:1" x14ac:dyDescent="0.25">
      <c r="A3231" t="s">
        <v>2446</v>
      </c>
    </row>
    <row r="3232" spans="1:1" x14ac:dyDescent="0.25">
      <c r="A3232" t="s">
        <v>3360</v>
      </c>
    </row>
    <row r="3233" spans="1:1" x14ac:dyDescent="0.25">
      <c r="A3233" t="s">
        <v>3361</v>
      </c>
    </row>
    <row r="3234" spans="1:1" x14ac:dyDescent="0.25">
      <c r="A3234" t="s">
        <v>3372</v>
      </c>
    </row>
    <row r="3235" spans="1:1" x14ac:dyDescent="0.25">
      <c r="A3235" t="s">
        <v>3373</v>
      </c>
    </row>
    <row r="3236" spans="1:1" x14ac:dyDescent="0.25">
      <c r="A3236" t="s">
        <v>2686</v>
      </c>
    </row>
    <row r="3238" spans="1:1" x14ac:dyDescent="0.25">
      <c r="A3238" t="s">
        <v>2440</v>
      </c>
    </row>
    <row r="3240" spans="1:1" x14ac:dyDescent="0.25">
      <c r="A3240" t="s">
        <v>2682</v>
      </c>
    </row>
    <row r="3241" spans="1:1" x14ac:dyDescent="0.25">
      <c r="A3241" t="s">
        <v>3374</v>
      </c>
    </row>
    <row r="3242" spans="1:1" x14ac:dyDescent="0.25">
      <c r="A3242" t="s">
        <v>3375</v>
      </c>
    </row>
    <row r="3243" spans="1:1" x14ac:dyDescent="0.25">
      <c r="A3243" t="s">
        <v>2684</v>
      </c>
    </row>
    <row r="3244" spans="1:1" x14ac:dyDescent="0.25">
      <c r="A3244" t="s">
        <v>3376</v>
      </c>
    </row>
    <row r="3245" spans="1:1" x14ac:dyDescent="0.25">
      <c r="A3245" t="s">
        <v>3377</v>
      </c>
    </row>
    <row r="3246" spans="1:1" x14ac:dyDescent="0.25">
      <c r="A3246" t="s">
        <v>3345</v>
      </c>
    </row>
    <row r="3247" spans="1:1" x14ac:dyDescent="0.25">
      <c r="A3247" t="s">
        <v>3378</v>
      </c>
    </row>
    <row r="3248" spans="1:1" x14ac:dyDescent="0.25">
      <c r="A3248" t="s">
        <v>3347</v>
      </c>
    </row>
    <row r="3250" spans="1:1" x14ac:dyDescent="0.25">
      <c r="A3250" t="s">
        <v>3379</v>
      </c>
    </row>
    <row r="3251" spans="1:1" x14ac:dyDescent="0.25">
      <c r="A3251" t="s">
        <v>3380</v>
      </c>
    </row>
    <row r="3252" spans="1:1" x14ac:dyDescent="0.25">
      <c r="A3252" t="s">
        <v>3381</v>
      </c>
    </row>
    <row r="3253" spans="1:1" x14ac:dyDescent="0.25">
      <c r="A3253" t="s">
        <v>3382</v>
      </c>
    </row>
    <row r="3254" spans="1:1" x14ac:dyDescent="0.25">
      <c r="A3254" t="s">
        <v>3383</v>
      </c>
    </row>
    <row r="3255" spans="1:1" x14ac:dyDescent="0.25">
      <c r="A3255" t="s">
        <v>3384</v>
      </c>
    </row>
    <row r="3256" spans="1:1" x14ac:dyDescent="0.25">
      <c r="A3256" t="s">
        <v>3385</v>
      </c>
    </row>
    <row r="3257" spans="1:1" x14ac:dyDescent="0.25">
      <c r="A3257" t="s">
        <v>3386</v>
      </c>
    </row>
    <row r="3258" spans="1:1" x14ac:dyDescent="0.25">
      <c r="A3258" t="s">
        <v>3387</v>
      </c>
    </row>
    <row r="3259" spans="1:1" x14ac:dyDescent="0.25">
      <c r="A3259" t="s">
        <v>3388</v>
      </c>
    </row>
    <row r="3260" spans="1:1" x14ac:dyDescent="0.25">
      <c r="A3260" t="s">
        <v>3389</v>
      </c>
    </row>
    <row r="3261" spans="1:1" x14ac:dyDescent="0.25">
      <c r="A3261" t="s">
        <v>3390</v>
      </c>
    </row>
    <row r="3262" spans="1:1" x14ac:dyDescent="0.25">
      <c r="A3262" t="s">
        <v>3391</v>
      </c>
    </row>
    <row r="3263" spans="1:1" x14ac:dyDescent="0.25">
      <c r="A3263" t="s">
        <v>3392</v>
      </c>
    </row>
    <row r="3264" spans="1:1" x14ac:dyDescent="0.25">
      <c r="A3264" t="s">
        <v>3393</v>
      </c>
    </row>
    <row r="3265" spans="1:1" x14ac:dyDescent="0.25">
      <c r="A3265" t="s">
        <v>3394</v>
      </c>
    </row>
    <row r="3266" spans="1:1" x14ac:dyDescent="0.25">
      <c r="A3266" t="s">
        <v>3395</v>
      </c>
    </row>
    <row r="3267" spans="1:1" x14ac:dyDescent="0.25">
      <c r="A3267" t="s">
        <v>2686</v>
      </c>
    </row>
    <row r="3269" spans="1:1" x14ac:dyDescent="0.25">
      <c r="A3269" t="s">
        <v>2440</v>
      </c>
    </row>
    <row r="3271" spans="1:1" x14ac:dyDescent="0.25">
      <c r="A3271" t="s">
        <v>3396</v>
      </c>
    </row>
    <row r="3272" spans="1:1" x14ac:dyDescent="0.25">
      <c r="A3272" t="s">
        <v>3397</v>
      </c>
    </row>
    <row r="3273" spans="1:1" x14ac:dyDescent="0.25">
      <c r="A3273" t="s">
        <v>1942</v>
      </c>
    </row>
    <row r="3275" spans="1:1" x14ac:dyDescent="0.25">
      <c r="A3275" t="s">
        <v>2440</v>
      </c>
    </row>
    <row r="3277" spans="1:1" x14ac:dyDescent="0.25">
      <c r="A3277" t="s">
        <v>3398</v>
      </c>
    </row>
    <row r="3279" spans="1:1" x14ac:dyDescent="0.25">
      <c r="A3279" t="s">
        <v>2440</v>
      </c>
    </row>
    <row r="3281" spans="1:1" x14ac:dyDescent="0.25">
      <c r="A3281" t="s">
        <v>1934</v>
      </c>
    </row>
    <row r="3282" spans="1:1" x14ac:dyDescent="0.25">
      <c r="A3282" t="s">
        <v>3356</v>
      </c>
    </row>
    <row r="3283" spans="1:1" x14ac:dyDescent="0.25">
      <c r="A3283" t="s">
        <v>3399</v>
      </c>
    </row>
    <row r="3284" spans="1:1" x14ac:dyDescent="0.25">
      <c r="A3284" t="s">
        <v>3400</v>
      </c>
    </row>
    <row r="3285" spans="1:1" x14ac:dyDescent="0.25">
      <c r="A3285" t="s">
        <v>1942</v>
      </c>
    </row>
    <row r="3287" spans="1:1" x14ac:dyDescent="0.25">
      <c r="A3287" t="s">
        <v>2440</v>
      </c>
    </row>
    <row r="3289" spans="1:1" x14ac:dyDescent="0.25">
      <c r="A3289" t="s">
        <v>2682</v>
      </c>
    </row>
    <row r="3290" spans="1:1" x14ac:dyDescent="0.25">
      <c r="A3290" t="s">
        <v>3401</v>
      </c>
    </row>
    <row r="3291" spans="1:1" x14ac:dyDescent="0.25">
      <c r="A3291" t="s">
        <v>2446</v>
      </c>
    </row>
    <row r="3292" spans="1:1" x14ac:dyDescent="0.25">
      <c r="A3292" t="s">
        <v>3360</v>
      </c>
    </row>
    <row r="3293" spans="1:1" x14ac:dyDescent="0.25">
      <c r="A3293" t="s">
        <v>3361</v>
      </c>
    </row>
    <row r="3294" spans="1:1" x14ac:dyDescent="0.25">
      <c r="A3294" t="s">
        <v>3402</v>
      </c>
    </row>
    <row r="3295" spans="1:1" x14ac:dyDescent="0.25">
      <c r="A3295" t="s">
        <v>3403</v>
      </c>
    </row>
    <row r="3296" spans="1:1" x14ac:dyDescent="0.25">
      <c r="A3296" t="s">
        <v>2686</v>
      </c>
    </row>
    <row r="3298" spans="1:1" x14ac:dyDescent="0.25">
      <c r="A3298" t="s">
        <v>2440</v>
      </c>
    </row>
    <row r="3300" spans="1:1" x14ac:dyDescent="0.25">
      <c r="A3300" t="s">
        <v>3404</v>
      </c>
    </row>
    <row r="3301" spans="1:1" x14ac:dyDescent="0.25">
      <c r="A3301" t="s">
        <v>3405</v>
      </c>
    </row>
    <row r="3302" spans="1:1" x14ac:dyDescent="0.25">
      <c r="A3302" t="s">
        <v>2459</v>
      </c>
    </row>
    <row r="3303" spans="1:1" x14ac:dyDescent="0.25">
      <c r="A3303" t="s">
        <v>3406</v>
      </c>
    </row>
    <row r="3304" spans="1:1" x14ac:dyDescent="0.25">
      <c r="A3304" t="s">
        <v>3407</v>
      </c>
    </row>
    <row r="3305" spans="1:1" x14ac:dyDescent="0.25">
      <c r="A3305" t="s">
        <v>3408</v>
      </c>
    </row>
    <row r="3306" spans="1:1" x14ac:dyDescent="0.25">
      <c r="A3306" t="s">
        <v>3409</v>
      </c>
    </row>
    <row r="3307" spans="1:1" x14ac:dyDescent="0.25">
      <c r="A3307" t="s">
        <v>3410</v>
      </c>
    </row>
    <row r="3308" spans="1:1" x14ac:dyDescent="0.25">
      <c r="A3308" t="s">
        <v>3411</v>
      </c>
    </row>
    <row r="3309" spans="1:1" x14ac:dyDescent="0.25">
      <c r="A3309" t="s">
        <v>3412</v>
      </c>
    </row>
    <row r="3310" spans="1:1" x14ac:dyDescent="0.25">
      <c r="A3310" t="s">
        <v>3413</v>
      </c>
    </row>
    <row r="3311" spans="1:1" x14ac:dyDescent="0.25">
      <c r="A3311" t="s">
        <v>3414</v>
      </c>
    </row>
    <row r="3312" spans="1:1" x14ac:dyDescent="0.25">
      <c r="A3312" t="s">
        <v>3415</v>
      </c>
    </row>
    <row r="3313" spans="1:1" x14ac:dyDescent="0.25">
      <c r="A3313" t="s">
        <v>3416</v>
      </c>
    </row>
    <row r="3314" spans="1:1" x14ac:dyDescent="0.25">
      <c r="A3314" t="s">
        <v>3417</v>
      </c>
    </row>
    <row r="3315" spans="1:1" x14ac:dyDescent="0.25">
      <c r="A3315" t="s">
        <v>3418</v>
      </c>
    </row>
    <row r="3316" spans="1:1" x14ac:dyDescent="0.25">
      <c r="A3316" t="s">
        <v>3419</v>
      </c>
    </row>
    <row r="3317" spans="1:1" x14ac:dyDescent="0.25">
      <c r="A3317" t="s">
        <v>3420</v>
      </c>
    </row>
    <row r="3318" spans="1:1" x14ac:dyDescent="0.25">
      <c r="A3318" t="s">
        <v>2519</v>
      </c>
    </row>
    <row r="3320" spans="1:1" x14ac:dyDescent="0.25">
      <c r="A3320" t="s">
        <v>2520</v>
      </c>
    </row>
    <row r="3322" spans="1:1" x14ac:dyDescent="0.25">
      <c r="A3322" t="s">
        <v>2459</v>
      </c>
    </row>
    <row r="3323" spans="1:1" x14ac:dyDescent="0.25">
      <c r="A3323" t="s">
        <v>3421</v>
      </c>
    </row>
    <row r="3324" spans="1:1" x14ac:dyDescent="0.25">
      <c r="A3324" t="s">
        <v>3422</v>
      </c>
    </row>
    <row r="3325" spans="1:1" x14ac:dyDescent="0.25">
      <c r="A3325" t="s">
        <v>3423</v>
      </c>
    </row>
    <row r="3326" spans="1:1" x14ac:dyDescent="0.25">
      <c r="A3326" t="s">
        <v>2463</v>
      </c>
    </row>
    <row r="3327" spans="1:1" x14ac:dyDescent="0.25">
      <c r="A3327" t="s">
        <v>3424</v>
      </c>
    </row>
    <row r="3328" spans="1:1" x14ac:dyDescent="0.25">
      <c r="A3328" t="s">
        <v>3414</v>
      </c>
    </row>
    <row r="3329" spans="1:1" x14ac:dyDescent="0.25">
      <c r="A3329" t="s">
        <v>3425</v>
      </c>
    </row>
    <row r="3330" spans="1:1" x14ac:dyDescent="0.25">
      <c r="A3330" t="s">
        <v>3426</v>
      </c>
    </row>
    <row r="3331" spans="1:1" x14ac:dyDescent="0.25">
      <c r="A3331" t="s">
        <v>3427</v>
      </c>
    </row>
    <row r="3332" spans="1:1" x14ac:dyDescent="0.25">
      <c r="A3332" t="s">
        <v>3428</v>
      </c>
    </row>
    <row r="3334" spans="1:1" x14ac:dyDescent="0.25">
      <c r="A3334" t="s">
        <v>3429</v>
      </c>
    </row>
    <row r="3335" spans="1:1" x14ac:dyDescent="0.25">
      <c r="A3335" t="s">
        <v>1790</v>
      </c>
    </row>
    <row r="3336" spans="1:1" x14ac:dyDescent="0.25">
      <c r="A3336" t="s">
        <v>3430</v>
      </c>
    </row>
    <row r="3337" spans="1:1" x14ac:dyDescent="0.25">
      <c r="A3337" t="s">
        <v>3431</v>
      </c>
    </row>
    <row r="3338" spans="1:1" x14ac:dyDescent="0.25">
      <c r="A3338" t="s">
        <v>1876</v>
      </c>
    </row>
    <row r="3339" spans="1:1" x14ac:dyDescent="0.25">
      <c r="A3339" t="s">
        <v>1904</v>
      </c>
    </row>
    <row r="3340" spans="1:1" x14ac:dyDescent="0.25">
      <c r="A3340" t="s">
        <v>3432</v>
      </c>
    </row>
    <row r="3341" spans="1:1" x14ac:dyDescent="0.25">
      <c r="A3341" t="s">
        <v>3433</v>
      </c>
    </row>
    <row r="3342" spans="1:1" x14ac:dyDescent="0.25">
      <c r="A3342" t="s">
        <v>3434</v>
      </c>
    </row>
    <row r="3343" spans="1:1" x14ac:dyDescent="0.25">
      <c r="A3343" t="s">
        <v>3435</v>
      </c>
    </row>
    <row r="3344" spans="1:1" x14ac:dyDescent="0.25">
      <c r="A3344" t="s">
        <v>3436</v>
      </c>
    </row>
    <row r="3345" spans="1:1" x14ac:dyDescent="0.25">
      <c r="A3345" t="s">
        <v>3437</v>
      </c>
    </row>
    <row r="3346" spans="1:1" x14ac:dyDescent="0.25">
      <c r="A3346" t="s">
        <v>3438</v>
      </c>
    </row>
    <row r="3347" spans="1:1" x14ac:dyDescent="0.25">
      <c r="A3347" t="s">
        <v>3439</v>
      </c>
    </row>
    <row r="3348" spans="1:1" x14ac:dyDescent="0.25">
      <c r="A3348" t="s">
        <v>3440</v>
      </c>
    </row>
    <row r="3349" spans="1:1" x14ac:dyDescent="0.25">
      <c r="A3349" t="s">
        <v>3441</v>
      </c>
    </row>
    <row r="3350" spans="1:1" x14ac:dyDescent="0.25">
      <c r="A3350" t="s">
        <v>3442</v>
      </c>
    </row>
    <row r="3351" spans="1:1" x14ac:dyDescent="0.25">
      <c r="A3351" t="s">
        <v>3443</v>
      </c>
    </row>
    <row r="3352" spans="1:1" x14ac:dyDescent="0.25">
      <c r="A3352" t="s">
        <v>3444</v>
      </c>
    </row>
    <row r="3353" spans="1:1" x14ac:dyDescent="0.25">
      <c r="A3353" t="s">
        <v>3445</v>
      </c>
    </row>
    <row r="3354" spans="1:1" x14ac:dyDescent="0.25">
      <c r="A3354" t="s">
        <v>2519</v>
      </c>
    </row>
    <row r="3356" spans="1:1" x14ac:dyDescent="0.25">
      <c r="A3356" t="s">
        <v>2520</v>
      </c>
    </row>
    <row r="3358" spans="1:1" x14ac:dyDescent="0.25">
      <c r="A3358" t="s">
        <v>3446</v>
      </c>
    </row>
    <row r="3359" spans="1:1" x14ac:dyDescent="0.25">
      <c r="A3359" t="s">
        <v>3447</v>
      </c>
    </row>
    <row r="3360" spans="1:1" x14ac:dyDescent="0.25">
      <c r="A3360" t="s">
        <v>3448</v>
      </c>
    </row>
    <row r="3362" spans="1:1" x14ac:dyDescent="0.25">
      <c r="A3362" t="s">
        <v>2520</v>
      </c>
    </row>
    <row r="3364" spans="1:1" x14ac:dyDescent="0.25">
      <c r="A3364" t="s">
        <v>3449</v>
      </c>
    </row>
    <row r="3365" spans="1:1" x14ac:dyDescent="0.25">
      <c r="A3365" t="s">
        <v>3450</v>
      </c>
    </row>
    <row r="3366" spans="1:1" x14ac:dyDescent="0.25">
      <c r="A3366" t="s">
        <v>3451</v>
      </c>
    </row>
    <row r="3367" spans="1:1" x14ac:dyDescent="0.25">
      <c r="A3367" t="s">
        <v>3452</v>
      </c>
    </row>
    <row r="3368" spans="1:1" x14ac:dyDescent="0.25">
      <c r="A3368" t="s">
        <v>3453</v>
      </c>
    </row>
    <row r="3369" spans="1:1" x14ac:dyDescent="0.25">
      <c r="A3369" t="s">
        <v>3454</v>
      </c>
    </row>
    <row r="3370" spans="1:1" x14ac:dyDescent="0.25">
      <c r="A3370" t="s">
        <v>3455</v>
      </c>
    </row>
    <row r="3371" spans="1:1" x14ac:dyDescent="0.25">
      <c r="A3371" t="s">
        <v>3456</v>
      </c>
    </row>
    <row r="3372" spans="1:1" x14ac:dyDescent="0.25">
      <c r="A3372" t="s">
        <v>3457</v>
      </c>
    </row>
    <row r="3373" spans="1:1" x14ac:dyDescent="0.25">
      <c r="A3373" t="s">
        <v>3458</v>
      </c>
    </row>
    <row r="3374" spans="1:1" x14ac:dyDescent="0.25">
      <c r="A3374" t="s">
        <v>3459</v>
      </c>
    </row>
    <row r="3375" spans="1:1" x14ac:dyDescent="0.25">
      <c r="A3375" t="s">
        <v>3460</v>
      </c>
    </row>
    <row r="3377" spans="1:1" x14ac:dyDescent="0.25">
      <c r="A3377" t="s">
        <v>2520</v>
      </c>
    </row>
    <row r="3379" spans="1:1" x14ac:dyDescent="0.25">
      <c r="A3379" t="s">
        <v>2459</v>
      </c>
    </row>
    <row r="3380" spans="1:1" x14ac:dyDescent="0.25">
      <c r="A3380" t="s">
        <v>3461</v>
      </c>
    </row>
    <row r="3381" spans="1:1" x14ac:dyDescent="0.25">
      <c r="A3381" t="s">
        <v>3407</v>
      </c>
    </row>
    <row r="3382" spans="1:1" x14ac:dyDescent="0.25">
      <c r="A3382" t="s">
        <v>3462</v>
      </c>
    </row>
    <row r="3383" spans="1:1" x14ac:dyDescent="0.25">
      <c r="A3383" t="s">
        <v>3463</v>
      </c>
    </row>
    <row r="3384" spans="1:1" x14ac:dyDescent="0.25">
      <c r="A3384" t="s">
        <v>3409</v>
      </c>
    </row>
    <row r="3385" spans="1:1" x14ac:dyDescent="0.25">
      <c r="A3385" t="s">
        <v>3410</v>
      </c>
    </row>
    <row r="3386" spans="1:1" x14ac:dyDescent="0.25">
      <c r="A3386" t="s">
        <v>3411</v>
      </c>
    </row>
    <row r="3387" spans="1:1" x14ac:dyDescent="0.25">
      <c r="A3387" t="s">
        <v>3412</v>
      </c>
    </row>
    <row r="3388" spans="1:1" x14ac:dyDescent="0.25">
      <c r="A3388" t="s">
        <v>3413</v>
      </c>
    </row>
    <row r="3389" spans="1:1" x14ac:dyDescent="0.25">
      <c r="A3389" t="s">
        <v>3414</v>
      </c>
    </row>
    <row r="3390" spans="1:1" x14ac:dyDescent="0.25">
      <c r="A3390" t="s">
        <v>3464</v>
      </c>
    </row>
    <row r="3391" spans="1:1" x14ac:dyDescent="0.25">
      <c r="A3391" t="s">
        <v>3429</v>
      </c>
    </row>
    <row r="3392" spans="1:1" x14ac:dyDescent="0.25">
      <c r="A3392" t="s">
        <v>1790</v>
      </c>
    </row>
    <row r="3393" spans="1:1" x14ac:dyDescent="0.25">
      <c r="A3393" t="s">
        <v>3430</v>
      </c>
    </row>
    <row r="3394" spans="1:1" x14ac:dyDescent="0.25">
      <c r="A3394" t="s">
        <v>3431</v>
      </c>
    </row>
    <row r="3395" spans="1:1" x14ac:dyDescent="0.25">
      <c r="A3395" t="s">
        <v>1876</v>
      </c>
    </row>
    <row r="3396" spans="1:1" x14ac:dyDescent="0.25">
      <c r="A3396" t="s">
        <v>1904</v>
      </c>
    </row>
    <row r="3397" spans="1:1" x14ac:dyDescent="0.25">
      <c r="A3397" t="s">
        <v>3465</v>
      </c>
    </row>
    <row r="3398" spans="1:1" x14ac:dyDescent="0.25">
      <c r="A3398" t="s">
        <v>3466</v>
      </c>
    </row>
    <row r="3399" spans="1:1" x14ac:dyDescent="0.25">
      <c r="A3399" t="s">
        <v>3467</v>
      </c>
    </row>
    <row r="3400" spans="1:1" x14ac:dyDescent="0.25">
      <c r="A3400" t="s">
        <v>3468</v>
      </c>
    </row>
    <row r="3401" spans="1:1" x14ac:dyDescent="0.25">
      <c r="A3401" t="s">
        <v>3469</v>
      </c>
    </row>
    <row r="3402" spans="1:1" x14ac:dyDescent="0.25">
      <c r="A3402" t="s">
        <v>3470</v>
      </c>
    </row>
    <row r="3403" spans="1:1" x14ac:dyDescent="0.25">
      <c r="A3403" t="s">
        <v>3471</v>
      </c>
    </row>
    <row r="3404" spans="1:1" x14ac:dyDescent="0.25">
      <c r="A3404" t="s">
        <v>2519</v>
      </c>
    </row>
    <row r="3406" spans="1:1" x14ac:dyDescent="0.25">
      <c r="A3406" t="s">
        <v>2520</v>
      </c>
    </row>
    <row r="3408" spans="1:1" x14ac:dyDescent="0.25">
      <c r="A3408" t="s">
        <v>3472</v>
      </c>
    </row>
    <row r="3409" spans="1:1" x14ac:dyDescent="0.25">
      <c r="A3409" t="s">
        <v>3473</v>
      </c>
    </row>
    <row r="3410" spans="1:1" x14ac:dyDescent="0.25">
      <c r="A3410" t="s">
        <v>3474</v>
      </c>
    </row>
    <row r="3411" spans="1:1" x14ac:dyDescent="0.25">
      <c r="A3411" t="s">
        <v>3475</v>
      </c>
    </row>
    <row r="3412" spans="1:1" x14ac:dyDescent="0.25">
      <c r="A3412" t="s">
        <v>2471</v>
      </c>
    </row>
    <row r="3414" spans="1:1" x14ac:dyDescent="0.25">
      <c r="A3414" t="s">
        <v>3476</v>
      </c>
    </row>
    <row r="3416" spans="1:1" x14ac:dyDescent="0.25">
      <c r="A3416" t="s">
        <v>3477</v>
      </c>
    </row>
    <row r="3418" spans="1:1" x14ac:dyDescent="0.25">
      <c r="A3418" t="s">
        <v>3476</v>
      </c>
    </row>
    <row r="3420" spans="1:1" x14ac:dyDescent="0.25">
      <c r="A3420" t="s">
        <v>3478</v>
      </c>
    </row>
    <row r="3421" spans="1:1" x14ac:dyDescent="0.25">
      <c r="A3421" t="s">
        <v>3479</v>
      </c>
    </row>
    <row r="3422" spans="1:1" x14ac:dyDescent="0.25">
      <c r="A3422" t="s">
        <v>3480</v>
      </c>
    </row>
    <row r="3423" spans="1:1" x14ac:dyDescent="0.25">
      <c r="A3423" t="s">
        <v>3481</v>
      </c>
    </row>
    <row r="3424" spans="1:1" x14ac:dyDescent="0.25">
      <c r="A3424" t="s">
        <v>3482</v>
      </c>
    </row>
    <row r="3425" spans="1:1" x14ac:dyDescent="0.25">
      <c r="A3425" t="s">
        <v>3483</v>
      </c>
    </row>
    <row r="3426" spans="1:1" x14ac:dyDescent="0.25">
      <c r="A3426" t="s">
        <v>3484</v>
      </c>
    </row>
    <row r="3427" spans="1:1" x14ac:dyDescent="0.25">
      <c r="A3427" t="s">
        <v>2449</v>
      </c>
    </row>
    <row r="3428" spans="1:1" x14ac:dyDescent="0.25">
      <c r="A3428" t="s">
        <v>2450</v>
      </c>
    </row>
    <row r="3429" spans="1:1" x14ac:dyDescent="0.25">
      <c r="A3429" t="s">
        <v>3485</v>
      </c>
    </row>
    <row r="3430" spans="1:1" x14ac:dyDescent="0.25">
      <c r="A3430" t="s">
        <v>3486</v>
      </c>
    </row>
    <row r="3431" spans="1:1" x14ac:dyDescent="0.25">
      <c r="A3431" t="s">
        <v>2257</v>
      </c>
    </row>
    <row r="3432" spans="1:1" x14ac:dyDescent="0.25">
      <c r="A3432" t="s">
        <v>3487</v>
      </c>
    </row>
    <row r="3434" spans="1:1" x14ac:dyDescent="0.25">
      <c r="A3434" t="s">
        <v>3488</v>
      </c>
    </row>
    <row r="3436" spans="1:1" x14ac:dyDescent="0.25">
      <c r="A3436" t="s">
        <v>3476</v>
      </c>
    </row>
    <row r="3438" spans="1:1" x14ac:dyDescent="0.25">
      <c r="A3438" t="s">
        <v>2468</v>
      </c>
    </row>
    <row r="3439" spans="1:1" x14ac:dyDescent="0.25">
      <c r="A3439" t="s">
        <v>2455</v>
      </c>
    </row>
    <row r="3440" spans="1:1" x14ac:dyDescent="0.25">
      <c r="A3440" t="s">
        <v>2471</v>
      </c>
    </row>
    <row r="3442" spans="1:1" x14ac:dyDescent="0.25">
      <c r="A3442" t="s">
        <v>3489</v>
      </c>
    </row>
    <row r="3444" spans="1:1" x14ac:dyDescent="0.25">
      <c r="A3444" t="s">
        <v>3476</v>
      </c>
    </row>
    <row r="3446" spans="1:1" x14ac:dyDescent="0.25">
      <c r="A3446" t="s">
        <v>3490</v>
      </c>
    </row>
    <row r="3447" spans="1:1" x14ac:dyDescent="0.25">
      <c r="A3447" t="s">
        <v>3491</v>
      </c>
    </row>
    <row r="3448" spans="1:1" x14ac:dyDescent="0.25">
      <c r="A3448" t="s">
        <v>3492</v>
      </c>
    </row>
    <row r="3449" spans="1:1" x14ac:dyDescent="0.25">
      <c r="A3449" t="s">
        <v>3493</v>
      </c>
    </row>
    <row r="3450" spans="1:1" x14ac:dyDescent="0.25">
      <c r="A3450" t="s">
        <v>3494</v>
      </c>
    </row>
    <row r="3451" spans="1:1" x14ac:dyDescent="0.25">
      <c r="A3451" t="s">
        <v>3495</v>
      </c>
    </row>
    <row r="3452" spans="1:1" x14ac:dyDescent="0.25">
      <c r="A3452" t="s">
        <v>3496</v>
      </c>
    </row>
    <row r="3453" spans="1:1" x14ac:dyDescent="0.25">
      <c r="A3453" t="s">
        <v>3497</v>
      </c>
    </row>
    <row r="3454" spans="1:1" x14ac:dyDescent="0.25">
      <c r="A3454" t="s">
        <v>3498</v>
      </c>
    </row>
    <row r="3455" spans="1:1" x14ac:dyDescent="0.25">
      <c r="A3455" t="s">
        <v>3499</v>
      </c>
    </row>
    <row r="3456" spans="1:1" x14ac:dyDescent="0.25">
      <c r="A3456" t="s">
        <v>3500</v>
      </c>
    </row>
    <row r="3457" spans="1:1" x14ac:dyDescent="0.25">
      <c r="A3457" t="s">
        <v>3501</v>
      </c>
    </row>
    <row r="3458" spans="1:1" x14ac:dyDescent="0.25">
      <c r="A3458" t="s">
        <v>3502</v>
      </c>
    </row>
    <row r="3459" spans="1:1" x14ac:dyDescent="0.25">
      <c r="A3459" t="s">
        <v>3503</v>
      </c>
    </row>
    <row r="3460" spans="1:1" x14ac:dyDescent="0.25">
      <c r="A3460" t="s">
        <v>3504</v>
      </c>
    </row>
    <row r="3461" spans="1:1" x14ac:dyDescent="0.25">
      <c r="A3461" t="s">
        <v>3505</v>
      </c>
    </row>
    <row r="3463" spans="1:1" x14ac:dyDescent="0.25">
      <c r="A3463" t="s">
        <v>3506</v>
      </c>
    </row>
    <row r="3464" spans="1:1" x14ac:dyDescent="0.25">
      <c r="A3464" t="s">
        <v>3507</v>
      </c>
    </row>
    <row r="3465" spans="1:1" x14ac:dyDescent="0.25">
      <c r="A3465" t="s">
        <v>3508</v>
      </c>
    </row>
    <row r="3466" spans="1:1" x14ac:dyDescent="0.25">
      <c r="A3466" t="s">
        <v>3509</v>
      </c>
    </row>
    <row r="3467" spans="1:1" x14ac:dyDescent="0.25">
      <c r="A3467" t="s">
        <v>3510</v>
      </c>
    </row>
    <row r="3468" spans="1:1" x14ac:dyDescent="0.25">
      <c r="A3468" t="s">
        <v>3511</v>
      </c>
    </row>
    <row r="3469" spans="1:1" x14ac:dyDescent="0.25">
      <c r="A3469" t="s">
        <v>3512</v>
      </c>
    </row>
    <row r="3470" spans="1:1" x14ac:dyDescent="0.25">
      <c r="A3470" t="s">
        <v>3513</v>
      </c>
    </row>
    <row r="3471" spans="1:1" x14ac:dyDescent="0.25">
      <c r="A3471" t="s">
        <v>3514</v>
      </c>
    </row>
    <row r="3472" spans="1:1" x14ac:dyDescent="0.25">
      <c r="A3472" t="s">
        <v>3515</v>
      </c>
    </row>
    <row r="3473" spans="1:1" x14ac:dyDescent="0.25">
      <c r="A3473" t="s">
        <v>3516</v>
      </c>
    </row>
    <row r="3474" spans="1:1" x14ac:dyDescent="0.25">
      <c r="A3474" t="s">
        <v>3517</v>
      </c>
    </row>
    <row r="3475" spans="1:1" x14ac:dyDescent="0.25">
      <c r="A3475" t="s">
        <v>3518</v>
      </c>
    </row>
    <row r="3476" spans="1:1" x14ac:dyDescent="0.25">
      <c r="A3476" t="s">
        <v>3519</v>
      </c>
    </row>
    <row r="3477" spans="1:1" x14ac:dyDescent="0.25">
      <c r="A3477" t="s">
        <v>3520</v>
      </c>
    </row>
    <row r="3478" spans="1:1" x14ac:dyDescent="0.25">
      <c r="A3478" t="s">
        <v>3521</v>
      </c>
    </row>
    <row r="3479" spans="1:1" x14ac:dyDescent="0.25">
      <c r="A3479" t="s">
        <v>3522</v>
      </c>
    </row>
    <row r="3480" spans="1:1" x14ac:dyDescent="0.25">
      <c r="A3480" t="s">
        <v>3523</v>
      </c>
    </row>
    <row r="3481" spans="1:1" x14ac:dyDescent="0.25">
      <c r="A3481" t="s">
        <v>2485</v>
      </c>
    </row>
    <row r="3482" spans="1:1" x14ac:dyDescent="0.25">
      <c r="A3482" t="s">
        <v>3524</v>
      </c>
    </row>
    <row r="3483" spans="1:1" x14ac:dyDescent="0.25">
      <c r="A3483" t="s">
        <v>2487</v>
      </c>
    </row>
    <row r="3484" spans="1:1" x14ac:dyDescent="0.25">
      <c r="A3484" t="s">
        <v>2488</v>
      </c>
    </row>
    <row r="3485" spans="1:1" x14ac:dyDescent="0.25">
      <c r="A3485" t="s">
        <v>2489</v>
      </c>
    </row>
    <row r="3486" spans="1:1" x14ac:dyDescent="0.25">
      <c r="A3486" t="s">
        <v>2490</v>
      </c>
    </row>
    <row r="3487" spans="1:1" x14ac:dyDescent="0.25">
      <c r="A3487" t="s">
        <v>2491</v>
      </c>
    </row>
    <row r="3488" spans="1:1" x14ac:dyDescent="0.25">
      <c r="A3488" t="s">
        <v>1893</v>
      </c>
    </row>
    <row r="3489" spans="1:1" x14ac:dyDescent="0.25">
      <c r="A3489" t="s">
        <v>3525</v>
      </c>
    </row>
    <row r="3490" spans="1:1" x14ac:dyDescent="0.25">
      <c r="A3490" t="s">
        <v>2493</v>
      </c>
    </row>
    <row r="3491" spans="1:1" x14ac:dyDescent="0.25">
      <c r="A3491" t="s">
        <v>2488</v>
      </c>
    </row>
    <row r="3492" spans="1:1" x14ac:dyDescent="0.25">
      <c r="A3492" t="s">
        <v>2489</v>
      </c>
    </row>
    <row r="3493" spans="1:1" x14ac:dyDescent="0.25">
      <c r="A3493" t="s">
        <v>2490</v>
      </c>
    </row>
    <row r="3494" spans="1:1" x14ac:dyDescent="0.25">
      <c r="A3494" t="s">
        <v>2491</v>
      </c>
    </row>
    <row r="3495" spans="1:1" x14ac:dyDescent="0.25">
      <c r="A3495" t="s">
        <v>1893</v>
      </c>
    </row>
    <row r="3496" spans="1:1" x14ac:dyDescent="0.25">
      <c r="A3496" t="s">
        <v>3526</v>
      </c>
    </row>
    <row r="3497" spans="1:1" x14ac:dyDescent="0.25">
      <c r="A3497" t="s">
        <v>1892</v>
      </c>
    </row>
    <row r="3498" spans="1:1" x14ac:dyDescent="0.25">
      <c r="A3498" t="s">
        <v>2488</v>
      </c>
    </row>
    <row r="3499" spans="1:1" x14ac:dyDescent="0.25">
      <c r="A3499" t="s">
        <v>2489</v>
      </c>
    </row>
    <row r="3500" spans="1:1" x14ac:dyDescent="0.25">
      <c r="A3500" t="s">
        <v>2490</v>
      </c>
    </row>
    <row r="3501" spans="1:1" x14ac:dyDescent="0.25">
      <c r="A3501" t="s">
        <v>2491</v>
      </c>
    </row>
    <row r="3502" spans="1:1" x14ac:dyDescent="0.25">
      <c r="A3502" t="s">
        <v>2495</v>
      </c>
    </row>
    <row r="3503" spans="1:1" x14ac:dyDescent="0.25">
      <c r="A3503" t="s">
        <v>1893</v>
      </c>
    </row>
    <row r="3504" spans="1:1" x14ac:dyDescent="0.25">
      <c r="A3504" t="s">
        <v>3527</v>
      </c>
    </row>
    <row r="3505" spans="1:1" x14ac:dyDescent="0.25">
      <c r="A3505" t="s">
        <v>2493</v>
      </c>
    </row>
    <row r="3506" spans="1:1" x14ac:dyDescent="0.25">
      <c r="A3506" t="s">
        <v>1892</v>
      </c>
    </row>
    <row r="3507" spans="1:1" x14ac:dyDescent="0.25">
      <c r="A3507" t="s">
        <v>2488</v>
      </c>
    </row>
    <row r="3508" spans="1:1" x14ac:dyDescent="0.25">
      <c r="A3508" t="s">
        <v>2489</v>
      </c>
    </row>
    <row r="3509" spans="1:1" x14ac:dyDescent="0.25">
      <c r="A3509" t="s">
        <v>2490</v>
      </c>
    </row>
    <row r="3510" spans="1:1" x14ac:dyDescent="0.25">
      <c r="A3510" t="s">
        <v>2491</v>
      </c>
    </row>
    <row r="3511" spans="1:1" x14ac:dyDescent="0.25">
      <c r="A3511" t="s">
        <v>2497</v>
      </c>
    </row>
    <row r="3512" spans="1:1" x14ac:dyDescent="0.25">
      <c r="A3512" t="s">
        <v>1893</v>
      </c>
    </row>
    <row r="3513" spans="1:1" x14ac:dyDescent="0.25">
      <c r="A3513" t="s">
        <v>2498</v>
      </c>
    </row>
    <row r="3514" spans="1:1" x14ac:dyDescent="0.25">
      <c r="A3514" t="s">
        <v>1904</v>
      </c>
    </row>
    <row r="3515" spans="1:1" x14ac:dyDescent="0.25">
      <c r="A3515" t="s">
        <v>3528</v>
      </c>
    </row>
    <row r="3516" spans="1:1" x14ac:dyDescent="0.25">
      <c r="A3516" t="s">
        <v>2500</v>
      </c>
    </row>
    <row r="3517" spans="1:1" x14ac:dyDescent="0.25">
      <c r="A3517" t="s">
        <v>2501</v>
      </c>
    </row>
    <row r="3518" spans="1:1" x14ac:dyDescent="0.25">
      <c r="A3518" t="s">
        <v>2502</v>
      </c>
    </row>
    <row r="3519" spans="1:1" x14ac:dyDescent="0.25">
      <c r="A3519" t="s">
        <v>2503</v>
      </c>
    </row>
    <row r="3520" spans="1:1" x14ac:dyDescent="0.25">
      <c r="A3520" t="s">
        <v>2504</v>
      </c>
    </row>
    <row r="3521" spans="1:1" x14ac:dyDescent="0.25">
      <c r="A3521" t="s">
        <v>2505</v>
      </c>
    </row>
    <row r="3522" spans="1:1" x14ac:dyDescent="0.25">
      <c r="A3522" t="s">
        <v>2506</v>
      </c>
    </row>
    <row r="3523" spans="1:1" x14ac:dyDescent="0.25">
      <c r="A3523" t="s">
        <v>2507</v>
      </c>
    </row>
    <row r="3524" spans="1:1" x14ac:dyDescent="0.25">
      <c r="A3524" t="s">
        <v>2508</v>
      </c>
    </row>
    <row r="3525" spans="1:1" x14ac:dyDescent="0.25">
      <c r="A3525" t="s">
        <v>2509</v>
      </c>
    </row>
    <row r="3526" spans="1:1" x14ac:dyDescent="0.25">
      <c r="A3526" t="s">
        <v>2510</v>
      </c>
    </row>
    <row r="3527" spans="1:1" x14ac:dyDescent="0.25">
      <c r="A3527" t="s">
        <v>2511</v>
      </c>
    </row>
    <row r="3528" spans="1:1" x14ac:dyDescent="0.25">
      <c r="A3528" t="s">
        <v>2512</v>
      </c>
    </row>
    <row r="3529" spans="1:1" x14ac:dyDescent="0.25">
      <c r="A3529" t="s">
        <v>1904</v>
      </c>
    </row>
    <row r="3530" spans="1:1" x14ac:dyDescent="0.25">
      <c r="A3530" t="s">
        <v>3529</v>
      </c>
    </row>
    <row r="3531" spans="1:1" x14ac:dyDescent="0.25">
      <c r="A3531" t="s">
        <v>2500</v>
      </c>
    </row>
    <row r="3532" spans="1:1" x14ac:dyDescent="0.25">
      <c r="A3532" t="s">
        <v>2514</v>
      </c>
    </row>
    <row r="3533" spans="1:1" x14ac:dyDescent="0.25">
      <c r="A3533" t="s">
        <v>2502</v>
      </c>
    </row>
    <row r="3534" spans="1:1" x14ac:dyDescent="0.25">
      <c r="A3534" t="s">
        <v>2515</v>
      </c>
    </row>
    <row r="3535" spans="1:1" x14ac:dyDescent="0.25">
      <c r="A3535" t="s">
        <v>2516</v>
      </c>
    </row>
    <row r="3536" spans="1:1" x14ac:dyDescent="0.25">
      <c r="A3536" t="s">
        <v>2517</v>
      </c>
    </row>
    <row r="3537" spans="1:1" x14ac:dyDescent="0.25">
      <c r="A3537" t="s">
        <v>2518</v>
      </c>
    </row>
    <row r="3538" spans="1:1" x14ac:dyDescent="0.25">
      <c r="A3538" t="s">
        <v>2507</v>
      </c>
    </row>
    <row r="3539" spans="1:1" x14ac:dyDescent="0.25">
      <c r="A3539" t="s">
        <v>2512</v>
      </c>
    </row>
    <row r="3540" spans="1:1" x14ac:dyDescent="0.25">
      <c r="A3540" t="s">
        <v>1904</v>
      </c>
    </row>
    <row r="3541" spans="1:1" x14ac:dyDescent="0.25">
      <c r="A3541" t="s">
        <v>3530</v>
      </c>
    </row>
    <row r="3543" spans="1:1" x14ac:dyDescent="0.25">
      <c r="A3543" t="s">
        <v>3531</v>
      </c>
    </row>
    <row r="3544" spans="1:1" x14ac:dyDescent="0.25">
      <c r="A3544" t="s">
        <v>3532</v>
      </c>
    </row>
    <row r="3546" spans="1:1" x14ac:dyDescent="0.25">
      <c r="A3546" t="s">
        <v>3533</v>
      </c>
    </row>
    <row r="3547" spans="1:1" x14ac:dyDescent="0.25">
      <c r="A3547" t="s">
        <v>3534</v>
      </c>
    </row>
    <row r="3548" spans="1:1" x14ac:dyDescent="0.25">
      <c r="A3548" t="s">
        <v>3535</v>
      </c>
    </row>
    <row r="3550" spans="1:1" x14ac:dyDescent="0.25">
      <c r="A3550" t="s">
        <v>3536</v>
      </c>
    </row>
    <row r="3551" spans="1:1" x14ac:dyDescent="0.25">
      <c r="A3551" t="s">
        <v>3537</v>
      </c>
    </row>
    <row r="3552" spans="1:1" x14ac:dyDescent="0.25">
      <c r="A3552" t="s">
        <v>3535</v>
      </c>
    </row>
    <row r="3554" spans="1:1" x14ac:dyDescent="0.25">
      <c r="A3554" t="s">
        <v>3538</v>
      </c>
    </row>
    <row r="3555" spans="1:1" x14ac:dyDescent="0.25">
      <c r="A3555" t="s">
        <v>3539</v>
      </c>
    </row>
    <row r="3556" spans="1:1" x14ac:dyDescent="0.25">
      <c r="A3556" t="s">
        <v>3535</v>
      </c>
    </row>
    <row r="3558" spans="1:1" x14ac:dyDescent="0.25">
      <c r="A3558" t="s">
        <v>3540</v>
      </c>
    </row>
    <row r="3559" spans="1:1" x14ac:dyDescent="0.25">
      <c r="A3559" t="s">
        <v>3541</v>
      </c>
    </row>
    <row r="3560" spans="1:1" x14ac:dyDescent="0.25">
      <c r="A3560" t="s">
        <v>3535</v>
      </c>
    </row>
    <row r="3562" spans="1:1" x14ac:dyDescent="0.25">
      <c r="A3562" t="s">
        <v>3542</v>
      </c>
    </row>
    <row r="3563" spans="1:1" x14ac:dyDescent="0.25">
      <c r="A3563" t="s">
        <v>3543</v>
      </c>
    </row>
    <row r="3564" spans="1:1" x14ac:dyDescent="0.25">
      <c r="A3564" t="s">
        <v>3535</v>
      </c>
    </row>
    <row r="3566" spans="1:1" x14ac:dyDescent="0.25">
      <c r="A3566" t="s">
        <v>3544</v>
      </c>
    </row>
    <row r="3567" spans="1:1" x14ac:dyDescent="0.25">
      <c r="A3567" t="s">
        <v>3545</v>
      </c>
    </row>
    <row r="3568" spans="1:1" x14ac:dyDescent="0.25">
      <c r="A3568" t="s">
        <v>3535</v>
      </c>
    </row>
    <row r="3570" spans="1:1" x14ac:dyDescent="0.25">
      <c r="A3570" t="s">
        <v>3546</v>
      </c>
    </row>
    <row r="3571" spans="1:1" x14ac:dyDescent="0.25">
      <c r="A3571" t="s">
        <v>3547</v>
      </c>
    </row>
    <row r="3572" spans="1:1" x14ac:dyDescent="0.25">
      <c r="A3572" t="s">
        <v>3535</v>
      </c>
    </row>
    <row r="3574" spans="1:1" x14ac:dyDescent="0.25">
      <c r="A3574" t="s">
        <v>3548</v>
      </c>
    </row>
    <row r="3575" spans="1:1" x14ac:dyDescent="0.25">
      <c r="A3575" t="s">
        <v>3549</v>
      </c>
    </row>
    <row r="3576" spans="1:1" x14ac:dyDescent="0.25">
      <c r="A3576" t="s">
        <v>3535</v>
      </c>
    </row>
    <row r="3578" spans="1:1" x14ac:dyDescent="0.25">
      <c r="A3578" t="s">
        <v>3550</v>
      </c>
    </row>
    <row r="3579" spans="1:1" x14ac:dyDescent="0.25">
      <c r="A3579" t="s">
        <v>3551</v>
      </c>
    </row>
    <row r="3580" spans="1:1" x14ac:dyDescent="0.25">
      <c r="A3580" t="s">
        <v>3535</v>
      </c>
    </row>
    <row r="3582" spans="1:1" x14ac:dyDescent="0.25">
      <c r="A3582" t="s">
        <v>3552</v>
      </c>
    </row>
    <row r="3583" spans="1:1" x14ac:dyDescent="0.25">
      <c r="A3583" t="s">
        <v>3553</v>
      </c>
    </row>
    <row r="3584" spans="1:1" x14ac:dyDescent="0.25">
      <c r="A3584" t="s">
        <v>3535</v>
      </c>
    </row>
    <row r="3586" spans="1:1" x14ac:dyDescent="0.25">
      <c r="A3586" t="s">
        <v>3554</v>
      </c>
    </row>
    <row r="3587" spans="1:1" x14ac:dyDescent="0.25">
      <c r="A3587" t="s">
        <v>3555</v>
      </c>
    </row>
    <row r="3588" spans="1:1" x14ac:dyDescent="0.25">
      <c r="A3588" t="s">
        <v>3535</v>
      </c>
    </row>
    <row r="3590" spans="1:1" x14ac:dyDescent="0.25">
      <c r="A3590" t="s">
        <v>3556</v>
      </c>
    </row>
    <row r="3591" spans="1:1" x14ac:dyDescent="0.25">
      <c r="A3591" t="s">
        <v>3557</v>
      </c>
    </row>
    <row r="3592" spans="1:1" x14ac:dyDescent="0.25">
      <c r="A3592" t="s">
        <v>3535</v>
      </c>
    </row>
    <row r="3593" spans="1:1" x14ac:dyDescent="0.25">
      <c r="A3593" t="s">
        <v>3558</v>
      </c>
    </row>
    <row r="3595" spans="1:1" x14ac:dyDescent="0.25">
      <c r="A3595" t="s">
        <v>3559</v>
      </c>
    </row>
    <row r="3596" spans="1:1" x14ac:dyDescent="0.25">
      <c r="A3596" t="s">
        <v>3560</v>
      </c>
    </row>
    <row r="3597" spans="1:1" x14ac:dyDescent="0.25">
      <c r="A3597" t="s">
        <v>3561</v>
      </c>
    </row>
    <row r="3598" spans="1:1" x14ac:dyDescent="0.25">
      <c r="A3598" t="s">
        <v>3482</v>
      </c>
    </row>
    <row r="3599" spans="1:1" x14ac:dyDescent="0.25">
      <c r="A3599" t="s">
        <v>3562</v>
      </c>
    </row>
    <row r="3600" spans="1:1" x14ac:dyDescent="0.25">
      <c r="A3600" t="s">
        <v>3484</v>
      </c>
    </row>
    <row r="3601" spans="1:1" x14ac:dyDescent="0.25">
      <c r="A3601" t="s">
        <v>3563</v>
      </c>
    </row>
    <row r="3602" spans="1:1" x14ac:dyDescent="0.25">
      <c r="A3602" t="s">
        <v>3487</v>
      </c>
    </row>
    <row r="3604" spans="1:1" x14ac:dyDescent="0.25">
      <c r="A3604" t="s">
        <v>3564</v>
      </c>
    </row>
    <row r="3606" spans="1:1" x14ac:dyDescent="0.25">
      <c r="A3606" t="s">
        <v>3476</v>
      </c>
    </row>
    <row r="3607" spans="1:1" x14ac:dyDescent="0.25">
      <c r="A3607" t="s">
        <v>3565</v>
      </c>
    </row>
    <row r="3609" spans="1:1" x14ac:dyDescent="0.25">
      <c r="A3609" t="s">
        <v>2520</v>
      </c>
    </row>
    <row r="3611" spans="1:1" x14ac:dyDescent="0.25">
      <c r="A3611" t="s">
        <v>2459</v>
      </c>
    </row>
    <row r="3612" spans="1:1" x14ac:dyDescent="0.25">
      <c r="A3612" t="s">
        <v>3566</v>
      </c>
    </row>
    <row r="3613" spans="1:1" x14ac:dyDescent="0.25">
      <c r="A3613" t="s">
        <v>3567</v>
      </c>
    </row>
    <row r="3614" spans="1:1" x14ac:dyDescent="0.25">
      <c r="A3614" t="s">
        <v>3568</v>
      </c>
    </row>
    <row r="3615" spans="1:1" x14ac:dyDescent="0.25">
      <c r="A3615" t="s">
        <v>3569</v>
      </c>
    </row>
    <row r="3616" spans="1:1" x14ac:dyDescent="0.25">
      <c r="A3616" t="s">
        <v>3570</v>
      </c>
    </row>
    <row r="3617" spans="1:1" x14ac:dyDescent="0.25">
      <c r="A3617" t="s">
        <v>3571</v>
      </c>
    </row>
    <row r="3618" spans="1:1" x14ac:dyDescent="0.25">
      <c r="A3618" t="s">
        <v>3572</v>
      </c>
    </row>
    <row r="3619" spans="1:1" x14ac:dyDescent="0.25">
      <c r="A3619" t="s">
        <v>3573</v>
      </c>
    </row>
    <row r="3620" spans="1:1" x14ac:dyDescent="0.25">
      <c r="A3620" t="s">
        <v>3574</v>
      </c>
    </row>
    <row r="3621" spans="1:1" x14ac:dyDescent="0.25">
      <c r="A3621" t="s">
        <v>3575</v>
      </c>
    </row>
    <row r="3622" spans="1:1" x14ac:dyDescent="0.25">
      <c r="A3622" t="s">
        <v>2519</v>
      </c>
    </row>
    <row r="3624" spans="1:1" x14ac:dyDescent="0.25">
      <c r="A3624" t="s">
        <v>2520</v>
      </c>
    </row>
    <row r="3626" spans="1:1" x14ac:dyDescent="0.25">
      <c r="A3626" t="s">
        <v>3449</v>
      </c>
    </row>
    <row r="3627" spans="1:1" x14ac:dyDescent="0.25">
      <c r="A3627" t="s">
        <v>3576</v>
      </c>
    </row>
    <row r="3628" spans="1:1" x14ac:dyDescent="0.25">
      <c r="A3628" t="s">
        <v>3451</v>
      </c>
    </row>
    <row r="3629" spans="1:1" x14ac:dyDescent="0.25">
      <c r="A3629" t="s">
        <v>3452</v>
      </c>
    </row>
    <row r="3630" spans="1:1" x14ac:dyDescent="0.25">
      <c r="A3630" t="s">
        <v>3453</v>
      </c>
    </row>
    <row r="3631" spans="1:1" x14ac:dyDescent="0.25">
      <c r="A3631" t="s">
        <v>3454</v>
      </c>
    </row>
    <row r="3632" spans="1:1" x14ac:dyDescent="0.25">
      <c r="A3632" t="s">
        <v>3455</v>
      </c>
    </row>
    <row r="3633" spans="1:1" x14ac:dyDescent="0.25">
      <c r="A3633" t="s">
        <v>3456</v>
      </c>
    </row>
    <row r="3634" spans="1:1" x14ac:dyDescent="0.25">
      <c r="A3634" t="s">
        <v>3457</v>
      </c>
    </row>
    <row r="3635" spans="1:1" x14ac:dyDescent="0.25">
      <c r="A3635" t="s">
        <v>3458</v>
      </c>
    </row>
    <row r="3636" spans="1:1" x14ac:dyDescent="0.25">
      <c r="A3636" t="s">
        <v>3577</v>
      </c>
    </row>
    <row r="3637" spans="1:1" x14ac:dyDescent="0.25">
      <c r="A3637" t="s">
        <v>3460</v>
      </c>
    </row>
    <row r="3639" spans="1:1" x14ac:dyDescent="0.25">
      <c r="A3639" t="s">
        <v>2520</v>
      </c>
    </row>
    <row r="3641" spans="1:1" x14ac:dyDescent="0.25">
      <c r="A3641" t="s">
        <v>2459</v>
      </c>
    </row>
    <row r="3642" spans="1:1" x14ac:dyDescent="0.25">
      <c r="A3642" t="s">
        <v>3578</v>
      </c>
    </row>
    <row r="3643" spans="1:1" x14ac:dyDescent="0.25">
      <c r="A3643" t="s">
        <v>3407</v>
      </c>
    </row>
    <row r="3644" spans="1:1" x14ac:dyDescent="0.25">
      <c r="A3644" t="s">
        <v>3462</v>
      </c>
    </row>
    <row r="3645" spans="1:1" x14ac:dyDescent="0.25">
      <c r="A3645" t="s">
        <v>3463</v>
      </c>
    </row>
    <row r="3646" spans="1:1" x14ac:dyDescent="0.25">
      <c r="A3646" t="s">
        <v>3409</v>
      </c>
    </row>
    <row r="3647" spans="1:1" x14ac:dyDescent="0.25">
      <c r="A3647" t="s">
        <v>3410</v>
      </c>
    </row>
    <row r="3648" spans="1:1" x14ac:dyDescent="0.25">
      <c r="A3648" t="s">
        <v>3411</v>
      </c>
    </row>
    <row r="3649" spans="1:1" x14ac:dyDescent="0.25">
      <c r="A3649" t="s">
        <v>3412</v>
      </c>
    </row>
    <row r="3650" spans="1:1" x14ac:dyDescent="0.25">
      <c r="A3650" t="s">
        <v>3413</v>
      </c>
    </row>
    <row r="3651" spans="1:1" x14ac:dyDescent="0.25">
      <c r="A3651" t="s">
        <v>3414</v>
      </c>
    </row>
    <row r="3652" spans="1:1" x14ac:dyDescent="0.25">
      <c r="A3652" t="s">
        <v>3464</v>
      </c>
    </row>
    <row r="3653" spans="1:1" x14ac:dyDescent="0.25">
      <c r="A3653" t="s">
        <v>3429</v>
      </c>
    </row>
    <row r="3654" spans="1:1" x14ac:dyDescent="0.25">
      <c r="A3654" t="s">
        <v>1790</v>
      </c>
    </row>
    <row r="3655" spans="1:1" x14ac:dyDescent="0.25">
      <c r="A3655" t="s">
        <v>3430</v>
      </c>
    </row>
    <row r="3656" spans="1:1" x14ac:dyDescent="0.25">
      <c r="A3656" t="s">
        <v>3431</v>
      </c>
    </row>
    <row r="3657" spans="1:1" x14ac:dyDescent="0.25">
      <c r="A3657" t="s">
        <v>1876</v>
      </c>
    </row>
    <row r="3658" spans="1:1" x14ac:dyDescent="0.25">
      <c r="A3658" t="s">
        <v>1904</v>
      </c>
    </row>
    <row r="3659" spans="1:1" x14ac:dyDescent="0.25">
      <c r="A3659" t="s">
        <v>3465</v>
      </c>
    </row>
    <row r="3660" spans="1:1" x14ac:dyDescent="0.25">
      <c r="A3660" t="s">
        <v>3466</v>
      </c>
    </row>
    <row r="3661" spans="1:1" x14ac:dyDescent="0.25">
      <c r="A3661" t="s">
        <v>3467</v>
      </c>
    </row>
    <row r="3662" spans="1:1" x14ac:dyDescent="0.25">
      <c r="A3662" t="s">
        <v>3468</v>
      </c>
    </row>
    <row r="3663" spans="1:1" x14ac:dyDescent="0.25">
      <c r="A3663" t="s">
        <v>3469</v>
      </c>
    </row>
    <row r="3664" spans="1:1" x14ac:dyDescent="0.25">
      <c r="A3664" t="s">
        <v>3470</v>
      </c>
    </row>
    <row r="3665" spans="1:1" x14ac:dyDescent="0.25">
      <c r="A3665" t="s">
        <v>3471</v>
      </c>
    </row>
    <row r="3666" spans="1:1" x14ac:dyDescent="0.25">
      <c r="A3666" t="s">
        <v>2519</v>
      </c>
    </row>
    <row r="3668" spans="1:1" x14ac:dyDescent="0.25">
      <c r="A3668" t="s">
        <v>2520</v>
      </c>
    </row>
    <row r="3670" spans="1:1" x14ac:dyDescent="0.25">
      <c r="A3670" t="s">
        <v>2459</v>
      </c>
    </row>
    <row r="3671" spans="1:1" x14ac:dyDescent="0.25">
      <c r="A3671" t="s">
        <v>3579</v>
      </c>
    </row>
    <row r="3672" spans="1:1" x14ac:dyDescent="0.25">
      <c r="A3672" t="s">
        <v>2463</v>
      </c>
    </row>
    <row r="3673" spans="1:1" x14ac:dyDescent="0.25">
      <c r="A3673" t="s">
        <v>3580</v>
      </c>
    </row>
    <row r="3674" spans="1:1" x14ac:dyDescent="0.25">
      <c r="A3674" t="s">
        <v>3581</v>
      </c>
    </row>
    <row r="3675" spans="1:1" x14ac:dyDescent="0.25">
      <c r="A3675" t="s">
        <v>3426</v>
      </c>
    </row>
    <row r="3677" spans="1:1" x14ac:dyDescent="0.25">
      <c r="A3677" t="s">
        <v>3582</v>
      </c>
    </row>
    <row r="3678" spans="1:1" x14ac:dyDescent="0.25">
      <c r="A3678" t="s">
        <v>3428</v>
      </c>
    </row>
    <row r="3680" spans="1:1" x14ac:dyDescent="0.25">
      <c r="A3680" t="s">
        <v>3429</v>
      </c>
    </row>
    <row r="3681" spans="1:1" x14ac:dyDescent="0.25">
      <c r="A3681" t="s">
        <v>1790</v>
      </c>
    </row>
    <row r="3682" spans="1:1" x14ac:dyDescent="0.25">
      <c r="A3682" t="s">
        <v>3430</v>
      </c>
    </row>
    <row r="3683" spans="1:1" x14ac:dyDescent="0.25">
      <c r="A3683" t="s">
        <v>3431</v>
      </c>
    </row>
    <row r="3684" spans="1:1" x14ac:dyDescent="0.25">
      <c r="A3684" t="s">
        <v>1876</v>
      </c>
    </row>
    <row r="3685" spans="1:1" x14ac:dyDescent="0.25">
      <c r="A3685" t="s">
        <v>1904</v>
      </c>
    </row>
    <row r="3686" spans="1:1" x14ac:dyDescent="0.25">
      <c r="A3686" t="s">
        <v>3583</v>
      </c>
    </row>
    <row r="3687" spans="1:1" x14ac:dyDescent="0.25">
      <c r="A3687" t="s">
        <v>3584</v>
      </c>
    </row>
    <row r="3688" spans="1:1" x14ac:dyDescent="0.25">
      <c r="A3688" t="s">
        <v>3585</v>
      </c>
    </row>
    <row r="3689" spans="1:1" x14ac:dyDescent="0.25">
      <c r="A3689" t="s">
        <v>3586</v>
      </c>
    </row>
    <row r="3690" spans="1:1" x14ac:dyDescent="0.25">
      <c r="A3690" t="s">
        <v>3587</v>
      </c>
    </row>
    <row r="3691" spans="1:1" x14ac:dyDescent="0.25">
      <c r="A3691" t="s">
        <v>3588</v>
      </c>
    </row>
    <row r="3692" spans="1:1" x14ac:dyDescent="0.25">
      <c r="A3692" t="s">
        <v>3589</v>
      </c>
    </row>
    <row r="3693" spans="1:1" x14ac:dyDescent="0.25">
      <c r="A3693" t="s">
        <v>3590</v>
      </c>
    </row>
    <row r="3694" spans="1:1" x14ac:dyDescent="0.25">
      <c r="A3694" t="s">
        <v>3591</v>
      </c>
    </row>
    <row r="3695" spans="1:1" x14ac:dyDescent="0.25">
      <c r="A3695" t="s">
        <v>3592</v>
      </c>
    </row>
    <row r="3696" spans="1:1" x14ac:dyDescent="0.25">
      <c r="A3696" t="s">
        <v>3593</v>
      </c>
    </row>
    <row r="3697" spans="1:1" x14ac:dyDescent="0.25">
      <c r="A3697" t="s">
        <v>3594</v>
      </c>
    </row>
    <row r="3698" spans="1:1" x14ac:dyDescent="0.25">
      <c r="A3698" t="s">
        <v>2519</v>
      </c>
    </row>
    <row r="3700" spans="1:1" x14ac:dyDescent="0.25">
      <c r="A3700" t="s">
        <v>2520</v>
      </c>
    </row>
    <row r="3702" spans="1:1" x14ac:dyDescent="0.25">
      <c r="A3702" t="s">
        <v>3446</v>
      </c>
    </row>
    <row r="3703" spans="1:1" x14ac:dyDescent="0.25">
      <c r="A3703" t="s">
        <v>3595</v>
      </c>
    </row>
    <row r="3704" spans="1:1" x14ac:dyDescent="0.25">
      <c r="A3704" t="s">
        <v>3448</v>
      </c>
    </row>
    <row r="3706" spans="1:1" x14ac:dyDescent="0.25">
      <c r="A3706" t="s">
        <v>2520</v>
      </c>
    </row>
    <row r="3708" spans="1:1" x14ac:dyDescent="0.25">
      <c r="A3708" t="s">
        <v>2459</v>
      </c>
    </row>
    <row r="3709" spans="1:1" x14ac:dyDescent="0.25">
      <c r="A3709" t="s">
        <v>3596</v>
      </c>
    </row>
    <row r="3710" spans="1:1" x14ac:dyDescent="0.25">
      <c r="A3710" t="s">
        <v>3597</v>
      </c>
    </row>
    <row r="3711" spans="1:1" x14ac:dyDescent="0.25">
      <c r="A3711" t="s">
        <v>3598</v>
      </c>
    </row>
    <row r="3712" spans="1:1" x14ac:dyDescent="0.25">
      <c r="A3712" t="s">
        <v>3599</v>
      </c>
    </row>
    <row r="3713" spans="1:1" x14ac:dyDescent="0.25">
      <c r="A3713" t="s">
        <v>3600</v>
      </c>
    </row>
    <row r="3714" spans="1:1" x14ac:dyDescent="0.25">
      <c r="A3714" t="s">
        <v>3601</v>
      </c>
    </row>
    <row r="3715" spans="1:1" x14ac:dyDescent="0.25">
      <c r="A3715" t="s">
        <v>3602</v>
      </c>
    </row>
    <row r="3716" spans="1:1" x14ac:dyDescent="0.25">
      <c r="A3716" t="s">
        <v>2519</v>
      </c>
    </row>
    <row r="3718" spans="1:1" x14ac:dyDescent="0.25">
      <c r="A3718" t="s">
        <v>2520</v>
      </c>
    </row>
    <row r="3720" spans="1:1" x14ac:dyDescent="0.25">
      <c r="A3720" t="s">
        <v>2459</v>
      </c>
    </row>
    <row r="3721" spans="1:1" x14ac:dyDescent="0.25">
      <c r="A3721" t="s">
        <v>3603</v>
      </c>
    </row>
    <row r="3722" spans="1:1" x14ac:dyDescent="0.25">
      <c r="A3722" t="s">
        <v>3604</v>
      </c>
    </row>
    <row r="3723" spans="1:1" x14ac:dyDescent="0.25">
      <c r="A3723" t="s">
        <v>3605</v>
      </c>
    </row>
    <row r="3724" spans="1:1" x14ac:dyDescent="0.25">
      <c r="A3724" t="s">
        <v>3606</v>
      </c>
    </row>
    <row r="3725" spans="1:1" x14ac:dyDescent="0.25">
      <c r="A3725" t="s">
        <v>3607</v>
      </c>
    </row>
    <row r="3726" spans="1:1" x14ac:dyDescent="0.25">
      <c r="A3726" t="s">
        <v>3608</v>
      </c>
    </row>
    <row r="3727" spans="1:1" x14ac:dyDescent="0.25">
      <c r="A3727" t="s">
        <v>3609</v>
      </c>
    </row>
    <row r="3728" spans="1:1" x14ac:dyDescent="0.25">
      <c r="A3728" t="s">
        <v>2519</v>
      </c>
    </row>
    <row r="3730" spans="1:1" x14ac:dyDescent="0.25">
      <c r="A3730" t="s">
        <v>2520</v>
      </c>
    </row>
    <row r="3731" spans="1:1" x14ac:dyDescent="0.25">
      <c r="A3731" t="s">
        <v>2521</v>
      </c>
    </row>
    <row r="3733" spans="1:1" x14ac:dyDescent="0.25">
      <c r="A3733" t="s">
        <v>3610</v>
      </c>
    </row>
    <row r="3734" spans="1:1" x14ac:dyDescent="0.25">
      <c r="A3734" t="s">
        <v>3611</v>
      </c>
    </row>
    <row r="3735" spans="1:1" x14ac:dyDescent="0.25">
      <c r="A3735" t="s">
        <v>2459</v>
      </c>
    </row>
    <row r="3736" spans="1:1" x14ac:dyDescent="0.25">
      <c r="A3736" t="s">
        <v>3612</v>
      </c>
    </row>
    <row r="3737" spans="1:1" x14ac:dyDescent="0.25">
      <c r="A3737" t="s">
        <v>3407</v>
      </c>
    </row>
    <row r="3738" spans="1:1" x14ac:dyDescent="0.25">
      <c r="A3738" t="s">
        <v>3462</v>
      </c>
    </row>
    <row r="3739" spans="1:1" x14ac:dyDescent="0.25">
      <c r="A3739" t="s">
        <v>3408</v>
      </c>
    </row>
    <row r="3740" spans="1:1" x14ac:dyDescent="0.25">
      <c r="A3740" t="s">
        <v>3409</v>
      </c>
    </row>
    <row r="3741" spans="1:1" x14ac:dyDescent="0.25">
      <c r="A3741" t="s">
        <v>3410</v>
      </c>
    </row>
    <row r="3742" spans="1:1" x14ac:dyDescent="0.25">
      <c r="A3742" t="s">
        <v>3411</v>
      </c>
    </row>
    <row r="3743" spans="1:1" x14ac:dyDescent="0.25">
      <c r="A3743" t="s">
        <v>3412</v>
      </c>
    </row>
    <row r="3744" spans="1:1" x14ac:dyDescent="0.25">
      <c r="A3744" t="s">
        <v>3413</v>
      </c>
    </row>
    <row r="3745" spans="1:1" x14ac:dyDescent="0.25">
      <c r="A3745" t="s">
        <v>3414</v>
      </c>
    </row>
    <row r="3746" spans="1:1" x14ac:dyDescent="0.25">
      <c r="A3746" t="s">
        <v>3613</v>
      </c>
    </row>
    <row r="3747" spans="1:1" x14ac:dyDescent="0.25">
      <c r="A3747" t="s">
        <v>3416</v>
      </c>
    </row>
    <row r="3748" spans="1:1" x14ac:dyDescent="0.25">
      <c r="A3748" t="s">
        <v>3417</v>
      </c>
    </row>
    <row r="3749" spans="1:1" x14ac:dyDescent="0.25">
      <c r="A3749" t="s">
        <v>3418</v>
      </c>
    </row>
    <row r="3750" spans="1:1" x14ac:dyDescent="0.25">
      <c r="A3750" t="s">
        <v>3419</v>
      </c>
    </row>
    <row r="3751" spans="1:1" x14ac:dyDescent="0.25">
      <c r="A3751" t="s">
        <v>3420</v>
      </c>
    </row>
    <row r="3752" spans="1:1" x14ac:dyDescent="0.25">
      <c r="A3752" t="s">
        <v>2519</v>
      </c>
    </row>
    <row r="3754" spans="1:1" x14ac:dyDescent="0.25">
      <c r="A3754" t="s">
        <v>2520</v>
      </c>
    </row>
    <row r="3756" spans="1:1" x14ac:dyDescent="0.25">
      <c r="A3756" t="s">
        <v>2459</v>
      </c>
    </row>
    <row r="3757" spans="1:1" x14ac:dyDescent="0.25">
      <c r="A3757" t="s">
        <v>3614</v>
      </c>
    </row>
    <row r="3758" spans="1:1" x14ac:dyDescent="0.25">
      <c r="A3758" t="s">
        <v>2463</v>
      </c>
    </row>
    <row r="3759" spans="1:1" x14ac:dyDescent="0.25">
      <c r="A3759" t="s">
        <v>3424</v>
      </c>
    </row>
    <row r="3760" spans="1:1" x14ac:dyDescent="0.25">
      <c r="A3760" t="s">
        <v>3414</v>
      </c>
    </row>
    <row r="3761" spans="1:1" x14ac:dyDescent="0.25">
      <c r="A3761" t="s">
        <v>3615</v>
      </c>
    </row>
    <row r="3762" spans="1:1" x14ac:dyDescent="0.25">
      <c r="A3762" t="s">
        <v>3616</v>
      </c>
    </row>
    <row r="3763" spans="1:1" x14ac:dyDescent="0.25">
      <c r="A3763" t="s">
        <v>3426</v>
      </c>
    </row>
    <row r="3764" spans="1:1" x14ac:dyDescent="0.25">
      <c r="A3764" t="s">
        <v>3617</v>
      </c>
    </row>
    <row r="3765" spans="1:1" x14ac:dyDescent="0.25">
      <c r="A3765" t="s">
        <v>3428</v>
      </c>
    </row>
    <row r="3767" spans="1:1" x14ac:dyDescent="0.25">
      <c r="A3767" t="s">
        <v>3618</v>
      </c>
    </row>
    <row r="3768" spans="1:1" x14ac:dyDescent="0.25">
      <c r="A3768" t="s">
        <v>3619</v>
      </c>
    </row>
    <row r="3769" spans="1:1" x14ac:dyDescent="0.25">
      <c r="A3769" t="s">
        <v>3620</v>
      </c>
    </row>
    <row r="3770" spans="1:1" x14ac:dyDescent="0.25">
      <c r="A3770" t="s">
        <v>3621</v>
      </c>
    </row>
    <row r="3771" spans="1:1" x14ac:dyDescent="0.25">
      <c r="A3771" t="s">
        <v>3622</v>
      </c>
    </row>
    <row r="3772" spans="1:1" x14ac:dyDescent="0.25">
      <c r="A3772" t="s">
        <v>3623</v>
      </c>
    </row>
    <row r="3773" spans="1:1" x14ac:dyDescent="0.25">
      <c r="A3773" t="s">
        <v>3624</v>
      </c>
    </row>
    <row r="3774" spans="1:1" x14ac:dyDescent="0.25">
      <c r="A3774" t="s">
        <v>3625</v>
      </c>
    </row>
    <row r="3775" spans="1:1" x14ac:dyDescent="0.25">
      <c r="A3775" t="s">
        <v>3626</v>
      </c>
    </row>
    <row r="3776" spans="1:1" x14ac:dyDescent="0.25">
      <c r="A3776" t="s">
        <v>3440</v>
      </c>
    </row>
    <row r="3777" spans="1:1" x14ac:dyDescent="0.25">
      <c r="A3777" t="s">
        <v>3627</v>
      </c>
    </row>
    <row r="3778" spans="1:1" x14ac:dyDescent="0.25">
      <c r="A3778" t="s">
        <v>3628</v>
      </c>
    </row>
    <row r="3779" spans="1:1" x14ac:dyDescent="0.25">
      <c r="A3779" t="s">
        <v>3629</v>
      </c>
    </row>
    <row r="3780" spans="1:1" x14ac:dyDescent="0.25">
      <c r="A3780" t="s">
        <v>3444</v>
      </c>
    </row>
    <row r="3781" spans="1:1" x14ac:dyDescent="0.25">
      <c r="A3781" t="s">
        <v>3630</v>
      </c>
    </row>
    <row r="3782" spans="1:1" x14ac:dyDescent="0.25">
      <c r="A3782" t="s">
        <v>3631</v>
      </c>
    </row>
    <row r="3783" spans="1:1" x14ac:dyDescent="0.25">
      <c r="A3783" t="s">
        <v>2519</v>
      </c>
    </row>
    <row r="3785" spans="1:1" x14ac:dyDescent="0.25">
      <c r="A3785" t="s">
        <v>2520</v>
      </c>
    </row>
    <row r="3787" spans="1:1" x14ac:dyDescent="0.25">
      <c r="A3787" t="s">
        <v>3446</v>
      </c>
    </row>
    <row r="3788" spans="1:1" x14ac:dyDescent="0.25">
      <c r="A3788" t="s">
        <v>3632</v>
      </c>
    </row>
    <row r="3789" spans="1:1" x14ac:dyDescent="0.25">
      <c r="A3789" t="s">
        <v>3448</v>
      </c>
    </row>
    <row r="3791" spans="1:1" x14ac:dyDescent="0.25">
      <c r="A3791" t="s">
        <v>2520</v>
      </c>
    </row>
    <row r="3793" spans="1:1" x14ac:dyDescent="0.25">
      <c r="A3793" t="s">
        <v>3449</v>
      </c>
    </row>
    <row r="3794" spans="1:1" x14ac:dyDescent="0.25">
      <c r="A3794" t="s">
        <v>3633</v>
      </c>
    </row>
    <row r="3795" spans="1:1" x14ac:dyDescent="0.25">
      <c r="A3795" t="s">
        <v>3451</v>
      </c>
    </row>
    <row r="3796" spans="1:1" x14ac:dyDescent="0.25">
      <c r="A3796" t="s">
        <v>3452</v>
      </c>
    </row>
    <row r="3797" spans="1:1" x14ac:dyDescent="0.25">
      <c r="A3797" t="s">
        <v>3453</v>
      </c>
    </row>
    <row r="3798" spans="1:1" x14ac:dyDescent="0.25">
      <c r="A3798" t="s">
        <v>3454</v>
      </c>
    </row>
    <row r="3799" spans="1:1" x14ac:dyDescent="0.25">
      <c r="A3799" t="s">
        <v>3455</v>
      </c>
    </row>
    <row r="3800" spans="1:1" x14ac:dyDescent="0.25">
      <c r="A3800" t="s">
        <v>3456</v>
      </c>
    </row>
    <row r="3801" spans="1:1" x14ac:dyDescent="0.25">
      <c r="A3801" t="s">
        <v>3457</v>
      </c>
    </row>
    <row r="3802" spans="1:1" x14ac:dyDescent="0.25">
      <c r="A3802" t="s">
        <v>3458</v>
      </c>
    </row>
    <row r="3803" spans="1:1" x14ac:dyDescent="0.25">
      <c r="A3803" t="s">
        <v>3634</v>
      </c>
    </row>
    <row r="3804" spans="1:1" x14ac:dyDescent="0.25">
      <c r="A3804" t="s">
        <v>3460</v>
      </c>
    </row>
    <row r="3806" spans="1:1" x14ac:dyDescent="0.25">
      <c r="A3806" t="s">
        <v>2520</v>
      </c>
    </row>
    <row r="3808" spans="1:1" x14ac:dyDescent="0.25">
      <c r="A3808" t="s">
        <v>2459</v>
      </c>
    </row>
    <row r="3809" spans="1:1" x14ac:dyDescent="0.25">
      <c r="A3809" t="s">
        <v>3635</v>
      </c>
    </row>
    <row r="3810" spans="1:1" x14ac:dyDescent="0.25">
      <c r="A3810" t="s">
        <v>3407</v>
      </c>
    </row>
    <row r="3811" spans="1:1" x14ac:dyDescent="0.25">
      <c r="A3811" t="s">
        <v>3462</v>
      </c>
    </row>
    <row r="3812" spans="1:1" x14ac:dyDescent="0.25">
      <c r="A3812" t="s">
        <v>3463</v>
      </c>
    </row>
    <row r="3813" spans="1:1" x14ac:dyDescent="0.25">
      <c r="A3813" t="s">
        <v>3409</v>
      </c>
    </row>
    <row r="3814" spans="1:1" x14ac:dyDescent="0.25">
      <c r="A3814" t="s">
        <v>3410</v>
      </c>
    </row>
    <row r="3815" spans="1:1" x14ac:dyDescent="0.25">
      <c r="A3815" t="s">
        <v>3411</v>
      </c>
    </row>
    <row r="3816" spans="1:1" x14ac:dyDescent="0.25">
      <c r="A3816" t="s">
        <v>3412</v>
      </c>
    </row>
    <row r="3817" spans="1:1" x14ac:dyDescent="0.25">
      <c r="A3817" t="s">
        <v>3413</v>
      </c>
    </row>
    <row r="3818" spans="1:1" x14ac:dyDescent="0.25">
      <c r="A3818" t="s">
        <v>3414</v>
      </c>
    </row>
    <row r="3819" spans="1:1" x14ac:dyDescent="0.25">
      <c r="A3819" t="s">
        <v>3636</v>
      </c>
    </row>
    <row r="3820" spans="1:1" x14ac:dyDescent="0.25">
      <c r="A3820" t="s">
        <v>3429</v>
      </c>
    </row>
    <row r="3821" spans="1:1" x14ac:dyDescent="0.25">
      <c r="A3821" t="s">
        <v>1790</v>
      </c>
    </row>
    <row r="3822" spans="1:1" x14ac:dyDescent="0.25">
      <c r="A3822" t="s">
        <v>3430</v>
      </c>
    </row>
    <row r="3823" spans="1:1" x14ac:dyDescent="0.25">
      <c r="A3823" t="s">
        <v>3431</v>
      </c>
    </row>
    <row r="3824" spans="1:1" x14ac:dyDescent="0.25">
      <c r="A3824" t="s">
        <v>1876</v>
      </c>
    </row>
    <row r="3825" spans="1:1" x14ac:dyDescent="0.25">
      <c r="A3825" t="s">
        <v>1904</v>
      </c>
    </row>
    <row r="3826" spans="1:1" x14ac:dyDescent="0.25">
      <c r="A3826" t="s">
        <v>3637</v>
      </c>
    </row>
    <row r="3827" spans="1:1" x14ac:dyDescent="0.25">
      <c r="A3827" t="s">
        <v>3638</v>
      </c>
    </row>
    <row r="3828" spans="1:1" x14ac:dyDescent="0.25">
      <c r="A3828" t="s">
        <v>3639</v>
      </c>
    </row>
    <row r="3829" spans="1:1" x14ac:dyDescent="0.25">
      <c r="A3829" t="s">
        <v>3468</v>
      </c>
    </row>
    <row r="3830" spans="1:1" x14ac:dyDescent="0.25">
      <c r="A3830" t="s">
        <v>3640</v>
      </c>
    </row>
    <row r="3831" spans="1:1" x14ac:dyDescent="0.25">
      <c r="A3831" t="s">
        <v>3641</v>
      </c>
    </row>
    <row r="3832" spans="1:1" x14ac:dyDescent="0.25">
      <c r="A3832" t="s">
        <v>3642</v>
      </c>
    </row>
    <row r="3833" spans="1:1" x14ac:dyDescent="0.25">
      <c r="A3833" t="s">
        <v>2519</v>
      </c>
    </row>
    <row r="3835" spans="1:1" x14ac:dyDescent="0.25">
      <c r="A3835" t="s">
        <v>2520</v>
      </c>
    </row>
    <row r="3837" spans="1:1" x14ac:dyDescent="0.25">
      <c r="A3837" t="s">
        <v>2459</v>
      </c>
    </row>
    <row r="3838" spans="1:1" x14ac:dyDescent="0.25">
      <c r="A3838" t="s">
        <v>3643</v>
      </c>
    </row>
    <row r="3839" spans="1:1" x14ac:dyDescent="0.25">
      <c r="A3839" t="s">
        <v>3414</v>
      </c>
    </row>
    <row r="3840" spans="1:1" x14ac:dyDescent="0.25">
      <c r="A3840" t="s">
        <v>3644</v>
      </c>
    </row>
    <row r="3841" spans="1:1" x14ac:dyDescent="0.25">
      <c r="A3841" t="s">
        <v>3645</v>
      </c>
    </row>
    <row r="3842" spans="1:1" x14ac:dyDescent="0.25">
      <c r="A3842" t="s">
        <v>3429</v>
      </c>
    </row>
    <row r="3843" spans="1:1" x14ac:dyDescent="0.25">
      <c r="A3843" t="s">
        <v>1790</v>
      </c>
    </row>
    <row r="3844" spans="1:1" x14ac:dyDescent="0.25">
      <c r="A3844" t="s">
        <v>3646</v>
      </c>
    </row>
    <row r="3845" spans="1:1" x14ac:dyDescent="0.25">
      <c r="A3845" t="s">
        <v>3647</v>
      </c>
    </row>
    <row r="3846" spans="1:1" x14ac:dyDescent="0.25">
      <c r="A3846" t="s">
        <v>1876</v>
      </c>
    </row>
    <row r="3847" spans="1:1" x14ac:dyDescent="0.25">
      <c r="A3847" t="s">
        <v>1904</v>
      </c>
    </row>
    <row r="3848" spans="1:1" x14ac:dyDescent="0.25">
      <c r="A3848" t="s">
        <v>3648</v>
      </c>
    </row>
    <row r="3849" spans="1:1" x14ac:dyDescent="0.25">
      <c r="A3849" t="s">
        <v>3649</v>
      </c>
    </row>
    <row r="3850" spans="1:1" x14ac:dyDescent="0.25">
      <c r="A3850" t="s">
        <v>3650</v>
      </c>
    </row>
    <row r="3851" spans="1:1" x14ac:dyDescent="0.25">
      <c r="A3851" t="s">
        <v>3651</v>
      </c>
    </row>
    <row r="3852" spans="1:1" x14ac:dyDescent="0.25">
      <c r="A3852" t="s">
        <v>3652</v>
      </c>
    </row>
    <row r="3853" spans="1:1" x14ac:dyDescent="0.25">
      <c r="A3853" t="s">
        <v>3653</v>
      </c>
    </row>
    <row r="3854" spans="1:1" x14ac:dyDescent="0.25">
      <c r="A3854" t="s">
        <v>3654</v>
      </c>
    </row>
    <row r="3855" spans="1:1" x14ac:dyDescent="0.25">
      <c r="A3855" t="s">
        <v>2519</v>
      </c>
    </row>
    <row r="3857" spans="1:1" x14ac:dyDescent="0.25">
      <c r="A3857" t="s">
        <v>2520</v>
      </c>
    </row>
    <row r="3859" spans="1:1" x14ac:dyDescent="0.25">
      <c r="A3859" t="s">
        <v>3655</v>
      </c>
    </row>
    <row r="3860" spans="1:1" x14ac:dyDescent="0.25">
      <c r="A3860" t="s">
        <v>3473</v>
      </c>
    </row>
    <row r="3861" spans="1:1" x14ac:dyDescent="0.25">
      <c r="A3861" t="s">
        <v>3474</v>
      </c>
    </row>
    <row r="3862" spans="1:1" x14ac:dyDescent="0.25">
      <c r="A3862" t="s">
        <v>3656</v>
      </c>
    </row>
    <row r="3863" spans="1:1" x14ac:dyDescent="0.25">
      <c r="A3863" t="s">
        <v>2471</v>
      </c>
    </row>
    <row r="3865" spans="1:1" x14ac:dyDescent="0.25">
      <c r="A3865" t="s">
        <v>3476</v>
      </c>
    </row>
    <row r="3867" spans="1:1" x14ac:dyDescent="0.25">
      <c r="A3867" t="s">
        <v>3657</v>
      </c>
    </row>
    <row r="3869" spans="1:1" x14ac:dyDescent="0.25">
      <c r="A3869" t="s">
        <v>3476</v>
      </c>
    </row>
    <row r="3871" spans="1:1" x14ac:dyDescent="0.25">
      <c r="A3871" t="s">
        <v>3478</v>
      </c>
    </row>
    <row r="3872" spans="1:1" x14ac:dyDescent="0.25">
      <c r="A3872" t="s">
        <v>3658</v>
      </c>
    </row>
    <row r="3873" spans="1:1" x14ac:dyDescent="0.25">
      <c r="A3873" t="s">
        <v>3480</v>
      </c>
    </row>
    <row r="3874" spans="1:1" x14ac:dyDescent="0.25">
      <c r="A3874" t="s">
        <v>3481</v>
      </c>
    </row>
    <row r="3875" spans="1:1" x14ac:dyDescent="0.25">
      <c r="A3875" t="s">
        <v>3482</v>
      </c>
    </row>
    <row r="3876" spans="1:1" x14ac:dyDescent="0.25">
      <c r="A3876" t="s">
        <v>3659</v>
      </c>
    </row>
    <row r="3877" spans="1:1" x14ac:dyDescent="0.25">
      <c r="A3877" t="s">
        <v>3484</v>
      </c>
    </row>
    <row r="3878" spans="1:1" x14ac:dyDescent="0.25">
      <c r="A3878" t="s">
        <v>2449</v>
      </c>
    </row>
    <row r="3879" spans="1:1" x14ac:dyDescent="0.25">
      <c r="A3879" t="s">
        <v>2450</v>
      </c>
    </row>
    <row r="3880" spans="1:1" x14ac:dyDescent="0.25">
      <c r="A3880" t="s">
        <v>3660</v>
      </c>
    </row>
    <row r="3881" spans="1:1" x14ac:dyDescent="0.25">
      <c r="A3881" t="s">
        <v>3661</v>
      </c>
    </row>
    <row r="3882" spans="1:1" x14ac:dyDescent="0.25">
      <c r="A3882" t="s">
        <v>2257</v>
      </c>
    </row>
    <row r="3883" spans="1:1" x14ac:dyDescent="0.25">
      <c r="A3883" t="s">
        <v>3487</v>
      </c>
    </row>
    <row r="3885" spans="1:1" x14ac:dyDescent="0.25">
      <c r="A3885" t="s">
        <v>3488</v>
      </c>
    </row>
    <row r="3887" spans="1:1" x14ac:dyDescent="0.25">
      <c r="A3887" t="s">
        <v>3476</v>
      </c>
    </row>
    <row r="3889" spans="1:1" x14ac:dyDescent="0.25">
      <c r="A3889" t="s">
        <v>2468</v>
      </c>
    </row>
    <row r="3890" spans="1:1" x14ac:dyDescent="0.25">
      <c r="A3890" t="s">
        <v>2455</v>
      </c>
    </row>
    <row r="3891" spans="1:1" x14ac:dyDescent="0.25">
      <c r="A3891" t="s">
        <v>2471</v>
      </c>
    </row>
    <row r="3893" spans="1:1" x14ac:dyDescent="0.25">
      <c r="A3893" t="s">
        <v>3662</v>
      </c>
    </row>
    <row r="3895" spans="1:1" x14ac:dyDescent="0.25">
      <c r="A3895" t="s">
        <v>3476</v>
      </c>
    </row>
    <row r="3897" spans="1:1" x14ac:dyDescent="0.25">
      <c r="A3897" t="s">
        <v>3663</v>
      </c>
    </row>
    <row r="3898" spans="1:1" x14ac:dyDescent="0.25">
      <c r="A3898" t="s">
        <v>3664</v>
      </c>
    </row>
    <row r="3899" spans="1:1" x14ac:dyDescent="0.25">
      <c r="A3899" t="s">
        <v>3665</v>
      </c>
    </row>
    <row r="3900" spans="1:1" x14ac:dyDescent="0.25">
      <c r="A3900" t="s">
        <v>3493</v>
      </c>
    </row>
    <row r="3901" spans="1:1" x14ac:dyDescent="0.25">
      <c r="A3901" t="s">
        <v>3666</v>
      </c>
    </row>
    <row r="3902" spans="1:1" x14ac:dyDescent="0.25">
      <c r="A3902" t="s">
        <v>3495</v>
      </c>
    </row>
    <row r="3903" spans="1:1" x14ac:dyDescent="0.25">
      <c r="A3903" t="s">
        <v>3496</v>
      </c>
    </row>
    <row r="3904" spans="1:1" x14ac:dyDescent="0.25">
      <c r="A3904" t="s">
        <v>3497</v>
      </c>
    </row>
    <row r="3905" spans="1:1" x14ac:dyDescent="0.25">
      <c r="A3905" t="s">
        <v>3498</v>
      </c>
    </row>
    <row r="3906" spans="1:1" x14ac:dyDescent="0.25">
      <c r="A3906" t="s">
        <v>3667</v>
      </c>
    </row>
    <row r="3907" spans="1:1" x14ac:dyDescent="0.25">
      <c r="A3907" t="s">
        <v>3500</v>
      </c>
    </row>
    <row r="3908" spans="1:1" x14ac:dyDescent="0.25">
      <c r="A3908" t="s">
        <v>3501</v>
      </c>
    </row>
    <row r="3909" spans="1:1" x14ac:dyDescent="0.25">
      <c r="A3909" t="s">
        <v>3502</v>
      </c>
    </row>
    <row r="3910" spans="1:1" x14ac:dyDescent="0.25">
      <c r="A3910" t="s">
        <v>3668</v>
      </c>
    </row>
    <row r="3911" spans="1:1" x14ac:dyDescent="0.25">
      <c r="A3911" t="s">
        <v>3669</v>
      </c>
    </row>
    <row r="3912" spans="1:1" x14ac:dyDescent="0.25">
      <c r="A3912" t="s">
        <v>3505</v>
      </c>
    </row>
    <row r="3914" spans="1:1" x14ac:dyDescent="0.25">
      <c r="A3914" t="s">
        <v>3506</v>
      </c>
    </row>
    <row r="3915" spans="1:1" x14ac:dyDescent="0.25">
      <c r="A3915" t="s">
        <v>3507</v>
      </c>
    </row>
    <row r="3916" spans="1:1" x14ac:dyDescent="0.25">
      <c r="A3916" t="s">
        <v>3670</v>
      </c>
    </row>
    <row r="3917" spans="1:1" x14ac:dyDescent="0.25">
      <c r="A3917" t="s">
        <v>3671</v>
      </c>
    </row>
    <row r="3918" spans="1:1" x14ac:dyDescent="0.25">
      <c r="A3918" t="s">
        <v>3672</v>
      </c>
    </row>
    <row r="3919" spans="1:1" x14ac:dyDescent="0.25">
      <c r="A3919" t="s">
        <v>3673</v>
      </c>
    </row>
    <row r="3920" spans="1:1" x14ac:dyDescent="0.25">
      <c r="A3920" t="s">
        <v>3674</v>
      </c>
    </row>
    <row r="3921" spans="1:1" x14ac:dyDescent="0.25">
      <c r="A3921" t="s">
        <v>3675</v>
      </c>
    </row>
    <row r="3922" spans="1:1" x14ac:dyDescent="0.25">
      <c r="A3922" t="s">
        <v>3676</v>
      </c>
    </row>
    <row r="3923" spans="1:1" x14ac:dyDescent="0.25">
      <c r="A3923" t="s">
        <v>3677</v>
      </c>
    </row>
    <row r="3924" spans="1:1" x14ac:dyDescent="0.25">
      <c r="A3924" t="s">
        <v>3678</v>
      </c>
    </row>
    <row r="3925" spans="1:1" x14ac:dyDescent="0.25">
      <c r="A3925" t="s">
        <v>3679</v>
      </c>
    </row>
    <row r="3926" spans="1:1" x14ac:dyDescent="0.25">
      <c r="A3926" t="s">
        <v>3680</v>
      </c>
    </row>
    <row r="3927" spans="1:1" x14ac:dyDescent="0.25">
      <c r="A3927" t="s">
        <v>3681</v>
      </c>
    </row>
    <row r="3928" spans="1:1" x14ac:dyDescent="0.25">
      <c r="A3928" t="s">
        <v>3682</v>
      </c>
    </row>
    <row r="3929" spans="1:1" x14ac:dyDescent="0.25">
      <c r="A3929" t="s">
        <v>3683</v>
      </c>
    </row>
    <row r="3930" spans="1:1" x14ac:dyDescent="0.25">
      <c r="A3930" t="s">
        <v>3684</v>
      </c>
    </row>
    <row r="3931" spans="1:1" x14ac:dyDescent="0.25">
      <c r="A3931" t="s">
        <v>3523</v>
      </c>
    </row>
    <row r="3932" spans="1:1" x14ac:dyDescent="0.25">
      <c r="A3932" t="s">
        <v>2485</v>
      </c>
    </row>
    <row r="3933" spans="1:1" x14ac:dyDescent="0.25">
      <c r="A3933" t="s">
        <v>3685</v>
      </c>
    </row>
    <row r="3934" spans="1:1" x14ac:dyDescent="0.25">
      <c r="A3934" t="s">
        <v>2487</v>
      </c>
    </row>
    <row r="3935" spans="1:1" x14ac:dyDescent="0.25">
      <c r="A3935" t="s">
        <v>2488</v>
      </c>
    </row>
    <row r="3936" spans="1:1" x14ac:dyDescent="0.25">
      <c r="A3936" t="s">
        <v>2489</v>
      </c>
    </row>
    <row r="3937" spans="1:1" x14ac:dyDescent="0.25">
      <c r="A3937" t="s">
        <v>2490</v>
      </c>
    </row>
    <row r="3938" spans="1:1" x14ac:dyDescent="0.25">
      <c r="A3938" t="s">
        <v>2491</v>
      </c>
    </row>
    <row r="3939" spans="1:1" x14ac:dyDescent="0.25">
      <c r="A3939" t="s">
        <v>1893</v>
      </c>
    </row>
    <row r="3940" spans="1:1" x14ac:dyDescent="0.25">
      <c r="A3940" t="s">
        <v>3686</v>
      </c>
    </row>
    <row r="3941" spans="1:1" x14ac:dyDescent="0.25">
      <c r="A3941" t="s">
        <v>2493</v>
      </c>
    </row>
    <row r="3942" spans="1:1" x14ac:dyDescent="0.25">
      <c r="A3942" t="s">
        <v>2488</v>
      </c>
    </row>
    <row r="3943" spans="1:1" x14ac:dyDescent="0.25">
      <c r="A3943" t="s">
        <v>2489</v>
      </c>
    </row>
    <row r="3944" spans="1:1" x14ac:dyDescent="0.25">
      <c r="A3944" t="s">
        <v>2490</v>
      </c>
    </row>
    <row r="3945" spans="1:1" x14ac:dyDescent="0.25">
      <c r="A3945" t="s">
        <v>2491</v>
      </c>
    </row>
    <row r="3946" spans="1:1" x14ac:dyDescent="0.25">
      <c r="A3946" t="s">
        <v>1893</v>
      </c>
    </row>
    <row r="3947" spans="1:1" x14ac:dyDescent="0.25">
      <c r="A3947" t="s">
        <v>3687</v>
      </c>
    </row>
    <row r="3948" spans="1:1" x14ac:dyDescent="0.25">
      <c r="A3948" t="s">
        <v>1892</v>
      </c>
    </row>
    <row r="3949" spans="1:1" x14ac:dyDescent="0.25">
      <c r="A3949" t="s">
        <v>2488</v>
      </c>
    </row>
    <row r="3950" spans="1:1" x14ac:dyDescent="0.25">
      <c r="A3950" t="s">
        <v>2489</v>
      </c>
    </row>
    <row r="3951" spans="1:1" x14ac:dyDescent="0.25">
      <c r="A3951" t="s">
        <v>2490</v>
      </c>
    </row>
    <row r="3952" spans="1:1" x14ac:dyDescent="0.25">
      <c r="A3952" t="s">
        <v>2491</v>
      </c>
    </row>
    <row r="3953" spans="1:1" x14ac:dyDescent="0.25">
      <c r="A3953" t="s">
        <v>2495</v>
      </c>
    </row>
    <row r="3954" spans="1:1" x14ac:dyDescent="0.25">
      <c r="A3954" t="s">
        <v>1893</v>
      </c>
    </row>
    <row r="3955" spans="1:1" x14ac:dyDescent="0.25">
      <c r="A3955" t="s">
        <v>3688</v>
      </c>
    </row>
    <row r="3956" spans="1:1" x14ac:dyDescent="0.25">
      <c r="A3956" t="s">
        <v>2493</v>
      </c>
    </row>
    <row r="3957" spans="1:1" x14ac:dyDescent="0.25">
      <c r="A3957" t="s">
        <v>1892</v>
      </c>
    </row>
    <row r="3958" spans="1:1" x14ac:dyDescent="0.25">
      <c r="A3958" t="s">
        <v>2488</v>
      </c>
    </row>
    <row r="3959" spans="1:1" x14ac:dyDescent="0.25">
      <c r="A3959" t="s">
        <v>2489</v>
      </c>
    </row>
    <row r="3960" spans="1:1" x14ac:dyDescent="0.25">
      <c r="A3960" t="s">
        <v>2490</v>
      </c>
    </row>
    <row r="3961" spans="1:1" x14ac:dyDescent="0.25">
      <c r="A3961" t="s">
        <v>2491</v>
      </c>
    </row>
    <row r="3962" spans="1:1" x14ac:dyDescent="0.25">
      <c r="A3962" t="s">
        <v>2497</v>
      </c>
    </row>
    <row r="3963" spans="1:1" x14ac:dyDescent="0.25">
      <c r="A3963" t="s">
        <v>1893</v>
      </c>
    </row>
    <row r="3964" spans="1:1" x14ac:dyDescent="0.25">
      <c r="A3964" t="s">
        <v>2498</v>
      </c>
    </row>
    <row r="3965" spans="1:1" x14ac:dyDescent="0.25">
      <c r="A3965" t="s">
        <v>1904</v>
      </c>
    </row>
    <row r="3966" spans="1:1" x14ac:dyDescent="0.25">
      <c r="A3966" t="s">
        <v>3528</v>
      </c>
    </row>
    <row r="3967" spans="1:1" x14ac:dyDescent="0.25">
      <c r="A3967" t="s">
        <v>2500</v>
      </c>
    </row>
    <row r="3968" spans="1:1" x14ac:dyDescent="0.25">
      <c r="A3968" t="s">
        <v>2501</v>
      </c>
    </row>
    <row r="3969" spans="1:1" x14ac:dyDescent="0.25">
      <c r="A3969" t="s">
        <v>2502</v>
      </c>
    </row>
    <row r="3970" spans="1:1" x14ac:dyDescent="0.25">
      <c r="A3970" t="s">
        <v>2503</v>
      </c>
    </row>
    <row r="3971" spans="1:1" x14ac:dyDescent="0.25">
      <c r="A3971" t="s">
        <v>2504</v>
      </c>
    </row>
    <row r="3972" spans="1:1" x14ac:dyDescent="0.25">
      <c r="A3972" t="s">
        <v>2505</v>
      </c>
    </row>
    <row r="3973" spans="1:1" x14ac:dyDescent="0.25">
      <c r="A3973" t="s">
        <v>2506</v>
      </c>
    </row>
    <row r="3974" spans="1:1" x14ac:dyDescent="0.25">
      <c r="A3974" t="s">
        <v>2507</v>
      </c>
    </row>
    <row r="3975" spans="1:1" x14ac:dyDescent="0.25">
      <c r="A3975" t="s">
        <v>2508</v>
      </c>
    </row>
    <row r="3976" spans="1:1" x14ac:dyDescent="0.25">
      <c r="A3976" t="s">
        <v>2509</v>
      </c>
    </row>
    <row r="3977" spans="1:1" x14ac:dyDescent="0.25">
      <c r="A3977" t="s">
        <v>2510</v>
      </c>
    </row>
    <row r="3978" spans="1:1" x14ac:dyDescent="0.25">
      <c r="A3978" t="s">
        <v>2511</v>
      </c>
    </row>
    <row r="3979" spans="1:1" x14ac:dyDescent="0.25">
      <c r="A3979" t="s">
        <v>2512</v>
      </c>
    </row>
    <row r="3980" spans="1:1" x14ac:dyDescent="0.25">
      <c r="A3980" t="s">
        <v>1904</v>
      </c>
    </row>
    <row r="3981" spans="1:1" x14ac:dyDescent="0.25">
      <c r="A3981" t="s">
        <v>3529</v>
      </c>
    </row>
    <row r="3982" spans="1:1" x14ac:dyDescent="0.25">
      <c r="A3982" t="s">
        <v>2500</v>
      </c>
    </row>
    <row r="3983" spans="1:1" x14ac:dyDescent="0.25">
      <c r="A3983" t="s">
        <v>2514</v>
      </c>
    </row>
    <row r="3984" spans="1:1" x14ac:dyDescent="0.25">
      <c r="A3984" t="s">
        <v>2502</v>
      </c>
    </row>
    <row r="3985" spans="1:1" x14ac:dyDescent="0.25">
      <c r="A3985" t="s">
        <v>2515</v>
      </c>
    </row>
    <row r="3986" spans="1:1" x14ac:dyDescent="0.25">
      <c r="A3986" t="s">
        <v>2516</v>
      </c>
    </row>
    <row r="3987" spans="1:1" x14ac:dyDescent="0.25">
      <c r="A3987" t="s">
        <v>2517</v>
      </c>
    </row>
    <row r="3988" spans="1:1" x14ac:dyDescent="0.25">
      <c r="A3988" t="s">
        <v>2518</v>
      </c>
    </row>
    <row r="3989" spans="1:1" x14ac:dyDescent="0.25">
      <c r="A3989" t="s">
        <v>2507</v>
      </c>
    </row>
    <row r="3990" spans="1:1" x14ac:dyDescent="0.25">
      <c r="A3990" t="s">
        <v>2512</v>
      </c>
    </row>
    <row r="3991" spans="1:1" x14ac:dyDescent="0.25">
      <c r="A3991" t="s">
        <v>1904</v>
      </c>
    </row>
    <row r="3992" spans="1:1" x14ac:dyDescent="0.25">
      <c r="A3992" t="s">
        <v>3530</v>
      </c>
    </row>
    <row r="3994" spans="1:1" x14ac:dyDescent="0.25">
      <c r="A3994" t="s">
        <v>3531</v>
      </c>
    </row>
    <row r="3995" spans="1:1" x14ac:dyDescent="0.25">
      <c r="A3995" t="s">
        <v>3532</v>
      </c>
    </row>
    <row r="3997" spans="1:1" x14ac:dyDescent="0.25">
      <c r="A3997" t="s">
        <v>3533</v>
      </c>
    </row>
    <row r="3998" spans="1:1" x14ac:dyDescent="0.25">
      <c r="A3998" t="s">
        <v>3534</v>
      </c>
    </row>
    <row r="3999" spans="1:1" x14ac:dyDescent="0.25">
      <c r="A3999" t="s">
        <v>3535</v>
      </c>
    </row>
    <row r="4001" spans="1:1" x14ac:dyDescent="0.25">
      <c r="A4001" t="s">
        <v>3536</v>
      </c>
    </row>
    <row r="4002" spans="1:1" x14ac:dyDescent="0.25">
      <c r="A4002" t="s">
        <v>3537</v>
      </c>
    </row>
    <row r="4003" spans="1:1" x14ac:dyDescent="0.25">
      <c r="A4003" t="s">
        <v>3535</v>
      </c>
    </row>
    <row r="4005" spans="1:1" x14ac:dyDescent="0.25">
      <c r="A4005" t="s">
        <v>3538</v>
      </c>
    </row>
    <row r="4006" spans="1:1" x14ac:dyDescent="0.25">
      <c r="A4006" t="s">
        <v>3539</v>
      </c>
    </row>
    <row r="4007" spans="1:1" x14ac:dyDescent="0.25">
      <c r="A4007" t="s">
        <v>3535</v>
      </c>
    </row>
    <row r="4009" spans="1:1" x14ac:dyDescent="0.25">
      <c r="A4009" t="s">
        <v>3540</v>
      </c>
    </row>
    <row r="4010" spans="1:1" x14ac:dyDescent="0.25">
      <c r="A4010" t="s">
        <v>3541</v>
      </c>
    </row>
    <row r="4011" spans="1:1" x14ac:dyDescent="0.25">
      <c r="A4011" t="s">
        <v>3535</v>
      </c>
    </row>
    <row r="4013" spans="1:1" x14ac:dyDescent="0.25">
      <c r="A4013" t="s">
        <v>3542</v>
      </c>
    </row>
    <row r="4014" spans="1:1" x14ac:dyDescent="0.25">
      <c r="A4014" t="s">
        <v>3543</v>
      </c>
    </row>
    <row r="4015" spans="1:1" x14ac:dyDescent="0.25">
      <c r="A4015" t="s">
        <v>3535</v>
      </c>
    </row>
    <row r="4017" spans="1:1" x14ac:dyDescent="0.25">
      <c r="A4017" t="s">
        <v>3544</v>
      </c>
    </row>
    <row r="4018" spans="1:1" x14ac:dyDescent="0.25">
      <c r="A4018" t="s">
        <v>3545</v>
      </c>
    </row>
    <row r="4019" spans="1:1" x14ac:dyDescent="0.25">
      <c r="A4019" t="s">
        <v>3535</v>
      </c>
    </row>
    <row r="4021" spans="1:1" x14ac:dyDescent="0.25">
      <c r="A4021" t="s">
        <v>3546</v>
      </c>
    </row>
    <row r="4022" spans="1:1" x14ac:dyDescent="0.25">
      <c r="A4022" t="s">
        <v>3547</v>
      </c>
    </row>
    <row r="4023" spans="1:1" x14ac:dyDescent="0.25">
      <c r="A4023" t="s">
        <v>3535</v>
      </c>
    </row>
    <row r="4025" spans="1:1" x14ac:dyDescent="0.25">
      <c r="A4025" t="s">
        <v>3548</v>
      </c>
    </row>
    <row r="4026" spans="1:1" x14ac:dyDescent="0.25">
      <c r="A4026" t="s">
        <v>3549</v>
      </c>
    </row>
    <row r="4027" spans="1:1" x14ac:dyDescent="0.25">
      <c r="A4027" t="s">
        <v>3535</v>
      </c>
    </row>
    <row r="4029" spans="1:1" x14ac:dyDescent="0.25">
      <c r="A4029" t="s">
        <v>3550</v>
      </c>
    </row>
    <row r="4030" spans="1:1" x14ac:dyDescent="0.25">
      <c r="A4030" t="s">
        <v>3551</v>
      </c>
    </row>
    <row r="4031" spans="1:1" x14ac:dyDescent="0.25">
      <c r="A4031" t="s">
        <v>3535</v>
      </c>
    </row>
    <row r="4033" spans="1:1" x14ac:dyDescent="0.25">
      <c r="A4033" t="s">
        <v>3552</v>
      </c>
    </row>
    <row r="4034" spans="1:1" x14ac:dyDescent="0.25">
      <c r="A4034" t="s">
        <v>3553</v>
      </c>
    </row>
    <row r="4035" spans="1:1" x14ac:dyDescent="0.25">
      <c r="A4035" t="s">
        <v>3535</v>
      </c>
    </row>
    <row r="4037" spans="1:1" x14ac:dyDescent="0.25">
      <c r="A4037" t="s">
        <v>3554</v>
      </c>
    </row>
    <row r="4038" spans="1:1" x14ac:dyDescent="0.25">
      <c r="A4038" t="s">
        <v>3555</v>
      </c>
    </row>
    <row r="4039" spans="1:1" x14ac:dyDescent="0.25">
      <c r="A4039" t="s">
        <v>3535</v>
      </c>
    </row>
    <row r="4041" spans="1:1" x14ac:dyDescent="0.25">
      <c r="A4041" t="s">
        <v>3556</v>
      </c>
    </row>
    <row r="4042" spans="1:1" x14ac:dyDescent="0.25">
      <c r="A4042" t="s">
        <v>3557</v>
      </c>
    </row>
    <row r="4043" spans="1:1" x14ac:dyDescent="0.25">
      <c r="A4043" t="s">
        <v>3535</v>
      </c>
    </row>
    <row r="4044" spans="1:1" x14ac:dyDescent="0.25">
      <c r="A4044" t="s">
        <v>3558</v>
      </c>
    </row>
    <row r="4046" spans="1:1" x14ac:dyDescent="0.25">
      <c r="A4046" t="s">
        <v>3559</v>
      </c>
    </row>
    <row r="4047" spans="1:1" x14ac:dyDescent="0.25">
      <c r="A4047" t="s">
        <v>3689</v>
      </c>
    </row>
    <row r="4048" spans="1:1" x14ac:dyDescent="0.25">
      <c r="A4048" t="s">
        <v>3561</v>
      </c>
    </row>
    <row r="4049" spans="1:1" x14ac:dyDescent="0.25">
      <c r="A4049" t="s">
        <v>3482</v>
      </c>
    </row>
    <row r="4050" spans="1:1" x14ac:dyDescent="0.25">
      <c r="A4050" t="s">
        <v>3690</v>
      </c>
    </row>
    <row r="4051" spans="1:1" x14ac:dyDescent="0.25">
      <c r="A4051" t="s">
        <v>3484</v>
      </c>
    </row>
    <row r="4052" spans="1:1" x14ac:dyDescent="0.25">
      <c r="A4052" t="s">
        <v>3691</v>
      </c>
    </row>
    <row r="4053" spans="1:1" x14ac:dyDescent="0.25">
      <c r="A4053" t="s">
        <v>3487</v>
      </c>
    </row>
    <row r="4055" spans="1:1" x14ac:dyDescent="0.25">
      <c r="A4055" t="s">
        <v>3564</v>
      </c>
    </row>
    <row r="4057" spans="1:1" x14ac:dyDescent="0.25">
      <c r="A4057" t="s">
        <v>3476</v>
      </c>
    </row>
    <row r="4058" spans="1:1" x14ac:dyDescent="0.25">
      <c r="A4058" t="s">
        <v>3565</v>
      </c>
    </row>
    <row r="4060" spans="1:1" x14ac:dyDescent="0.25">
      <c r="A4060" t="s">
        <v>2520</v>
      </c>
    </row>
    <row r="4062" spans="1:1" x14ac:dyDescent="0.25">
      <c r="A4062" t="s">
        <v>2459</v>
      </c>
    </row>
    <row r="4063" spans="1:1" x14ac:dyDescent="0.25">
      <c r="A4063" t="s">
        <v>3692</v>
      </c>
    </row>
    <row r="4064" spans="1:1" x14ac:dyDescent="0.25">
      <c r="A4064" t="s">
        <v>3567</v>
      </c>
    </row>
    <row r="4065" spans="1:1" x14ac:dyDescent="0.25">
      <c r="A4065" t="s">
        <v>3693</v>
      </c>
    </row>
    <row r="4066" spans="1:1" x14ac:dyDescent="0.25">
      <c r="A4066" t="s">
        <v>3694</v>
      </c>
    </row>
    <row r="4067" spans="1:1" x14ac:dyDescent="0.25">
      <c r="A4067" t="s">
        <v>3695</v>
      </c>
    </row>
    <row r="4068" spans="1:1" x14ac:dyDescent="0.25">
      <c r="A4068" t="s">
        <v>3696</v>
      </c>
    </row>
    <row r="4069" spans="1:1" x14ac:dyDescent="0.25">
      <c r="A4069" t="s">
        <v>3697</v>
      </c>
    </row>
    <row r="4070" spans="1:1" x14ac:dyDescent="0.25">
      <c r="A4070" t="s">
        <v>3698</v>
      </c>
    </row>
    <row r="4071" spans="1:1" x14ac:dyDescent="0.25">
      <c r="A4071" t="s">
        <v>3699</v>
      </c>
    </row>
    <row r="4072" spans="1:1" x14ac:dyDescent="0.25">
      <c r="A4072" t="s">
        <v>2519</v>
      </c>
    </row>
    <row r="4074" spans="1:1" x14ac:dyDescent="0.25">
      <c r="A4074" t="s">
        <v>2520</v>
      </c>
    </row>
    <row r="4076" spans="1:1" x14ac:dyDescent="0.25">
      <c r="A4076" t="s">
        <v>3449</v>
      </c>
    </row>
    <row r="4077" spans="1:1" x14ac:dyDescent="0.25">
      <c r="A4077" t="s">
        <v>3700</v>
      </c>
    </row>
    <row r="4078" spans="1:1" x14ac:dyDescent="0.25">
      <c r="A4078" t="s">
        <v>3451</v>
      </c>
    </row>
    <row r="4079" spans="1:1" x14ac:dyDescent="0.25">
      <c r="A4079" t="s">
        <v>3452</v>
      </c>
    </row>
    <row r="4080" spans="1:1" x14ac:dyDescent="0.25">
      <c r="A4080" t="s">
        <v>3453</v>
      </c>
    </row>
    <row r="4081" spans="1:1" x14ac:dyDescent="0.25">
      <c r="A4081" t="s">
        <v>3454</v>
      </c>
    </row>
    <row r="4082" spans="1:1" x14ac:dyDescent="0.25">
      <c r="A4082" t="s">
        <v>3455</v>
      </c>
    </row>
    <row r="4083" spans="1:1" x14ac:dyDescent="0.25">
      <c r="A4083" t="s">
        <v>3456</v>
      </c>
    </row>
    <row r="4084" spans="1:1" x14ac:dyDescent="0.25">
      <c r="A4084" t="s">
        <v>3457</v>
      </c>
    </row>
    <row r="4085" spans="1:1" x14ac:dyDescent="0.25">
      <c r="A4085" t="s">
        <v>3458</v>
      </c>
    </row>
    <row r="4086" spans="1:1" x14ac:dyDescent="0.25">
      <c r="A4086" t="s">
        <v>3634</v>
      </c>
    </row>
    <row r="4087" spans="1:1" x14ac:dyDescent="0.25">
      <c r="A4087" t="s">
        <v>3460</v>
      </c>
    </row>
    <row r="4089" spans="1:1" x14ac:dyDescent="0.25">
      <c r="A4089" t="s">
        <v>2520</v>
      </c>
    </row>
    <row r="4091" spans="1:1" x14ac:dyDescent="0.25">
      <c r="A4091" t="s">
        <v>2459</v>
      </c>
    </row>
    <row r="4092" spans="1:1" x14ac:dyDescent="0.25">
      <c r="A4092" t="s">
        <v>3701</v>
      </c>
    </row>
    <row r="4093" spans="1:1" x14ac:dyDescent="0.25">
      <c r="A4093" t="s">
        <v>3407</v>
      </c>
    </row>
    <row r="4094" spans="1:1" x14ac:dyDescent="0.25">
      <c r="A4094" t="s">
        <v>3462</v>
      </c>
    </row>
    <row r="4095" spans="1:1" x14ac:dyDescent="0.25">
      <c r="A4095" t="s">
        <v>3463</v>
      </c>
    </row>
    <row r="4096" spans="1:1" x14ac:dyDescent="0.25">
      <c r="A4096" t="s">
        <v>3409</v>
      </c>
    </row>
    <row r="4097" spans="1:1" x14ac:dyDescent="0.25">
      <c r="A4097" t="s">
        <v>3410</v>
      </c>
    </row>
    <row r="4098" spans="1:1" x14ac:dyDescent="0.25">
      <c r="A4098" t="s">
        <v>3411</v>
      </c>
    </row>
    <row r="4099" spans="1:1" x14ac:dyDescent="0.25">
      <c r="A4099" t="s">
        <v>3412</v>
      </c>
    </row>
    <row r="4100" spans="1:1" x14ac:dyDescent="0.25">
      <c r="A4100" t="s">
        <v>3413</v>
      </c>
    </row>
    <row r="4101" spans="1:1" x14ac:dyDescent="0.25">
      <c r="A4101" t="s">
        <v>3414</v>
      </c>
    </row>
    <row r="4102" spans="1:1" x14ac:dyDescent="0.25">
      <c r="A4102" t="s">
        <v>3702</v>
      </c>
    </row>
    <row r="4103" spans="1:1" x14ac:dyDescent="0.25">
      <c r="A4103" t="s">
        <v>3429</v>
      </c>
    </row>
    <row r="4104" spans="1:1" x14ac:dyDescent="0.25">
      <c r="A4104" t="s">
        <v>1790</v>
      </c>
    </row>
    <row r="4105" spans="1:1" x14ac:dyDescent="0.25">
      <c r="A4105" t="s">
        <v>3430</v>
      </c>
    </row>
    <row r="4106" spans="1:1" x14ac:dyDescent="0.25">
      <c r="A4106" t="s">
        <v>3431</v>
      </c>
    </row>
    <row r="4107" spans="1:1" x14ac:dyDescent="0.25">
      <c r="A4107" t="s">
        <v>1876</v>
      </c>
    </row>
    <row r="4108" spans="1:1" x14ac:dyDescent="0.25">
      <c r="A4108" t="s">
        <v>1904</v>
      </c>
    </row>
    <row r="4109" spans="1:1" x14ac:dyDescent="0.25">
      <c r="A4109" t="s">
        <v>3637</v>
      </c>
    </row>
    <row r="4110" spans="1:1" x14ac:dyDescent="0.25">
      <c r="A4110" t="s">
        <v>3638</v>
      </c>
    </row>
    <row r="4111" spans="1:1" x14ac:dyDescent="0.25">
      <c r="A4111" t="s">
        <v>3639</v>
      </c>
    </row>
    <row r="4112" spans="1:1" x14ac:dyDescent="0.25">
      <c r="A4112" t="s">
        <v>3468</v>
      </c>
    </row>
    <row r="4113" spans="1:1" x14ac:dyDescent="0.25">
      <c r="A4113" t="s">
        <v>3640</v>
      </c>
    </row>
    <row r="4114" spans="1:1" x14ac:dyDescent="0.25">
      <c r="A4114" t="s">
        <v>3641</v>
      </c>
    </row>
    <row r="4115" spans="1:1" x14ac:dyDescent="0.25">
      <c r="A4115" t="s">
        <v>3642</v>
      </c>
    </row>
    <row r="4116" spans="1:1" x14ac:dyDescent="0.25">
      <c r="A4116" t="s">
        <v>2519</v>
      </c>
    </row>
    <row r="4118" spans="1:1" x14ac:dyDescent="0.25">
      <c r="A4118" t="s">
        <v>2520</v>
      </c>
    </row>
    <row r="4120" spans="1:1" x14ac:dyDescent="0.25">
      <c r="A4120" t="s">
        <v>2459</v>
      </c>
    </row>
    <row r="4121" spans="1:1" x14ac:dyDescent="0.25">
      <c r="A4121" t="s">
        <v>3703</v>
      </c>
    </row>
    <row r="4122" spans="1:1" x14ac:dyDescent="0.25">
      <c r="A4122" t="s">
        <v>3414</v>
      </c>
    </row>
    <row r="4123" spans="1:1" x14ac:dyDescent="0.25">
      <c r="A4123" t="s">
        <v>3644</v>
      </c>
    </row>
    <row r="4124" spans="1:1" x14ac:dyDescent="0.25">
      <c r="A4124" t="s">
        <v>3429</v>
      </c>
    </row>
    <row r="4125" spans="1:1" x14ac:dyDescent="0.25">
      <c r="A4125" t="s">
        <v>1790</v>
      </c>
    </row>
    <row r="4126" spans="1:1" x14ac:dyDescent="0.25">
      <c r="A4126" t="s">
        <v>3646</v>
      </c>
    </row>
    <row r="4127" spans="1:1" x14ac:dyDescent="0.25">
      <c r="A4127" t="s">
        <v>3647</v>
      </c>
    </row>
    <row r="4128" spans="1:1" x14ac:dyDescent="0.25">
      <c r="A4128" t="s">
        <v>1876</v>
      </c>
    </row>
    <row r="4129" spans="1:1" x14ac:dyDescent="0.25">
      <c r="A4129" t="s">
        <v>1904</v>
      </c>
    </row>
    <row r="4130" spans="1:1" x14ac:dyDescent="0.25">
      <c r="A4130" t="s">
        <v>3645</v>
      </c>
    </row>
    <row r="4131" spans="1:1" x14ac:dyDescent="0.25">
      <c r="A4131" t="s">
        <v>3648</v>
      </c>
    </row>
    <row r="4132" spans="1:1" x14ac:dyDescent="0.25">
      <c r="A4132" t="s">
        <v>3649</v>
      </c>
    </row>
    <row r="4133" spans="1:1" x14ac:dyDescent="0.25">
      <c r="A4133" t="s">
        <v>3650</v>
      </c>
    </row>
    <row r="4134" spans="1:1" x14ac:dyDescent="0.25">
      <c r="A4134" t="s">
        <v>3651</v>
      </c>
    </row>
    <row r="4135" spans="1:1" x14ac:dyDescent="0.25">
      <c r="A4135" t="s">
        <v>3652</v>
      </c>
    </row>
    <row r="4136" spans="1:1" x14ac:dyDescent="0.25">
      <c r="A4136" t="s">
        <v>3653</v>
      </c>
    </row>
    <row r="4137" spans="1:1" x14ac:dyDescent="0.25">
      <c r="A4137" t="s">
        <v>3654</v>
      </c>
    </row>
    <row r="4138" spans="1:1" x14ac:dyDescent="0.25">
      <c r="A4138" t="s">
        <v>2519</v>
      </c>
    </row>
    <row r="4140" spans="1:1" x14ac:dyDescent="0.25">
      <c r="A4140" t="s">
        <v>2520</v>
      </c>
    </row>
    <row r="4142" spans="1:1" x14ac:dyDescent="0.25">
      <c r="A4142" t="s">
        <v>2459</v>
      </c>
    </row>
    <row r="4143" spans="1:1" x14ac:dyDescent="0.25">
      <c r="A4143" t="s">
        <v>3704</v>
      </c>
    </row>
    <row r="4144" spans="1:1" x14ac:dyDescent="0.25">
      <c r="A4144" t="s">
        <v>2463</v>
      </c>
    </row>
    <row r="4145" spans="1:1" x14ac:dyDescent="0.25">
      <c r="A4145" t="s">
        <v>3580</v>
      </c>
    </row>
    <row r="4146" spans="1:1" x14ac:dyDescent="0.25">
      <c r="A4146" t="s">
        <v>3581</v>
      </c>
    </row>
    <row r="4147" spans="1:1" x14ac:dyDescent="0.25">
      <c r="A4147" t="s">
        <v>3426</v>
      </c>
    </row>
    <row r="4148" spans="1:1" x14ac:dyDescent="0.25">
      <c r="A4148" t="s">
        <v>3705</v>
      </c>
    </row>
    <row r="4149" spans="1:1" x14ac:dyDescent="0.25">
      <c r="A4149" t="s">
        <v>3428</v>
      </c>
    </row>
    <row r="4151" spans="1:1" x14ac:dyDescent="0.25">
      <c r="A4151" t="s">
        <v>3429</v>
      </c>
    </row>
    <row r="4152" spans="1:1" x14ac:dyDescent="0.25">
      <c r="A4152" t="s">
        <v>1790</v>
      </c>
    </row>
    <row r="4153" spans="1:1" x14ac:dyDescent="0.25">
      <c r="A4153" t="s">
        <v>3430</v>
      </c>
    </row>
    <row r="4154" spans="1:1" x14ac:dyDescent="0.25">
      <c r="A4154" t="s">
        <v>3431</v>
      </c>
    </row>
    <row r="4155" spans="1:1" x14ac:dyDescent="0.25">
      <c r="A4155" t="s">
        <v>1876</v>
      </c>
    </row>
    <row r="4156" spans="1:1" x14ac:dyDescent="0.25">
      <c r="A4156" t="s">
        <v>1904</v>
      </c>
    </row>
    <row r="4157" spans="1:1" x14ac:dyDescent="0.25">
      <c r="A4157" t="s">
        <v>3706</v>
      </c>
    </row>
    <row r="4158" spans="1:1" x14ac:dyDescent="0.25">
      <c r="A4158" t="s">
        <v>3584</v>
      </c>
    </row>
    <row r="4159" spans="1:1" x14ac:dyDescent="0.25">
      <c r="A4159" t="s">
        <v>3707</v>
      </c>
    </row>
    <row r="4160" spans="1:1" x14ac:dyDescent="0.25">
      <c r="A4160" t="s">
        <v>3708</v>
      </c>
    </row>
    <row r="4161" spans="1:1" x14ac:dyDescent="0.25">
      <c r="A4161" t="s">
        <v>3709</v>
      </c>
    </row>
    <row r="4162" spans="1:1" x14ac:dyDescent="0.25">
      <c r="A4162" t="s">
        <v>3626</v>
      </c>
    </row>
    <row r="4163" spans="1:1" x14ac:dyDescent="0.25">
      <c r="A4163" t="s">
        <v>3440</v>
      </c>
    </row>
    <row r="4164" spans="1:1" x14ac:dyDescent="0.25">
      <c r="A4164" t="s">
        <v>3627</v>
      </c>
    </row>
    <row r="4165" spans="1:1" x14ac:dyDescent="0.25">
      <c r="A4165" t="s">
        <v>3628</v>
      </c>
    </row>
    <row r="4166" spans="1:1" x14ac:dyDescent="0.25">
      <c r="A4166" t="s">
        <v>3629</v>
      </c>
    </row>
    <row r="4167" spans="1:1" x14ac:dyDescent="0.25">
      <c r="A4167" t="s">
        <v>3444</v>
      </c>
    </row>
    <row r="4168" spans="1:1" x14ac:dyDescent="0.25">
      <c r="A4168" t="s">
        <v>3630</v>
      </c>
    </row>
    <row r="4169" spans="1:1" x14ac:dyDescent="0.25">
      <c r="A4169" t="s">
        <v>3631</v>
      </c>
    </row>
    <row r="4170" spans="1:1" x14ac:dyDescent="0.25">
      <c r="A4170" t="s">
        <v>2519</v>
      </c>
    </row>
    <row r="4172" spans="1:1" x14ac:dyDescent="0.25">
      <c r="A4172" t="s">
        <v>2520</v>
      </c>
    </row>
    <row r="4174" spans="1:1" x14ac:dyDescent="0.25">
      <c r="A4174" t="s">
        <v>3446</v>
      </c>
    </row>
    <row r="4175" spans="1:1" x14ac:dyDescent="0.25">
      <c r="A4175" t="s">
        <v>3710</v>
      </c>
    </row>
    <row r="4176" spans="1:1" x14ac:dyDescent="0.25">
      <c r="A4176" t="s">
        <v>3448</v>
      </c>
    </row>
    <row r="4178" spans="1:1" x14ac:dyDescent="0.25">
      <c r="A4178" t="s">
        <v>2520</v>
      </c>
    </row>
    <row r="4180" spans="1:1" x14ac:dyDescent="0.25">
      <c r="A4180" t="s">
        <v>2459</v>
      </c>
    </row>
    <row r="4181" spans="1:1" x14ac:dyDescent="0.25">
      <c r="A4181" t="s">
        <v>3711</v>
      </c>
    </row>
    <row r="4182" spans="1:1" x14ac:dyDescent="0.25">
      <c r="A4182" t="s">
        <v>3712</v>
      </c>
    </row>
    <row r="4183" spans="1:1" x14ac:dyDescent="0.25">
      <c r="A4183" t="s">
        <v>3598</v>
      </c>
    </row>
    <row r="4184" spans="1:1" x14ac:dyDescent="0.25">
      <c r="A4184" t="s">
        <v>3599</v>
      </c>
    </row>
    <row r="4185" spans="1:1" x14ac:dyDescent="0.25">
      <c r="A4185" t="s">
        <v>3600</v>
      </c>
    </row>
    <row r="4186" spans="1:1" x14ac:dyDescent="0.25">
      <c r="A4186" t="s">
        <v>3601</v>
      </c>
    </row>
    <row r="4187" spans="1:1" x14ac:dyDescent="0.25">
      <c r="A4187" t="s">
        <v>3602</v>
      </c>
    </row>
    <row r="4188" spans="1:1" x14ac:dyDescent="0.25">
      <c r="A4188" t="s">
        <v>2519</v>
      </c>
    </row>
    <row r="4190" spans="1:1" x14ac:dyDescent="0.25">
      <c r="A4190" t="s">
        <v>2520</v>
      </c>
    </row>
    <row r="4192" spans="1:1" x14ac:dyDescent="0.25">
      <c r="A4192" t="s">
        <v>2459</v>
      </c>
    </row>
    <row r="4193" spans="1:1" x14ac:dyDescent="0.25">
      <c r="A4193" t="s">
        <v>3713</v>
      </c>
    </row>
    <row r="4194" spans="1:1" x14ac:dyDescent="0.25">
      <c r="A4194" t="s">
        <v>3714</v>
      </c>
    </row>
    <row r="4195" spans="1:1" x14ac:dyDescent="0.25">
      <c r="A4195" t="s">
        <v>3715</v>
      </c>
    </row>
    <row r="4196" spans="1:1" x14ac:dyDescent="0.25">
      <c r="A4196" t="s">
        <v>3716</v>
      </c>
    </row>
    <row r="4197" spans="1:1" x14ac:dyDescent="0.25">
      <c r="A4197" t="s">
        <v>3600</v>
      </c>
    </row>
    <row r="4198" spans="1:1" x14ac:dyDescent="0.25">
      <c r="A4198" t="s">
        <v>3601</v>
      </c>
    </row>
    <row r="4199" spans="1:1" x14ac:dyDescent="0.25">
      <c r="A4199" t="s">
        <v>3602</v>
      </c>
    </row>
    <row r="4200" spans="1:1" x14ac:dyDescent="0.25">
      <c r="A4200" t="s">
        <v>2519</v>
      </c>
    </row>
    <row r="4202" spans="1:1" x14ac:dyDescent="0.25">
      <c r="A4202" t="s">
        <v>2520</v>
      </c>
    </row>
    <row r="4203" spans="1:1" x14ac:dyDescent="0.25">
      <c r="A4203" t="s">
        <v>2521</v>
      </c>
    </row>
    <row r="4204" spans="1:1" x14ac:dyDescent="0.25">
      <c r="A4204" t="s">
        <v>3717</v>
      </c>
    </row>
    <row r="4206" spans="1:1" x14ac:dyDescent="0.25">
      <c r="A4206" t="s">
        <v>2440</v>
      </c>
    </row>
    <row r="4208" spans="1:1" x14ac:dyDescent="0.25">
      <c r="A4208" t="s">
        <v>3718</v>
      </c>
    </row>
    <row r="4210" spans="1:1" x14ac:dyDescent="0.25">
      <c r="A4210" t="s">
        <v>2440</v>
      </c>
    </row>
    <row r="4212" spans="1:1" x14ac:dyDescent="0.25">
      <c r="A4212" t="s">
        <v>3719</v>
      </c>
    </row>
    <row r="4213" spans="1:1" x14ac:dyDescent="0.25">
      <c r="A4213" t="s">
        <v>3356</v>
      </c>
    </row>
    <row r="4214" spans="1:1" x14ac:dyDescent="0.25">
      <c r="A4214" t="s">
        <v>3720</v>
      </c>
    </row>
    <row r="4215" spans="1:1" x14ac:dyDescent="0.25">
      <c r="A4215" t="s">
        <v>3721</v>
      </c>
    </row>
    <row r="4216" spans="1:1" x14ac:dyDescent="0.25">
      <c r="A4216" t="s">
        <v>1942</v>
      </c>
    </row>
    <row r="4218" spans="1:1" x14ac:dyDescent="0.25">
      <c r="A4218" t="s">
        <v>2440</v>
      </c>
    </row>
    <row r="4220" spans="1:1" x14ac:dyDescent="0.25">
      <c r="A4220" t="s">
        <v>2682</v>
      </c>
    </row>
    <row r="4221" spans="1:1" x14ac:dyDescent="0.25">
      <c r="A4221" t="s">
        <v>3722</v>
      </c>
    </row>
    <row r="4222" spans="1:1" x14ac:dyDescent="0.25">
      <c r="A4222" t="s">
        <v>3723</v>
      </c>
    </row>
    <row r="4223" spans="1:1" x14ac:dyDescent="0.25">
      <c r="A4223" t="s">
        <v>2446</v>
      </c>
    </row>
    <row r="4224" spans="1:1" x14ac:dyDescent="0.25">
      <c r="A4224" t="s">
        <v>3360</v>
      </c>
    </row>
    <row r="4225" spans="1:1" x14ac:dyDescent="0.25">
      <c r="A4225" t="s">
        <v>3361</v>
      </c>
    </row>
    <row r="4226" spans="1:1" x14ac:dyDescent="0.25">
      <c r="A4226" t="s">
        <v>3724</v>
      </c>
    </row>
    <row r="4227" spans="1:1" x14ac:dyDescent="0.25">
      <c r="A4227" t="s">
        <v>3725</v>
      </c>
    </row>
    <row r="4228" spans="1:1" x14ac:dyDescent="0.25">
      <c r="A4228" t="s">
        <v>2686</v>
      </c>
    </row>
    <row r="4230" spans="1:1" x14ac:dyDescent="0.25">
      <c r="A4230" t="s">
        <v>2440</v>
      </c>
    </row>
    <row r="4232" spans="1:1" x14ac:dyDescent="0.25">
      <c r="A4232" t="s">
        <v>2682</v>
      </c>
    </row>
    <row r="4233" spans="1:1" x14ac:dyDescent="0.25">
      <c r="A4233" t="s">
        <v>3726</v>
      </c>
    </row>
    <row r="4234" spans="1:1" x14ac:dyDescent="0.25">
      <c r="A4234" t="s">
        <v>3727</v>
      </c>
    </row>
    <row r="4235" spans="1:1" x14ac:dyDescent="0.25">
      <c r="A4235" t="s">
        <v>2684</v>
      </c>
    </row>
    <row r="4236" spans="1:1" x14ac:dyDescent="0.25">
      <c r="A4236" t="s">
        <v>3376</v>
      </c>
    </row>
    <row r="4237" spans="1:1" x14ac:dyDescent="0.25">
      <c r="A4237" t="s">
        <v>3728</v>
      </c>
    </row>
    <row r="4238" spans="1:1" x14ac:dyDescent="0.25">
      <c r="A4238" t="s">
        <v>3345</v>
      </c>
    </row>
    <row r="4239" spans="1:1" x14ac:dyDescent="0.25">
      <c r="A4239" t="s">
        <v>3729</v>
      </c>
    </row>
    <row r="4240" spans="1:1" x14ac:dyDescent="0.25">
      <c r="A4240" t="s">
        <v>3347</v>
      </c>
    </row>
    <row r="4242" spans="1:1" x14ac:dyDescent="0.25">
      <c r="A4242" t="s">
        <v>3730</v>
      </c>
    </row>
    <row r="4243" spans="1:1" x14ac:dyDescent="0.25">
      <c r="A4243" t="s">
        <v>3731</v>
      </c>
    </row>
    <row r="4244" spans="1:1" x14ac:dyDescent="0.25">
      <c r="A4244" t="s">
        <v>3732</v>
      </c>
    </row>
    <row r="4245" spans="1:1" x14ac:dyDescent="0.25">
      <c r="A4245" t="s">
        <v>3733</v>
      </c>
    </row>
    <row r="4246" spans="1:1" x14ac:dyDescent="0.25">
      <c r="A4246" t="s">
        <v>3734</v>
      </c>
    </row>
    <row r="4247" spans="1:1" x14ac:dyDescent="0.25">
      <c r="A4247" t="s">
        <v>3735</v>
      </c>
    </row>
    <row r="4248" spans="1:1" x14ac:dyDescent="0.25">
      <c r="A4248" t="s">
        <v>3736</v>
      </c>
    </row>
    <row r="4249" spans="1:1" x14ac:dyDescent="0.25">
      <c r="A4249" t="s">
        <v>3737</v>
      </c>
    </row>
    <row r="4250" spans="1:1" x14ac:dyDescent="0.25">
      <c r="A4250" t="s">
        <v>3738</v>
      </c>
    </row>
    <row r="4251" spans="1:1" x14ac:dyDescent="0.25">
      <c r="A4251" t="s">
        <v>3739</v>
      </c>
    </row>
    <row r="4252" spans="1:1" x14ac:dyDescent="0.25">
      <c r="A4252" t="s">
        <v>3740</v>
      </c>
    </row>
    <row r="4253" spans="1:1" x14ac:dyDescent="0.25">
      <c r="A4253" t="s">
        <v>3741</v>
      </c>
    </row>
    <row r="4254" spans="1:1" x14ac:dyDescent="0.25">
      <c r="A4254" t="s">
        <v>3742</v>
      </c>
    </row>
    <row r="4255" spans="1:1" x14ac:dyDescent="0.25">
      <c r="A4255" t="s">
        <v>3743</v>
      </c>
    </row>
    <row r="4256" spans="1:1" x14ac:dyDescent="0.25">
      <c r="A4256" t="s">
        <v>3744</v>
      </c>
    </row>
    <row r="4257" spans="1:1" x14ac:dyDescent="0.25">
      <c r="A4257" t="s">
        <v>3745</v>
      </c>
    </row>
    <row r="4258" spans="1:1" x14ac:dyDescent="0.25">
      <c r="A4258" t="s">
        <v>3746</v>
      </c>
    </row>
    <row r="4259" spans="1:1" x14ac:dyDescent="0.25">
      <c r="A4259" t="s">
        <v>3747</v>
      </c>
    </row>
    <row r="4260" spans="1:1" x14ac:dyDescent="0.25">
      <c r="A4260" t="s">
        <v>3748</v>
      </c>
    </row>
    <row r="4261" spans="1:1" x14ac:dyDescent="0.25">
      <c r="A4261" t="s">
        <v>3749</v>
      </c>
    </row>
    <row r="4262" spans="1:1" x14ac:dyDescent="0.25">
      <c r="A4262" t="s">
        <v>3750</v>
      </c>
    </row>
    <row r="4263" spans="1:1" x14ac:dyDescent="0.25">
      <c r="A4263" t="s">
        <v>3751</v>
      </c>
    </row>
    <row r="4264" spans="1:1" x14ac:dyDescent="0.25">
      <c r="A4264" t="s">
        <v>3752</v>
      </c>
    </row>
    <row r="4265" spans="1:1" x14ac:dyDescent="0.25">
      <c r="A4265" t="s">
        <v>3753</v>
      </c>
    </row>
    <row r="4266" spans="1:1" x14ac:dyDescent="0.25">
      <c r="A4266" t="s">
        <v>3754</v>
      </c>
    </row>
    <row r="4267" spans="1:1" x14ac:dyDescent="0.25">
      <c r="A4267" t="s">
        <v>3755</v>
      </c>
    </row>
    <row r="4268" spans="1:1" x14ac:dyDescent="0.25">
      <c r="A4268" t="s">
        <v>3756</v>
      </c>
    </row>
    <row r="4269" spans="1:1" x14ac:dyDescent="0.25">
      <c r="A4269" t="s">
        <v>3757</v>
      </c>
    </row>
    <row r="4270" spans="1:1" x14ac:dyDescent="0.25">
      <c r="A4270" t="s">
        <v>3758</v>
      </c>
    </row>
    <row r="4271" spans="1:1" x14ac:dyDescent="0.25">
      <c r="A4271" t="s">
        <v>2686</v>
      </c>
    </row>
    <row r="4273" spans="1:1" x14ac:dyDescent="0.25">
      <c r="A4273" t="s">
        <v>2440</v>
      </c>
    </row>
    <row r="4275" spans="1:1" x14ac:dyDescent="0.25">
      <c r="A4275" t="s">
        <v>3759</v>
      </c>
    </row>
    <row r="4276" spans="1:1" x14ac:dyDescent="0.25">
      <c r="A4276" t="s">
        <v>3760</v>
      </c>
    </row>
    <row r="4277" spans="1:1" x14ac:dyDescent="0.25">
      <c r="A4277" t="s">
        <v>1942</v>
      </c>
    </row>
    <row r="4279" spans="1:1" x14ac:dyDescent="0.25">
      <c r="A4279" t="s">
        <v>2440</v>
      </c>
    </row>
    <row r="4281" spans="1:1" x14ac:dyDescent="0.25">
      <c r="A4281" t="s">
        <v>2682</v>
      </c>
    </row>
    <row r="4282" spans="1:1" x14ac:dyDescent="0.25">
      <c r="A4282" t="s">
        <v>3761</v>
      </c>
    </row>
    <row r="4283" spans="1:1" x14ac:dyDescent="0.25">
      <c r="A4283" t="s">
        <v>3762</v>
      </c>
    </row>
    <row r="4284" spans="1:1" x14ac:dyDescent="0.25">
      <c r="A4284" t="s">
        <v>2684</v>
      </c>
    </row>
    <row r="4285" spans="1:1" x14ac:dyDescent="0.25">
      <c r="A4285" t="s">
        <v>3376</v>
      </c>
    </row>
    <row r="4286" spans="1:1" x14ac:dyDescent="0.25">
      <c r="A4286" t="s">
        <v>3763</v>
      </c>
    </row>
    <row r="4287" spans="1:1" x14ac:dyDescent="0.25">
      <c r="A4287" t="s">
        <v>3345</v>
      </c>
    </row>
    <row r="4288" spans="1:1" x14ac:dyDescent="0.25">
      <c r="A4288" t="s">
        <v>3764</v>
      </c>
    </row>
    <row r="4289" spans="1:1" x14ac:dyDescent="0.25">
      <c r="A4289" t="s">
        <v>3347</v>
      </c>
    </row>
    <row r="4291" spans="1:1" x14ac:dyDescent="0.25">
      <c r="A4291" t="s">
        <v>3765</v>
      </c>
    </row>
    <row r="4292" spans="1:1" x14ac:dyDescent="0.25">
      <c r="A4292" t="s">
        <v>3766</v>
      </c>
    </row>
    <row r="4293" spans="1:1" x14ac:dyDescent="0.25">
      <c r="A4293" t="s">
        <v>3767</v>
      </c>
    </row>
    <row r="4294" spans="1:1" x14ac:dyDescent="0.25">
      <c r="A4294" t="s">
        <v>3768</v>
      </c>
    </row>
    <row r="4295" spans="1:1" x14ac:dyDescent="0.25">
      <c r="A4295" t="s">
        <v>3769</v>
      </c>
    </row>
    <row r="4296" spans="1:1" x14ac:dyDescent="0.25">
      <c r="A4296" t="s">
        <v>3770</v>
      </c>
    </row>
    <row r="4297" spans="1:1" x14ac:dyDescent="0.25">
      <c r="A4297" t="s">
        <v>3771</v>
      </c>
    </row>
    <row r="4298" spans="1:1" x14ac:dyDescent="0.25">
      <c r="A4298" t="s">
        <v>3772</v>
      </c>
    </row>
    <row r="4299" spans="1:1" x14ac:dyDescent="0.25">
      <c r="A4299" t="s">
        <v>3773</v>
      </c>
    </row>
    <row r="4300" spans="1:1" x14ac:dyDescent="0.25">
      <c r="A4300" t="s">
        <v>3774</v>
      </c>
    </row>
    <row r="4301" spans="1:1" x14ac:dyDescent="0.25">
      <c r="A4301" t="s">
        <v>3775</v>
      </c>
    </row>
    <row r="4302" spans="1:1" x14ac:dyDescent="0.25">
      <c r="A4302" t="s">
        <v>3776</v>
      </c>
    </row>
    <row r="4303" spans="1:1" x14ac:dyDescent="0.25">
      <c r="A4303" t="s">
        <v>3777</v>
      </c>
    </row>
    <row r="4304" spans="1:1" x14ac:dyDescent="0.25">
      <c r="A4304" t="s">
        <v>3778</v>
      </c>
    </row>
    <row r="4305" spans="1:1" x14ac:dyDescent="0.25">
      <c r="A4305" t="s">
        <v>3779</v>
      </c>
    </row>
    <row r="4306" spans="1:1" x14ac:dyDescent="0.25">
      <c r="A4306" t="s">
        <v>3753</v>
      </c>
    </row>
    <row r="4307" spans="1:1" x14ac:dyDescent="0.25">
      <c r="A4307" t="s">
        <v>3754</v>
      </c>
    </row>
    <row r="4308" spans="1:1" x14ac:dyDescent="0.25">
      <c r="A4308" t="s">
        <v>3755</v>
      </c>
    </row>
    <row r="4309" spans="1:1" x14ac:dyDescent="0.25">
      <c r="A4309" t="s">
        <v>3756</v>
      </c>
    </row>
    <row r="4310" spans="1:1" x14ac:dyDescent="0.25">
      <c r="A4310" t="s">
        <v>3757</v>
      </c>
    </row>
    <row r="4311" spans="1:1" x14ac:dyDescent="0.25">
      <c r="A4311" t="s">
        <v>3395</v>
      </c>
    </row>
    <row r="4312" spans="1:1" x14ac:dyDescent="0.25">
      <c r="A4312" t="s">
        <v>2686</v>
      </c>
    </row>
    <row r="4314" spans="1:1" x14ac:dyDescent="0.25">
      <c r="A4314" t="s">
        <v>2440</v>
      </c>
    </row>
    <row r="4316" spans="1:1" x14ac:dyDescent="0.25">
      <c r="A4316" t="s">
        <v>3780</v>
      </c>
    </row>
    <row r="4317" spans="1:1" x14ac:dyDescent="0.25">
      <c r="A4317" t="s">
        <v>3781</v>
      </c>
    </row>
    <row r="4318" spans="1:1" x14ac:dyDescent="0.25">
      <c r="A4318" t="s">
        <v>1942</v>
      </c>
    </row>
    <row r="4320" spans="1:1" x14ac:dyDescent="0.25">
      <c r="A4320" t="s">
        <v>2440</v>
      </c>
    </row>
    <row r="4322" spans="1:1" x14ac:dyDescent="0.25">
      <c r="A4322" t="s">
        <v>3782</v>
      </c>
    </row>
    <row r="4324" spans="1:1" x14ac:dyDescent="0.25">
      <c r="A4324" t="s">
        <v>2440</v>
      </c>
    </row>
    <row r="4326" spans="1:1" x14ac:dyDescent="0.25">
      <c r="A4326" t="s">
        <v>2682</v>
      </c>
    </row>
    <row r="4327" spans="1:1" x14ac:dyDescent="0.25">
      <c r="A4327" t="s">
        <v>3783</v>
      </c>
    </row>
    <row r="4328" spans="1:1" x14ac:dyDescent="0.25">
      <c r="A4328" t="s">
        <v>3784</v>
      </c>
    </row>
    <row r="4329" spans="1:1" x14ac:dyDescent="0.25">
      <c r="A4329" t="s">
        <v>3785</v>
      </c>
    </row>
    <row r="4330" spans="1:1" x14ac:dyDescent="0.25">
      <c r="A4330" t="s">
        <v>3786</v>
      </c>
    </row>
    <row r="4331" spans="1:1" x14ac:dyDescent="0.25">
      <c r="A4331" t="s">
        <v>3787</v>
      </c>
    </row>
    <row r="4332" spans="1:1" x14ac:dyDescent="0.25">
      <c r="A4332" t="s">
        <v>3788</v>
      </c>
    </row>
    <row r="4333" spans="1:1" x14ac:dyDescent="0.25">
      <c r="A4333" t="s">
        <v>2686</v>
      </c>
    </row>
    <row r="4335" spans="1:1" x14ac:dyDescent="0.25">
      <c r="A4335" t="s">
        <v>2440</v>
      </c>
    </row>
    <row r="4337" spans="1:1" x14ac:dyDescent="0.25">
      <c r="A4337" t="s">
        <v>3789</v>
      </c>
    </row>
    <row r="4338" spans="1:1" x14ac:dyDescent="0.25">
      <c r="A4338" t="s">
        <v>3790</v>
      </c>
    </row>
    <row r="4339" spans="1:1" x14ac:dyDescent="0.25">
      <c r="A4339" t="s">
        <v>3791</v>
      </c>
    </row>
    <row r="4340" spans="1:1" x14ac:dyDescent="0.25">
      <c r="A4340" t="s">
        <v>3792</v>
      </c>
    </row>
    <row r="4341" spans="1:1" x14ac:dyDescent="0.25">
      <c r="A4341" t="s">
        <v>3793</v>
      </c>
    </row>
    <row r="4342" spans="1:1" x14ac:dyDescent="0.25">
      <c r="A4342" t="s">
        <v>3794</v>
      </c>
    </row>
    <row r="4343" spans="1:1" x14ac:dyDescent="0.25">
      <c r="A4343" t="s">
        <v>3795</v>
      </c>
    </row>
    <row r="4344" spans="1:1" x14ac:dyDescent="0.25">
      <c r="A4344" t="s">
        <v>3796</v>
      </c>
    </row>
    <row r="4345" spans="1:1" x14ac:dyDescent="0.25">
      <c r="A4345" t="s">
        <v>3797</v>
      </c>
    </row>
    <row r="4346" spans="1:1" x14ac:dyDescent="0.25">
      <c r="A4346" t="s">
        <v>3798</v>
      </c>
    </row>
    <row r="4347" spans="1:1" x14ac:dyDescent="0.25">
      <c r="A4347" t="s">
        <v>3799</v>
      </c>
    </row>
    <row r="4348" spans="1:1" x14ac:dyDescent="0.25">
      <c r="A4348" t="s">
        <v>3800</v>
      </c>
    </row>
    <row r="4349" spans="1:1" x14ac:dyDescent="0.25">
      <c r="A4349" t="s">
        <v>3801</v>
      </c>
    </row>
    <row r="4351" spans="1:1" x14ac:dyDescent="0.25">
      <c r="A4351" t="s">
        <v>2440</v>
      </c>
    </row>
    <row r="4353" spans="1:1" x14ac:dyDescent="0.25">
      <c r="A4353" t="s">
        <v>2682</v>
      </c>
    </row>
    <row r="4354" spans="1:1" x14ac:dyDescent="0.25">
      <c r="A4354" t="s">
        <v>3802</v>
      </c>
    </row>
    <row r="4355" spans="1:1" x14ac:dyDescent="0.25">
      <c r="A4355" t="s">
        <v>3803</v>
      </c>
    </row>
    <row r="4356" spans="1:1" x14ac:dyDescent="0.25">
      <c r="A4356" t="s">
        <v>3804</v>
      </c>
    </row>
    <row r="4357" spans="1:1" x14ac:dyDescent="0.25">
      <c r="A4357" t="s">
        <v>3805</v>
      </c>
    </row>
    <row r="4358" spans="1:1" x14ac:dyDescent="0.25">
      <c r="A4358" t="s">
        <v>3806</v>
      </c>
    </row>
    <row r="4359" spans="1:1" x14ac:dyDescent="0.25">
      <c r="A4359" t="s">
        <v>3807</v>
      </c>
    </row>
    <row r="4360" spans="1:1" x14ac:dyDescent="0.25">
      <c r="A4360" t="s">
        <v>3808</v>
      </c>
    </row>
    <row r="4361" spans="1:1" x14ac:dyDescent="0.25">
      <c r="A4361" t="s">
        <v>3809</v>
      </c>
    </row>
    <row r="4362" spans="1:1" x14ac:dyDescent="0.25">
      <c r="A4362" t="s">
        <v>2686</v>
      </c>
    </row>
    <row r="4364" spans="1:1" x14ac:dyDescent="0.25">
      <c r="A4364" t="s">
        <v>2440</v>
      </c>
    </row>
    <row r="4366" spans="1:1" x14ac:dyDescent="0.25">
      <c r="A4366" t="s">
        <v>3789</v>
      </c>
    </row>
    <row r="4367" spans="1:1" x14ac:dyDescent="0.25">
      <c r="A4367" t="s">
        <v>3810</v>
      </c>
    </row>
    <row r="4368" spans="1:1" x14ac:dyDescent="0.25">
      <c r="A4368" t="s">
        <v>3811</v>
      </c>
    </row>
    <row r="4369" spans="1:1" x14ac:dyDescent="0.25">
      <c r="A4369" t="s">
        <v>3792</v>
      </c>
    </row>
    <row r="4370" spans="1:1" x14ac:dyDescent="0.25">
      <c r="A4370" t="s">
        <v>3812</v>
      </c>
    </row>
    <row r="4371" spans="1:1" x14ac:dyDescent="0.25">
      <c r="A4371" t="s">
        <v>3794</v>
      </c>
    </row>
    <row r="4372" spans="1:1" x14ac:dyDescent="0.25">
      <c r="A4372" t="s">
        <v>3813</v>
      </c>
    </row>
    <row r="4373" spans="1:1" x14ac:dyDescent="0.25">
      <c r="A4373" t="s">
        <v>3814</v>
      </c>
    </row>
    <row r="4374" spans="1:1" x14ac:dyDescent="0.25">
      <c r="A4374" t="s">
        <v>3815</v>
      </c>
    </row>
    <row r="4375" spans="1:1" x14ac:dyDescent="0.25">
      <c r="A4375" t="s">
        <v>3816</v>
      </c>
    </row>
    <row r="4376" spans="1:1" x14ac:dyDescent="0.25">
      <c r="A4376" t="s">
        <v>3817</v>
      </c>
    </row>
    <row r="4377" spans="1:1" x14ac:dyDescent="0.25">
      <c r="A4377" t="s">
        <v>3801</v>
      </c>
    </row>
    <row r="4379" spans="1:1" x14ac:dyDescent="0.25">
      <c r="A4379" t="s">
        <v>2440</v>
      </c>
    </row>
    <row r="4381" spans="1:1" x14ac:dyDescent="0.25">
      <c r="A4381" t="s">
        <v>2682</v>
      </c>
    </row>
    <row r="4382" spans="1:1" x14ac:dyDescent="0.25">
      <c r="A4382" t="s">
        <v>3818</v>
      </c>
    </row>
    <row r="4383" spans="1:1" x14ac:dyDescent="0.25">
      <c r="A4383" t="s">
        <v>3811</v>
      </c>
    </row>
    <row r="4384" spans="1:1" x14ac:dyDescent="0.25">
      <c r="A4384" t="s">
        <v>3819</v>
      </c>
    </row>
    <row r="4385" spans="1:1" x14ac:dyDescent="0.25">
      <c r="A4385" t="s">
        <v>3820</v>
      </c>
    </row>
    <row r="4386" spans="1:1" x14ac:dyDescent="0.25">
      <c r="A4386" t="s">
        <v>3345</v>
      </c>
    </row>
    <row r="4387" spans="1:1" x14ac:dyDescent="0.25">
      <c r="A4387" t="s">
        <v>3821</v>
      </c>
    </row>
    <row r="4388" spans="1:1" x14ac:dyDescent="0.25">
      <c r="A4388" t="s">
        <v>3347</v>
      </c>
    </row>
    <row r="4390" spans="1:1" x14ac:dyDescent="0.25">
      <c r="A4390" t="s">
        <v>3822</v>
      </c>
    </row>
    <row r="4391" spans="1:1" x14ac:dyDescent="0.25">
      <c r="A4391" t="s">
        <v>3823</v>
      </c>
    </row>
    <row r="4392" spans="1:1" x14ac:dyDescent="0.25">
      <c r="A4392" t="s">
        <v>3824</v>
      </c>
    </row>
    <row r="4393" spans="1:1" x14ac:dyDescent="0.25">
      <c r="A4393" t="s">
        <v>3825</v>
      </c>
    </row>
    <row r="4394" spans="1:1" x14ac:dyDescent="0.25">
      <c r="A4394" t="s">
        <v>3826</v>
      </c>
    </row>
    <row r="4395" spans="1:1" x14ac:dyDescent="0.25">
      <c r="A4395" t="s">
        <v>3827</v>
      </c>
    </row>
    <row r="4396" spans="1:1" x14ac:dyDescent="0.25">
      <c r="A4396" t="s">
        <v>2686</v>
      </c>
    </row>
    <row r="4398" spans="1:1" x14ac:dyDescent="0.25">
      <c r="A4398" t="s">
        <v>2440</v>
      </c>
    </row>
    <row r="4400" spans="1:1" x14ac:dyDescent="0.25">
      <c r="A4400" t="s">
        <v>3828</v>
      </c>
    </row>
    <row r="4401" spans="1:1" x14ac:dyDescent="0.25">
      <c r="A4401" t="s">
        <v>3829</v>
      </c>
    </row>
    <row r="4402" spans="1:1" x14ac:dyDescent="0.25">
      <c r="A4402" t="s">
        <v>1942</v>
      </c>
    </row>
    <row r="4404" spans="1:1" x14ac:dyDescent="0.25">
      <c r="A4404" t="s">
        <v>2440</v>
      </c>
    </row>
    <row r="4406" spans="1:1" x14ac:dyDescent="0.25">
      <c r="A4406" t="s">
        <v>2682</v>
      </c>
    </row>
    <row r="4407" spans="1:1" x14ac:dyDescent="0.25">
      <c r="A4407" t="s">
        <v>3830</v>
      </c>
    </row>
    <row r="4408" spans="1:1" x14ac:dyDescent="0.25">
      <c r="A4408" t="s">
        <v>2684</v>
      </c>
    </row>
    <row r="4409" spans="1:1" x14ac:dyDescent="0.25">
      <c r="A4409" t="s">
        <v>2664</v>
      </c>
    </row>
    <row r="4410" spans="1:1" x14ac:dyDescent="0.25">
      <c r="A4410" t="s">
        <v>2446</v>
      </c>
    </row>
    <row r="4411" spans="1:1" x14ac:dyDescent="0.25">
      <c r="A4411" t="s">
        <v>3831</v>
      </c>
    </row>
    <row r="4412" spans="1:1" x14ac:dyDescent="0.25">
      <c r="A4412" t="s">
        <v>2448</v>
      </c>
    </row>
    <row r="4413" spans="1:1" x14ac:dyDescent="0.25">
      <c r="A4413" t="s">
        <v>3832</v>
      </c>
    </row>
    <row r="4414" spans="1:1" x14ac:dyDescent="0.25">
      <c r="A4414" t="s">
        <v>3833</v>
      </c>
    </row>
    <row r="4415" spans="1:1" x14ac:dyDescent="0.25">
      <c r="A4415" t="s">
        <v>3104</v>
      </c>
    </row>
    <row r="4416" spans="1:1" x14ac:dyDescent="0.25">
      <c r="A4416" t="s">
        <v>3834</v>
      </c>
    </row>
    <row r="4417" spans="1:1" x14ac:dyDescent="0.25">
      <c r="A4417" t="s">
        <v>3141</v>
      </c>
    </row>
    <row r="4418" spans="1:1" x14ac:dyDescent="0.25">
      <c r="A4418" t="s">
        <v>3835</v>
      </c>
    </row>
    <row r="4419" spans="1:1" x14ac:dyDescent="0.25">
      <c r="A4419" t="s">
        <v>3102</v>
      </c>
    </row>
    <row r="4420" spans="1:1" x14ac:dyDescent="0.25">
      <c r="A4420" t="s">
        <v>3836</v>
      </c>
    </row>
    <row r="4422" spans="1:1" x14ac:dyDescent="0.25">
      <c r="A4422" t="s">
        <v>1940</v>
      </c>
    </row>
    <row r="4423" spans="1:1" x14ac:dyDescent="0.25">
      <c r="A4423" t="s">
        <v>3837</v>
      </c>
    </row>
    <row r="4424" spans="1:1" x14ac:dyDescent="0.25">
      <c r="A4424" t="s">
        <v>2453</v>
      </c>
    </row>
    <row r="4426" spans="1:1" x14ac:dyDescent="0.25">
      <c r="A4426" t="s">
        <v>3838</v>
      </c>
    </row>
    <row r="4427" spans="1:1" x14ac:dyDescent="0.25">
      <c r="A4427" t="s">
        <v>3839</v>
      </c>
    </row>
    <row r="4428" spans="1:1" x14ac:dyDescent="0.25">
      <c r="A4428" t="s">
        <v>3840</v>
      </c>
    </row>
    <row r="4429" spans="1:1" x14ac:dyDescent="0.25">
      <c r="A4429" t="s">
        <v>3841</v>
      </c>
    </row>
    <row r="4430" spans="1:1" x14ac:dyDescent="0.25">
      <c r="A4430" t="s">
        <v>3842</v>
      </c>
    </row>
    <row r="4431" spans="1:1" x14ac:dyDescent="0.25">
      <c r="A4431" t="s">
        <v>2686</v>
      </c>
    </row>
    <row r="4433" spans="1:1" x14ac:dyDescent="0.25">
      <c r="A4433" t="s">
        <v>2440</v>
      </c>
    </row>
    <row r="4435" spans="1:1" x14ac:dyDescent="0.25">
      <c r="A4435" t="s">
        <v>2682</v>
      </c>
    </row>
    <row r="4436" spans="1:1" x14ac:dyDescent="0.25">
      <c r="A4436" t="s">
        <v>3843</v>
      </c>
    </row>
    <row r="4437" spans="1:1" x14ac:dyDescent="0.25">
      <c r="A4437" t="s">
        <v>3844</v>
      </c>
    </row>
    <row r="4438" spans="1:1" x14ac:dyDescent="0.25">
      <c r="A4438" t="s">
        <v>3845</v>
      </c>
    </row>
    <row r="4439" spans="1:1" x14ac:dyDescent="0.25">
      <c r="A4439" t="s">
        <v>3846</v>
      </c>
    </row>
    <row r="4440" spans="1:1" x14ac:dyDescent="0.25">
      <c r="A4440" t="s">
        <v>3847</v>
      </c>
    </row>
    <row r="4441" spans="1:1" x14ac:dyDescent="0.25">
      <c r="A4441" t="s">
        <v>3848</v>
      </c>
    </row>
    <row r="4442" spans="1:1" x14ac:dyDescent="0.25">
      <c r="A4442" t="s">
        <v>3849</v>
      </c>
    </row>
    <row r="4443" spans="1:1" x14ac:dyDescent="0.25">
      <c r="A4443" t="s">
        <v>2686</v>
      </c>
    </row>
    <row r="4445" spans="1:1" x14ac:dyDescent="0.25">
      <c r="A4445" t="s">
        <v>2440</v>
      </c>
    </row>
    <row r="4447" spans="1:1" x14ac:dyDescent="0.25">
      <c r="A4447" t="s">
        <v>2682</v>
      </c>
    </row>
    <row r="4448" spans="1:1" x14ac:dyDescent="0.25">
      <c r="A4448" t="s">
        <v>3850</v>
      </c>
    </row>
    <row r="4449" spans="1:1" x14ac:dyDescent="0.25">
      <c r="A4449" t="s">
        <v>3851</v>
      </c>
    </row>
    <row r="4450" spans="1:1" x14ac:dyDescent="0.25">
      <c r="A4450" t="s">
        <v>2684</v>
      </c>
    </row>
    <row r="4451" spans="1:1" x14ac:dyDescent="0.25">
      <c r="A4451" t="s">
        <v>2664</v>
      </c>
    </row>
    <row r="4452" spans="1:1" x14ac:dyDescent="0.25">
      <c r="A4452" t="s">
        <v>2446</v>
      </c>
    </row>
    <row r="4453" spans="1:1" x14ac:dyDescent="0.25">
      <c r="A4453" t="s">
        <v>3852</v>
      </c>
    </row>
    <row r="4454" spans="1:1" x14ac:dyDescent="0.25">
      <c r="A4454" t="s">
        <v>2448</v>
      </c>
    </row>
    <row r="4455" spans="1:1" x14ac:dyDescent="0.25">
      <c r="A4455" t="s">
        <v>3832</v>
      </c>
    </row>
    <row r="4456" spans="1:1" x14ac:dyDescent="0.25">
      <c r="A4456" t="s">
        <v>3853</v>
      </c>
    </row>
    <row r="4457" spans="1:1" x14ac:dyDescent="0.25">
      <c r="A4457" t="s">
        <v>1940</v>
      </c>
    </row>
    <row r="4458" spans="1:1" x14ac:dyDescent="0.25">
      <c r="A4458" t="s">
        <v>3854</v>
      </c>
    </row>
    <row r="4459" spans="1:1" x14ac:dyDescent="0.25">
      <c r="A4459" t="s">
        <v>2453</v>
      </c>
    </row>
    <row r="4461" spans="1:1" x14ac:dyDescent="0.25">
      <c r="A4461" t="s">
        <v>3855</v>
      </c>
    </row>
    <row r="4462" spans="1:1" x14ac:dyDescent="0.25">
      <c r="A4462" t="s">
        <v>3856</v>
      </c>
    </row>
    <row r="4463" spans="1:1" x14ac:dyDescent="0.25">
      <c r="A4463" t="s">
        <v>2686</v>
      </c>
    </row>
    <row r="4465" spans="1:1" x14ac:dyDescent="0.25">
      <c r="A4465" t="s">
        <v>2440</v>
      </c>
    </row>
    <row r="4467" spans="1:1" x14ac:dyDescent="0.25">
      <c r="A4467" t="s">
        <v>2682</v>
      </c>
    </row>
    <row r="4468" spans="1:1" x14ac:dyDescent="0.25">
      <c r="A4468" t="s">
        <v>3857</v>
      </c>
    </row>
    <row r="4469" spans="1:1" x14ac:dyDescent="0.25">
      <c r="A4469" t="s">
        <v>3851</v>
      </c>
    </row>
    <row r="4470" spans="1:1" x14ac:dyDescent="0.25">
      <c r="A4470" t="s">
        <v>3819</v>
      </c>
    </row>
    <row r="4471" spans="1:1" x14ac:dyDescent="0.25">
      <c r="A4471" t="s">
        <v>3858</v>
      </c>
    </row>
    <row r="4472" spans="1:1" x14ac:dyDescent="0.25">
      <c r="A4472" t="s">
        <v>3345</v>
      </c>
    </row>
    <row r="4473" spans="1:1" x14ac:dyDescent="0.25">
      <c r="A4473" t="s">
        <v>3859</v>
      </c>
    </row>
    <row r="4474" spans="1:1" x14ac:dyDescent="0.25">
      <c r="A4474" t="s">
        <v>3347</v>
      </c>
    </row>
    <row r="4476" spans="1:1" x14ac:dyDescent="0.25">
      <c r="A4476" t="s">
        <v>3860</v>
      </c>
    </row>
    <row r="4477" spans="1:1" x14ac:dyDescent="0.25">
      <c r="A4477" t="s">
        <v>3861</v>
      </c>
    </row>
    <row r="4478" spans="1:1" x14ac:dyDescent="0.25">
      <c r="A4478" t="s">
        <v>3862</v>
      </c>
    </row>
    <row r="4479" spans="1:1" x14ac:dyDescent="0.25">
      <c r="A4479" t="s">
        <v>3863</v>
      </c>
    </row>
    <row r="4480" spans="1:1" x14ac:dyDescent="0.25">
      <c r="A4480" t="s">
        <v>3864</v>
      </c>
    </row>
    <row r="4481" spans="1:1" x14ac:dyDescent="0.25">
      <c r="A4481" t="s">
        <v>3865</v>
      </c>
    </row>
    <row r="4482" spans="1:1" x14ac:dyDescent="0.25">
      <c r="A4482" t="s">
        <v>3866</v>
      </c>
    </row>
    <row r="4483" spans="1:1" x14ac:dyDescent="0.25">
      <c r="A4483" t="s">
        <v>3867</v>
      </c>
    </row>
    <row r="4484" spans="1:1" x14ac:dyDescent="0.25">
      <c r="A4484" t="s">
        <v>3868</v>
      </c>
    </row>
    <row r="4485" spans="1:1" x14ac:dyDescent="0.25">
      <c r="A4485" t="s">
        <v>3869</v>
      </c>
    </row>
    <row r="4486" spans="1:1" x14ac:dyDescent="0.25">
      <c r="A4486" t="s">
        <v>3870</v>
      </c>
    </row>
    <row r="4487" spans="1:1" x14ac:dyDescent="0.25">
      <c r="A4487" t="s">
        <v>3871</v>
      </c>
    </row>
    <row r="4488" spans="1:1" x14ac:dyDescent="0.25">
      <c r="A4488" t="s">
        <v>2686</v>
      </c>
    </row>
    <row r="4490" spans="1:1" x14ac:dyDescent="0.25">
      <c r="A4490" t="s">
        <v>2440</v>
      </c>
    </row>
    <row r="4492" spans="1:1" x14ac:dyDescent="0.25">
      <c r="A4492" t="s">
        <v>3872</v>
      </c>
    </row>
    <row r="4493" spans="1:1" x14ac:dyDescent="0.25">
      <c r="A4493" t="s">
        <v>3873</v>
      </c>
    </row>
    <row r="4494" spans="1:1" x14ac:dyDescent="0.25">
      <c r="A4494" t="s">
        <v>1942</v>
      </c>
    </row>
    <row r="4496" spans="1:1" x14ac:dyDescent="0.25">
      <c r="A4496" t="s">
        <v>2440</v>
      </c>
    </row>
    <row r="4498" spans="1:1" x14ac:dyDescent="0.25">
      <c r="A4498" t="s">
        <v>3874</v>
      </c>
    </row>
    <row r="4500" spans="1:1" x14ac:dyDescent="0.25">
      <c r="A4500" t="s">
        <v>2440</v>
      </c>
    </row>
    <row r="4502" spans="1:1" x14ac:dyDescent="0.25">
      <c r="A4502" t="s">
        <v>1934</v>
      </c>
    </row>
    <row r="4503" spans="1:1" x14ac:dyDescent="0.25">
      <c r="A4503" t="s">
        <v>3356</v>
      </c>
    </row>
    <row r="4504" spans="1:1" x14ac:dyDescent="0.25">
      <c r="A4504" t="s">
        <v>3875</v>
      </c>
    </row>
    <row r="4505" spans="1:1" x14ac:dyDescent="0.25">
      <c r="A4505" t="s">
        <v>3876</v>
      </c>
    </row>
    <row r="4506" spans="1:1" x14ac:dyDescent="0.25">
      <c r="A4506" t="s">
        <v>1942</v>
      </c>
    </row>
    <row r="4508" spans="1:1" x14ac:dyDescent="0.25">
      <c r="A4508" t="s">
        <v>2440</v>
      </c>
    </row>
    <row r="4510" spans="1:1" x14ac:dyDescent="0.25">
      <c r="A4510" t="s">
        <v>2682</v>
      </c>
    </row>
    <row r="4511" spans="1:1" x14ac:dyDescent="0.25">
      <c r="A4511" t="s">
        <v>3877</v>
      </c>
    </row>
    <row r="4512" spans="1:1" x14ac:dyDescent="0.25">
      <c r="A4512" t="s">
        <v>2446</v>
      </c>
    </row>
    <row r="4513" spans="1:1" x14ac:dyDescent="0.25">
      <c r="A4513" t="s">
        <v>3360</v>
      </c>
    </row>
    <row r="4514" spans="1:1" x14ac:dyDescent="0.25">
      <c r="A4514" t="s">
        <v>3361</v>
      </c>
    </row>
    <row r="4515" spans="1:1" x14ac:dyDescent="0.25">
      <c r="A4515" t="s">
        <v>3878</v>
      </c>
    </row>
    <row r="4516" spans="1:1" x14ac:dyDescent="0.25">
      <c r="A4516" t="s">
        <v>3879</v>
      </c>
    </row>
    <row r="4517" spans="1:1" x14ac:dyDescent="0.25">
      <c r="A4517" t="s">
        <v>2686</v>
      </c>
    </row>
    <row r="4519" spans="1:1" x14ac:dyDescent="0.25">
      <c r="A4519" t="s">
        <v>2440</v>
      </c>
    </row>
    <row r="4521" spans="1:1" x14ac:dyDescent="0.25">
      <c r="A4521" t="s">
        <v>3880</v>
      </c>
    </row>
    <row r="4522" spans="1:1" x14ac:dyDescent="0.25">
      <c r="A4522" t="s">
        <v>3881</v>
      </c>
    </row>
    <row r="4523" spans="1:1" x14ac:dyDescent="0.25">
      <c r="A4523" t="s">
        <v>3882</v>
      </c>
    </row>
    <row r="4524" spans="1:1" x14ac:dyDescent="0.25">
      <c r="A4524" t="s">
        <v>3883</v>
      </c>
    </row>
    <row r="4525" spans="1:1" x14ac:dyDescent="0.25">
      <c r="A4525" t="s">
        <v>3884</v>
      </c>
    </row>
    <row r="4526" spans="1:1" x14ac:dyDescent="0.25">
      <c r="A4526" t="s">
        <v>3885</v>
      </c>
    </row>
    <row r="4527" spans="1:1" x14ac:dyDescent="0.25">
      <c r="A4527" t="s">
        <v>3886</v>
      </c>
    </row>
    <row r="4528" spans="1:1" x14ac:dyDescent="0.25">
      <c r="A4528" t="s">
        <v>3887</v>
      </c>
    </row>
    <row r="4529" spans="1:1" x14ac:dyDescent="0.25">
      <c r="A4529" t="s">
        <v>3888</v>
      </c>
    </row>
    <row r="4530" spans="1:1" x14ac:dyDescent="0.25">
      <c r="A4530" t="s">
        <v>3889</v>
      </c>
    </row>
    <row r="4531" spans="1:1" x14ac:dyDescent="0.25">
      <c r="A4531" t="s">
        <v>3890</v>
      </c>
    </row>
    <row r="4532" spans="1:1" x14ac:dyDescent="0.25">
      <c r="A4532" t="s">
        <v>3891</v>
      </c>
    </row>
    <row r="4533" spans="1:1" x14ac:dyDescent="0.25">
      <c r="A4533" t="s">
        <v>3892</v>
      </c>
    </row>
    <row r="4534" spans="1:1" x14ac:dyDescent="0.25">
      <c r="A4534" t="s">
        <v>3893</v>
      </c>
    </row>
    <row r="4535" spans="1:1" x14ac:dyDescent="0.25">
      <c r="A4535" t="s">
        <v>3894</v>
      </c>
    </row>
    <row r="4536" spans="1:1" x14ac:dyDescent="0.25">
      <c r="A4536" t="s">
        <v>3895</v>
      </c>
    </row>
    <row r="4537" spans="1:1" x14ac:dyDescent="0.25">
      <c r="A4537" t="s">
        <v>3896</v>
      </c>
    </row>
    <row r="4538" spans="1:1" x14ac:dyDescent="0.25">
      <c r="A4538" t="s">
        <v>3897</v>
      </c>
    </row>
    <row r="4539" spans="1:1" x14ac:dyDescent="0.25">
      <c r="A4539" t="s">
        <v>3898</v>
      </c>
    </row>
    <row r="4541" spans="1:1" x14ac:dyDescent="0.25">
      <c r="A4541" t="s">
        <v>3899</v>
      </c>
    </row>
    <row r="4543" spans="1:1" x14ac:dyDescent="0.25">
      <c r="A4543" t="s">
        <v>3881</v>
      </c>
    </row>
    <row r="4544" spans="1:1" x14ac:dyDescent="0.25">
      <c r="A4544" t="s">
        <v>3900</v>
      </c>
    </row>
    <row r="4545" spans="1:1" x14ac:dyDescent="0.25">
      <c r="A4545" t="s">
        <v>3901</v>
      </c>
    </row>
    <row r="4546" spans="1:1" x14ac:dyDescent="0.25">
      <c r="A4546" t="s">
        <v>3884</v>
      </c>
    </row>
    <row r="4547" spans="1:1" x14ac:dyDescent="0.25">
      <c r="A4547" t="s">
        <v>3902</v>
      </c>
    </row>
    <row r="4548" spans="1:1" x14ac:dyDescent="0.25">
      <c r="A4548" t="s">
        <v>3903</v>
      </c>
    </row>
    <row r="4549" spans="1:1" x14ac:dyDescent="0.25">
      <c r="A4549" t="s">
        <v>3904</v>
      </c>
    </row>
    <row r="4550" spans="1:1" x14ac:dyDescent="0.25">
      <c r="A4550" t="s">
        <v>3905</v>
      </c>
    </row>
    <row r="4551" spans="1:1" x14ac:dyDescent="0.25">
      <c r="A4551" t="s">
        <v>3906</v>
      </c>
    </row>
    <row r="4552" spans="1:1" x14ac:dyDescent="0.25">
      <c r="A4552" t="s">
        <v>3907</v>
      </c>
    </row>
    <row r="4553" spans="1:1" x14ac:dyDescent="0.25">
      <c r="A4553" t="s">
        <v>3908</v>
      </c>
    </row>
    <row r="4554" spans="1:1" x14ac:dyDescent="0.25">
      <c r="A4554" t="s">
        <v>3909</v>
      </c>
    </row>
    <row r="4555" spans="1:1" x14ac:dyDescent="0.25">
      <c r="A4555" t="s">
        <v>3910</v>
      </c>
    </row>
    <row r="4556" spans="1:1" x14ac:dyDescent="0.25">
      <c r="A4556" t="s">
        <v>3896</v>
      </c>
    </row>
    <row r="4557" spans="1:1" x14ac:dyDescent="0.25">
      <c r="A4557" t="s">
        <v>3897</v>
      </c>
    </row>
    <row r="4558" spans="1:1" x14ac:dyDescent="0.25">
      <c r="A4558" t="s">
        <v>3898</v>
      </c>
    </row>
    <row r="4560" spans="1:1" x14ac:dyDescent="0.25">
      <c r="A4560" t="s">
        <v>3899</v>
      </c>
    </row>
    <row r="4561" spans="1:1" x14ac:dyDescent="0.25">
      <c r="A4561" t="s">
        <v>3717</v>
      </c>
    </row>
    <row r="4562" spans="1:1" x14ac:dyDescent="0.25">
      <c r="A4562" t="s">
        <v>2749</v>
      </c>
    </row>
    <row r="4564" spans="1:1" x14ac:dyDescent="0.25">
      <c r="A4564" t="s">
        <v>1775</v>
      </c>
    </row>
    <row r="4566" spans="1:1" x14ac:dyDescent="0.25">
      <c r="A4566" t="s">
        <v>3911</v>
      </c>
    </row>
    <row r="4567" spans="1:1" x14ac:dyDescent="0.25">
      <c r="A4567" t="s">
        <v>2682</v>
      </c>
    </row>
    <row r="4568" spans="1:1" x14ac:dyDescent="0.25">
      <c r="A4568" t="s">
        <v>3912</v>
      </c>
    </row>
    <row r="4569" spans="1:1" x14ac:dyDescent="0.25">
      <c r="A4569" t="s">
        <v>3913</v>
      </c>
    </row>
    <row r="4570" spans="1:1" x14ac:dyDescent="0.25">
      <c r="A4570" t="s">
        <v>3343</v>
      </c>
    </row>
    <row r="4571" spans="1:1" x14ac:dyDescent="0.25">
      <c r="A4571" t="s">
        <v>3914</v>
      </c>
    </row>
    <row r="4572" spans="1:1" x14ac:dyDescent="0.25">
      <c r="A4572" t="s">
        <v>3915</v>
      </c>
    </row>
    <row r="4573" spans="1:1" x14ac:dyDescent="0.25">
      <c r="A4573" t="s">
        <v>3916</v>
      </c>
    </row>
    <row r="4574" spans="1:1" x14ac:dyDescent="0.25">
      <c r="A4574" t="s">
        <v>3917</v>
      </c>
    </row>
    <row r="4575" spans="1:1" x14ac:dyDescent="0.25">
      <c r="A4575" t="s">
        <v>3918</v>
      </c>
    </row>
    <row r="4576" spans="1:1" x14ac:dyDescent="0.25">
      <c r="A4576" t="s">
        <v>3919</v>
      </c>
    </row>
    <row r="4577" spans="1:1" x14ac:dyDescent="0.25">
      <c r="A4577" t="s">
        <v>3920</v>
      </c>
    </row>
    <row r="4578" spans="1:1" x14ac:dyDescent="0.25">
      <c r="A4578" t="s">
        <v>3921</v>
      </c>
    </row>
    <row r="4579" spans="1:1" x14ac:dyDescent="0.25">
      <c r="A4579" t="s">
        <v>3922</v>
      </c>
    </row>
    <row r="4580" spans="1:1" x14ac:dyDescent="0.25">
      <c r="A4580" t="s">
        <v>3923</v>
      </c>
    </row>
    <row r="4581" spans="1:1" x14ac:dyDescent="0.25">
      <c r="A4581" t="s">
        <v>3924</v>
      </c>
    </row>
    <row r="4582" spans="1:1" x14ac:dyDescent="0.25">
      <c r="A4582" t="s">
        <v>3925</v>
      </c>
    </row>
    <row r="4583" spans="1:1" x14ac:dyDescent="0.25">
      <c r="A4583" t="s">
        <v>3926</v>
      </c>
    </row>
    <row r="4584" spans="1:1" x14ac:dyDescent="0.25">
      <c r="A4584" t="s">
        <v>3927</v>
      </c>
    </row>
    <row r="4585" spans="1:1" x14ac:dyDescent="0.25">
      <c r="A4585" t="s">
        <v>3928</v>
      </c>
    </row>
    <row r="4586" spans="1:1" x14ac:dyDescent="0.25">
      <c r="A4586" t="s">
        <v>3929</v>
      </c>
    </row>
    <row r="4587" spans="1:1" x14ac:dyDescent="0.25">
      <c r="A4587" t="s">
        <v>3930</v>
      </c>
    </row>
    <row r="4588" spans="1:1" x14ac:dyDescent="0.25">
      <c r="A4588" t="s">
        <v>3931</v>
      </c>
    </row>
    <row r="4589" spans="1:1" x14ac:dyDescent="0.25">
      <c r="A4589" t="s">
        <v>3932</v>
      </c>
    </row>
    <row r="4590" spans="1:1" x14ac:dyDescent="0.25">
      <c r="A4590" t="s">
        <v>3933</v>
      </c>
    </row>
    <row r="4591" spans="1:1" x14ac:dyDescent="0.25">
      <c r="A4591" t="s">
        <v>3934</v>
      </c>
    </row>
    <row r="4592" spans="1:1" x14ac:dyDescent="0.25">
      <c r="A4592" t="s">
        <v>3935</v>
      </c>
    </row>
    <row r="4593" spans="1:1" x14ac:dyDescent="0.25">
      <c r="A4593" t="s">
        <v>2686</v>
      </c>
    </row>
    <row r="4595" spans="1:1" x14ac:dyDescent="0.25">
      <c r="A4595" t="s">
        <v>2440</v>
      </c>
    </row>
    <row r="4597" spans="1:1" x14ac:dyDescent="0.25">
      <c r="A4597" t="s">
        <v>2682</v>
      </c>
    </row>
    <row r="4598" spans="1:1" x14ac:dyDescent="0.25">
      <c r="A4598" t="s">
        <v>3936</v>
      </c>
    </row>
    <row r="4599" spans="1:1" x14ac:dyDescent="0.25">
      <c r="A4599" t="s">
        <v>2684</v>
      </c>
    </row>
    <row r="4600" spans="1:1" x14ac:dyDescent="0.25">
      <c r="A4600" t="s">
        <v>3343</v>
      </c>
    </row>
    <row r="4601" spans="1:1" x14ac:dyDescent="0.25">
      <c r="A4601" t="s">
        <v>3344</v>
      </c>
    </row>
    <row r="4602" spans="1:1" x14ac:dyDescent="0.25">
      <c r="A4602" t="s">
        <v>3345</v>
      </c>
    </row>
    <row r="4603" spans="1:1" x14ac:dyDescent="0.25">
      <c r="A4603" t="s">
        <v>3937</v>
      </c>
    </row>
    <row r="4604" spans="1:1" x14ac:dyDescent="0.25">
      <c r="A4604" t="s">
        <v>3347</v>
      </c>
    </row>
    <row r="4606" spans="1:1" x14ac:dyDescent="0.25">
      <c r="A4606" t="s">
        <v>3348</v>
      </c>
    </row>
    <row r="4607" spans="1:1" x14ac:dyDescent="0.25">
      <c r="A4607" t="s">
        <v>3349</v>
      </c>
    </row>
    <row r="4608" spans="1:1" x14ac:dyDescent="0.25">
      <c r="A4608" t="s">
        <v>3350</v>
      </c>
    </row>
    <row r="4609" spans="1:1" x14ac:dyDescent="0.25">
      <c r="A4609" t="s">
        <v>3351</v>
      </c>
    </row>
    <row r="4610" spans="1:1" x14ac:dyDescent="0.25">
      <c r="A4610" t="s">
        <v>3352</v>
      </c>
    </row>
    <row r="4611" spans="1:1" x14ac:dyDescent="0.25">
      <c r="A4611" t="s">
        <v>3353</v>
      </c>
    </row>
    <row r="4612" spans="1:1" x14ac:dyDescent="0.25">
      <c r="A4612" t="s">
        <v>2686</v>
      </c>
    </row>
    <row r="4614" spans="1:1" x14ac:dyDescent="0.25">
      <c r="A4614" t="s">
        <v>2440</v>
      </c>
    </row>
    <row r="4616" spans="1:1" x14ac:dyDescent="0.25">
      <c r="A4616" t="s">
        <v>1934</v>
      </c>
    </row>
    <row r="4617" spans="1:1" x14ac:dyDescent="0.25">
      <c r="A4617" t="s">
        <v>3938</v>
      </c>
    </row>
    <row r="4618" spans="1:1" x14ac:dyDescent="0.25">
      <c r="A4618" t="s">
        <v>1942</v>
      </c>
    </row>
    <row r="4620" spans="1:1" x14ac:dyDescent="0.25">
      <c r="A4620" t="s">
        <v>2440</v>
      </c>
    </row>
    <row r="4622" spans="1:1" x14ac:dyDescent="0.25">
      <c r="A4622" t="s">
        <v>3939</v>
      </c>
    </row>
    <row r="4624" spans="1:1" x14ac:dyDescent="0.25">
      <c r="A4624" t="s">
        <v>2440</v>
      </c>
    </row>
    <row r="4626" spans="1:1" x14ac:dyDescent="0.25">
      <c r="A4626" t="s">
        <v>2682</v>
      </c>
    </row>
    <row r="4627" spans="1:1" x14ac:dyDescent="0.25">
      <c r="A4627" t="s">
        <v>3940</v>
      </c>
    </row>
    <row r="4628" spans="1:1" x14ac:dyDescent="0.25">
      <c r="A4628" t="s">
        <v>3941</v>
      </c>
    </row>
    <row r="4629" spans="1:1" x14ac:dyDescent="0.25">
      <c r="A4629" t="s">
        <v>3942</v>
      </c>
    </row>
    <row r="4630" spans="1:1" x14ac:dyDescent="0.25">
      <c r="A4630" t="s">
        <v>3943</v>
      </c>
    </row>
    <row r="4631" spans="1:1" x14ac:dyDescent="0.25">
      <c r="A4631" t="s">
        <v>3944</v>
      </c>
    </row>
    <row r="4632" spans="1:1" x14ac:dyDescent="0.25">
      <c r="A4632" t="s">
        <v>3945</v>
      </c>
    </row>
    <row r="4633" spans="1:1" x14ac:dyDescent="0.25">
      <c r="A4633" t="s">
        <v>3946</v>
      </c>
    </row>
    <row r="4634" spans="1:1" x14ac:dyDescent="0.25">
      <c r="A4634" t="s">
        <v>2686</v>
      </c>
    </row>
    <row r="4636" spans="1:1" x14ac:dyDescent="0.25">
      <c r="A4636" t="s">
        <v>2440</v>
      </c>
    </row>
    <row r="4638" spans="1:1" x14ac:dyDescent="0.25">
      <c r="A4638" t="s">
        <v>2682</v>
      </c>
    </row>
    <row r="4639" spans="1:1" x14ac:dyDescent="0.25">
      <c r="A4639" t="s">
        <v>3947</v>
      </c>
    </row>
    <row r="4640" spans="1:1" x14ac:dyDescent="0.25">
      <c r="A4640" t="s">
        <v>3948</v>
      </c>
    </row>
    <row r="4641" spans="1:1" x14ac:dyDescent="0.25">
      <c r="A4641" t="s">
        <v>3949</v>
      </c>
    </row>
    <row r="4642" spans="1:1" x14ac:dyDescent="0.25">
      <c r="A4642" t="s">
        <v>3950</v>
      </c>
    </row>
    <row r="4643" spans="1:1" x14ac:dyDescent="0.25">
      <c r="A4643" t="s">
        <v>3951</v>
      </c>
    </row>
    <row r="4644" spans="1:1" x14ac:dyDescent="0.25">
      <c r="A4644" t="s">
        <v>3952</v>
      </c>
    </row>
    <row r="4645" spans="1:1" x14ac:dyDescent="0.25">
      <c r="A4645" t="s">
        <v>3953</v>
      </c>
    </row>
    <row r="4646" spans="1:1" x14ac:dyDescent="0.25">
      <c r="A4646" t="s">
        <v>3343</v>
      </c>
    </row>
    <row r="4647" spans="1:1" x14ac:dyDescent="0.25">
      <c r="A4647" t="s">
        <v>3954</v>
      </c>
    </row>
    <row r="4648" spans="1:1" x14ac:dyDescent="0.25">
      <c r="A4648" t="s">
        <v>3955</v>
      </c>
    </row>
    <row r="4649" spans="1:1" x14ac:dyDescent="0.25">
      <c r="A4649" t="s">
        <v>3956</v>
      </c>
    </row>
    <row r="4650" spans="1:1" x14ac:dyDescent="0.25">
      <c r="A4650" t="s">
        <v>3957</v>
      </c>
    </row>
    <row r="4651" spans="1:1" x14ac:dyDescent="0.25">
      <c r="A4651" t="s">
        <v>3958</v>
      </c>
    </row>
    <row r="4652" spans="1:1" x14ac:dyDescent="0.25">
      <c r="A4652" t="s">
        <v>3959</v>
      </c>
    </row>
    <row r="4653" spans="1:1" x14ac:dyDescent="0.25">
      <c r="A4653" t="s">
        <v>3960</v>
      </c>
    </row>
    <row r="4654" spans="1:1" x14ac:dyDescent="0.25">
      <c r="A4654" t="s">
        <v>2686</v>
      </c>
    </row>
    <row r="4656" spans="1:1" x14ac:dyDescent="0.25">
      <c r="A4656" t="s">
        <v>2440</v>
      </c>
    </row>
    <row r="4658" spans="1:1" x14ac:dyDescent="0.25">
      <c r="A4658" t="s">
        <v>2682</v>
      </c>
    </row>
    <row r="4659" spans="1:1" x14ac:dyDescent="0.25">
      <c r="A4659" t="s">
        <v>3961</v>
      </c>
    </row>
    <row r="4660" spans="1:1" x14ac:dyDescent="0.25">
      <c r="A4660" t="s">
        <v>3948</v>
      </c>
    </row>
    <row r="4661" spans="1:1" x14ac:dyDescent="0.25">
      <c r="A4661" t="s">
        <v>3949</v>
      </c>
    </row>
    <row r="4662" spans="1:1" x14ac:dyDescent="0.25">
      <c r="A4662" t="s">
        <v>3950</v>
      </c>
    </row>
    <row r="4663" spans="1:1" x14ac:dyDescent="0.25">
      <c r="A4663" t="s">
        <v>3951</v>
      </c>
    </row>
    <row r="4664" spans="1:1" x14ac:dyDescent="0.25">
      <c r="A4664" t="s">
        <v>3952</v>
      </c>
    </row>
    <row r="4665" spans="1:1" x14ac:dyDescent="0.25">
      <c r="A4665" t="s">
        <v>3953</v>
      </c>
    </row>
    <row r="4666" spans="1:1" x14ac:dyDescent="0.25">
      <c r="A4666" t="s">
        <v>3343</v>
      </c>
    </row>
    <row r="4667" spans="1:1" x14ac:dyDescent="0.25">
      <c r="A4667" t="s">
        <v>3962</v>
      </c>
    </row>
    <row r="4668" spans="1:1" x14ac:dyDescent="0.25">
      <c r="A4668" t="s">
        <v>3963</v>
      </c>
    </row>
    <row r="4669" spans="1:1" x14ac:dyDescent="0.25">
      <c r="A4669" t="s">
        <v>3964</v>
      </c>
    </row>
    <row r="4670" spans="1:1" x14ac:dyDescent="0.25">
      <c r="A4670" t="s">
        <v>3965</v>
      </c>
    </row>
    <row r="4671" spans="1:1" x14ac:dyDescent="0.25">
      <c r="A4671" t="s">
        <v>3966</v>
      </c>
    </row>
    <row r="4672" spans="1:1" x14ac:dyDescent="0.25">
      <c r="A4672" t="s">
        <v>3967</v>
      </c>
    </row>
    <row r="4673" spans="1:1" x14ac:dyDescent="0.25">
      <c r="A4673" t="s">
        <v>3968</v>
      </c>
    </row>
    <row r="4674" spans="1:1" x14ac:dyDescent="0.25">
      <c r="A4674" t="s">
        <v>2686</v>
      </c>
    </row>
    <row r="4676" spans="1:1" x14ac:dyDescent="0.25">
      <c r="A4676" t="s">
        <v>2440</v>
      </c>
    </row>
    <row r="4678" spans="1:1" x14ac:dyDescent="0.25">
      <c r="A4678" t="s">
        <v>2682</v>
      </c>
    </row>
    <row r="4679" spans="1:1" x14ac:dyDescent="0.25">
      <c r="A4679" t="s">
        <v>3969</v>
      </c>
    </row>
    <row r="4680" spans="1:1" x14ac:dyDescent="0.25">
      <c r="A4680" t="s">
        <v>3970</v>
      </c>
    </row>
    <row r="4681" spans="1:1" x14ac:dyDescent="0.25">
      <c r="A4681" t="s">
        <v>3971</v>
      </c>
    </row>
    <row r="4682" spans="1:1" x14ac:dyDescent="0.25">
      <c r="A4682" t="s">
        <v>3972</v>
      </c>
    </row>
    <row r="4683" spans="1:1" x14ac:dyDescent="0.25">
      <c r="A4683" t="s">
        <v>3973</v>
      </c>
    </row>
    <row r="4684" spans="1:1" x14ac:dyDescent="0.25">
      <c r="A4684" t="s">
        <v>2686</v>
      </c>
    </row>
    <row r="4686" spans="1:1" x14ac:dyDescent="0.25">
      <c r="A4686" t="s">
        <v>2440</v>
      </c>
    </row>
    <row r="4688" spans="1:1" x14ac:dyDescent="0.25">
      <c r="A4688" t="s">
        <v>3789</v>
      </c>
    </row>
    <row r="4689" spans="1:1" x14ac:dyDescent="0.25">
      <c r="A4689" t="s">
        <v>3974</v>
      </c>
    </row>
    <row r="4690" spans="1:1" x14ac:dyDescent="0.25">
      <c r="A4690" t="s">
        <v>3792</v>
      </c>
    </row>
    <row r="4691" spans="1:1" x14ac:dyDescent="0.25">
      <c r="A4691" t="s">
        <v>3975</v>
      </c>
    </row>
    <row r="4692" spans="1:1" x14ac:dyDescent="0.25">
      <c r="A4692" t="s">
        <v>3976</v>
      </c>
    </row>
    <row r="4693" spans="1:1" x14ac:dyDescent="0.25">
      <c r="A4693" t="s">
        <v>3977</v>
      </c>
    </row>
    <row r="4694" spans="1:1" x14ac:dyDescent="0.25">
      <c r="A4694" t="s">
        <v>3978</v>
      </c>
    </row>
    <row r="4695" spans="1:1" x14ac:dyDescent="0.25">
      <c r="A4695" t="s">
        <v>3979</v>
      </c>
    </row>
    <row r="4696" spans="1:1" x14ac:dyDescent="0.25">
      <c r="A4696" t="s">
        <v>3980</v>
      </c>
    </row>
    <row r="4697" spans="1:1" x14ac:dyDescent="0.25">
      <c r="A4697" t="s">
        <v>3981</v>
      </c>
    </row>
    <row r="4698" spans="1:1" x14ac:dyDescent="0.25">
      <c r="A4698" t="s">
        <v>3982</v>
      </c>
    </row>
    <row r="4699" spans="1:1" x14ac:dyDescent="0.25">
      <c r="A4699" t="s">
        <v>3983</v>
      </c>
    </row>
    <row r="4700" spans="1:1" x14ac:dyDescent="0.25">
      <c r="A4700" t="s">
        <v>3984</v>
      </c>
    </row>
    <row r="4701" spans="1:1" x14ac:dyDescent="0.25">
      <c r="A4701" t="s">
        <v>3985</v>
      </c>
    </row>
    <row r="4702" spans="1:1" x14ac:dyDescent="0.25">
      <c r="A4702" t="s">
        <v>3986</v>
      </c>
    </row>
    <row r="4703" spans="1:1" x14ac:dyDescent="0.25">
      <c r="A4703" t="s">
        <v>3801</v>
      </c>
    </row>
    <row r="4705" spans="1:1" x14ac:dyDescent="0.25">
      <c r="A4705" t="s">
        <v>2440</v>
      </c>
    </row>
    <row r="4707" spans="1:1" x14ac:dyDescent="0.25">
      <c r="A4707" t="s">
        <v>2682</v>
      </c>
    </row>
    <row r="4708" spans="1:1" x14ac:dyDescent="0.25">
      <c r="A4708" t="s">
        <v>3987</v>
      </c>
    </row>
    <row r="4709" spans="1:1" x14ac:dyDescent="0.25">
      <c r="A4709" t="s">
        <v>3948</v>
      </c>
    </row>
    <row r="4710" spans="1:1" x14ac:dyDescent="0.25">
      <c r="A4710" t="s">
        <v>3949</v>
      </c>
    </row>
    <row r="4711" spans="1:1" x14ac:dyDescent="0.25">
      <c r="A4711" t="s">
        <v>3950</v>
      </c>
    </row>
    <row r="4712" spans="1:1" x14ac:dyDescent="0.25">
      <c r="A4712" t="s">
        <v>3951</v>
      </c>
    </row>
    <row r="4713" spans="1:1" x14ac:dyDescent="0.25">
      <c r="A4713" t="s">
        <v>3952</v>
      </c>
    </row>
    <row r="4714" spans="1:1" x14ac:dyDescent="0.25">
      <c r="A4714" t="s">
        <v>3953</v>
      </c>
    </row>
    <row r="4715" spans="1:1" x14ac:dyDescent="0.25">
      <c r="A4715" t="s">
        <v>3343</v>
      </c>
    </row>
    <row r="4716" spans="1:1" x14ac:dyDescent="0.25">
      <c r="A4716" t="s">
        <v>3988</v>
      </c>
    </row>
    <row r="4717" spans="1:1" x14ac:dyDescent="0.25">
      <c r="A4717" t="s">
        <v>3989</v>
      </c>
    </row>
    <row r="4718" spans="1:1" x14ac:dyDescent="0.25">
      <c r="A4718" t="s">
        <v>3990</v>
      </c>
    </row>
    <row r="4719" spans="1:1" x14ac:dyDescent="0.25">
      <c r="A4719" t="s">
        <v>3991</v>
      </c>
    </row>
    <row r="4720" spans="1:1" x14ac:dyDescent="0.25">
      <c r="A4720" t="s">
        <v>3992</v>
      </c>
    </row>
    <row r="4721" spans="1:1" x14ac:dyDescent="0.25">
      <c r="A4721" t="s">
        <v>3993</v>
      </c>
    </row>
    <row r="4722" spans="1:1" x14ac:dyDescent="0.25">
      <c r="A4722" t="s">
        <v>3994</v>
      </c>
    </row>
    <row r="4723" spans="1:1" x14ac:dyDescent="0.25">
      <c r="A4723" t="s">
        <v>2686</v>
      </c>
    </row>
    <row r="4725" spans="1:1" x14ac:dyDescent="0.25">
      <c r="A4725" t="s">
        <v>2440</v>
      </c>
    </row>
    <row r="4727" spans="1:1" x14ac:dyDescent="0.25">
      <c r="A4727" t="s">
        <v>2682</v>
      </c>
    </row>
    <row r="4728" spans="1:1" x14ac:dyDescent="0.25">
      <c r="A4728" t="s">
        <v>3995</v>
      </c>
    </row>
    <row r="4729" spans="1:1" x14ac:dyDescent="0.25">
      <c r="A4729" t="s">
        <v>3819</v>
      </c>
    </row>
    <row r="4730" spans="1:1" x14ac:dyDescent="0.25">
      <c r="A4730" t="s">
        <v>3996</v>
      </c>
    </row>
    <row r="4731" spans="1:1" x14ac:dyDescent="0.25">
      <c r="A4731" t="s">
        <v>3345</v>
      </c>
    </row>
    <row r="4732" spans="1:1" x14ac:dyDescent="0.25">
      <c r="A4732" t="s">
        <v>3997</v>
      </c>
    </row>
    <row r="4733" spans="1:1" x14ac:dyDescent="0.25">
      <c r="A4733" t="s">
        <v>3347</v>
      </c>
    </row>
    <row r="4735" spans="1:1" x14ac:dyDescent="0.25">
      <c r="A4735" t="s">
        <v>3998</v>
      </c>
    </row>
    <row r="4736" spans="1:1" x14ac:dyDescent="0.25">
      <c r="A4736" t="s">
        <v>3999</v>
      </c>
    </row>
    <row r="4737" spans="1:1" x14ac:dyDescent="0.25">
      <c r="A4737" t="s">
        <v>4000</v>
      </c>
    </row>
    <row r="4738" spans="1:1" x14ac:dyDescent="0.25">
      <c r="A4738" t="s">
        <v>4001</v>
      </c>
    </row>
    <row r="4739" spans="1:1" x14ac:dyDescent="0.25">
      <c r="A4739" t="s">
        <v>4002</v>
      </c>
    </row>
    <row r="4740" spans="1:1" x14ac:dyDescent="0.25">
      <c r="A4740" t="s">
        <v>2686</v>
      </c>
    </row>
    <row r="4742" spans="1:1" x14ac:dyDescent="0.25">
      <c r="A4742" t="s">
        <v>2440</v>
      </c>
    </row>
    <row r="4744" spans="1:1" x14ac:dyDescent="0.25">
      <c r="A4744" t="s">
        <v>1934</v>
      </c>
    </row>
    <row r="4745" spans="1:1" x14ac:dyDescent="0.25">
      <c r="A4745" t="s">
        <v>4003</v>
      </c>
    </row>
    <row r="4746" spans="1:1" x14ac:dyDescent="0.25">
      <c r="A4746" t="s">
        <v>1942</v>
      </c>
    </row>
    <row r="4748" spans="1:1" x14ac:dyDescent="0.25">
      <c r="A4748" t="s">
        <v>2440</v>
      </c>
    </row>
    <row r="4750" spans="1:1" x14ac:dyDescent="0.25">
      <c r="A4750" t="s">
        <v>4004</v>
      </c>
    </row>
    <row r="4752" spans="1:1" x14ac:dyDescent="0.25">
      <c r="A4752" t="s">
        <v>2440</v>
      </c>
    </row>
    <row r="4754" spans="1:1" x14ac:dyDescent="0.25">
      <c r="A4754" t="s">
        <v>2682</v>
      </c>
    </row>
    <row r="4755" spans="1:1" x14ac:dyDescent="0.25">
      <c r="A4755" t="s">
        <v>4005</v>
      </c>
    </row>
    <row r="4756" spans="1:1" x14ac:dyDescent="0.25">
      <c r="A4756" t="s">
        <v>2446</v>
      </c>
    </row>
    <row r="4757" spans="1:1" x14ac:dyDescent="0.25">
      <c r="A4757" t="s">
        <v>3360</v>
      </c>
    </row>
    <row r="4758" spans="1:1" x14ac:dyDescent="0.25">
      <c r="A4758" t="s">
        <v>3361</v>
      </c>
    </row>
    <row r="4759" spans="1:1" x14ac:dyDescent="0.25">
      <c r="A4759" t="s">
        <v>2448</v>
      </c>
    </row>
    <row r="4760" spans="1:1" x14ac:dyDescent="0.25">
      <c r="A4760" t="s">
        <v>3356</v>
      </c>
    </row>
    <row r="4761" spans="1:1" x14ac:dyDescent="0.25">
      <c r="A4761" t="s">
        <v>4006</v>
      </c>
    </row>
    <row r="4762" spans="1:1" x14ac:dyDescent="0.25">
      <c r="A4762" t="s">
        <v>4007</v>
      </c>
    </row>
    <row r="4763" spans="1:1" x14ac:dyDescent="0.25">
      <c r="A4763" t="s">
        <v>2453</v>
      </c>
    </row>
    <row r="4765" spans="1:1" x14ac:dyDescent="0.25">
      <c r="A4765" t="s">
        <v>4008</v>
      </c>
    </row>
    <row r="4766" spans="1:1" x14ac:dyDescent="0.25">
      <c r="A4766" t="s">
        <v>4009</v>
      </c>
    </row>
    <row r="4767" spans="1:1" x14ac:dyDescent="0.25">
      <c r="A4767" t="s">
        <v>2686</v>
      </c>
    </row>
    <row r="4769" spans="1:1" x14ac:dyDescent="0.25">
      <c r="A4769" t="s">
        <v>2440</v>
      </c>
    </row>
    <row r="4771" spans="1:1" x14ac:dyDescent="0.25">
      <c r="A4771" t="s">
        <v>4010</v>
      </c>
    </row>
    <row r="4772" spans="1:1" x14ac:dyDescent="0.25">
      <c r="A4772" t="s">
        <v>4011</v>
      </c>
    </row>
    <row r="4773" spans="1:1" x14ac:dyDescent="0.25">
      <c r="A4773" t="s">
        <v>2459</v>
      </c>
    </row>
    <row r="4774" spans="1:1" x14ac:dyDescent="0.25">
      <c r="A4774" t="s">
        <v>4012</v>
      </c>
    </row>
    <row r="4775" spans="1:1" x14ac:dyDescent="0.25">
      <c r="A4775" t="s">
        <v>4013</v>
      </c>
    </row>
    <row r="4776" spans="1:1" x14ac:dyDescent="0.25">
      <c r="A4776" t="s">
        <v>2463</v>
      </c>
    </row>
    <row r="4777" spans="1:1" x14ac:dyDescent="0.25">
      <c r="A4777" t="s">
        <v>3424</v>
      </c>
    </row>
    <row r="4778" spans="1:1" x14ac:dyDescent="0.25">
      <c r="A4778" t="s">
        <v>3414</v>
      </c>
    </row>
    <row r="4779" spans="1:1" x14ac:dyDescent="0.25">
      <c r="A4779" t="s">
        <v>4014</v>
      </c>
    </row>
    <row r="4780" spans="1:1" x14ac:dyDescent="0.25">
      <c r="A4780" t="s">
        <v>4015</v>
      </c>
    </row>
    <row r="4781" spans="1:1" x14ac:dyDescent="0.25">
      <c r="A4781" t="s">
        <v>4016</v>
      </c>
    </row>
    <row r="4782" spans="1:1" x14ac:dyDescent="0.25">
      <c r="A4782" t="s">
        <v>4017</v>
      </c>
    </row>
    <row r="4783" spans="1:1" x14ac:dyDescent="0.25">
      <c r="A4783" t="s">
        <v>4018</v>
      </c>
    </row>
    <row r="4784" spans="1:1" x14ac:dyDescent="0.25">
      <c r="A4784" t="s">
        <v>4019</v>
      </c>
    </row>
    <row r="4785" spans="1:1" x14ac:dyDescent="0.25">
      <c r="A4785" t="s">
        <v>4020</v>
      </c>
    </row>
    <row r="4786" spans="1:1" x14ac:dyDescent="0.25">
      <c r="A4786" t="s">
        <v>4021</v>
      </c>
    </row>
    <row r="4787" spans="1:1" x14ac:dyDescent="0.25">
      <c r="A4787" t="s">
        <v>3626</v>
      </c>
    </row>
    <row r="4788" spans="1:1" x14ac:dyDescent="0.25">
      <c r="A4788" t="s">
        <v>3440</v>
      </c>
    </row>
    <row r="4789" spans="1:1" x14ac:dyDescent="0.25">
      <c r="A4789" t="s">
        <v>3627</v>
      </c>
    </row>
    <row r="4790" spans="1:1" x14ac:dyDescent="0.25">
      <c r="A4790" t="s">
        <v>4022</v>
      </c>
    </row>
    <row r="4791" spans="1:1" x14ac:dyDescent="0.25">
      <c r="A4791" t="s">
        <v>3629</v>
      </c>
    </row>
    <row r="4792" spans="1:1" x14ac:dyDescent="0.25">
      <c r="A4792" t="s">
        <v>3444</v>
      </c>
    </row>
    <row r="4793" spans="1:1" x14ac:dyDescent="0.25">
      <c r="A4793" t="s">
        <v>3630</v>
      </c>
    </row>
    <row r="4794" spans="1:1" x14ac:dyDescent="0.25">
      <c r="A4794" t="s">
        <v>2519</v>
      </c>
    </row>
    <row r="4796" spans="1:1" x14ac:dyDescent="0.25">
      <c r="A4796" t="s">
        <v>2520</v>
      </c>
    </row>
    <row r="4798" spans="1:1" x14ac:dyDescent="0.25">
      <c r="A4798" t="s">
        <v>2459</v>
      </c>
    </row>
    <row r="4799" spans="1:1" x14ac:dyDescent="0.25">
      <c r="A4799" t="s">
        <v>4023</v>
      </c>
    </row>
    <row r="4800" spans="1:1" x14ac:dyDescent="0.25">
      <c r="A4800" t="s">
        <v>2463</v>
      </c>
    </row>
    <row r="4801" spans="1:1" x14ac:dyDescent="0.25">
      <c r="A4801" t="s">
        <v>3424</v>
      </c>
    </row>
    <row r="4802" spans="1:1" x14ac:dyDescent="0.25">
      <c r="A4802" t="s">
        <v>3414</v>
      </c>
    </row>
    <row r="4803" spans="1:1" x14ac:dyDescent="0.25">
      <c r="A4803" t="s">
        <v>4024</v>
      </c>
    </row>
    <row r="4804" spans="1:1" x14ac:dyDescent="0.25">
      <c r="A4804" t="s">
        <v>3626</v>
      </c>
    </row>
    <row r="4805" spans="1:1" x14ac:dyDescent="0.25">
      <c r="A4805" t="s">
        <v>3440</v>
      </c>
    </row>
    <row r="4806" spans="1:1" x14ac:dyDescent="0.25">
      <c r="A4806" t="s">
        <v>3627</v>
      </c>
    </row>
    <row r="4807" spans="1:1" x14ac:dyDescent="0.25">
      <c r="A4807" t="s">
        <v>4022</v>
      </c>
    </row>
    <row r="4808" spans="1:1" x14ac:dyDescent="0.25">
      <c r="A4808" t="s">
        <v>3629</v>
      </c>
    </row>
    <row r="4809" spans="1:1" x14ac:dyDescent="0.25">
      <c r="A4809" t="s">
        <v>3444</v>
      </c>
    </row>
    <row r="4810" spans="1:1" x14ac:dyDescent="0.25">
      <c r="A4810" t="s">
        <v>3630</v>
      </c>
    </row>
    <row r="4811" spans="1:1" x14ac:dyDescent="0.25">
      <c r="A4811" t="s">
        <v>4025</v>
      </c>
    </row>
    <row r="4812" spans="1:1" x14ac:dyDescent="0.25">
      <c r="A4812" t="s">
        <v>4026</v>
      </c>
    </row>
    <row r="4813" spans="1:1" x14ac:dyDescent="0.25">
      <c r="A4813" t="s">
        <v>4027</v>
      </c>
    </row>
    <row r="4814" spans="1:1" x14ac:dyDescent="0.25">
      <c r="A4814" t="s">
        <v>4028</v>
      </c>
    </row>
    <row r="4815" spans="1:1" x14ac:dyDescent="0.25">
      <c r="A4815" t="s">
        <v>2519</v>
      </c>
    </row>
    <row r="4817" spans="1:1" x14ac:dyDescent="0.25">
      <c r="A4817" t="s">
        <v>2520</v>
      </c>
    </row>
    <row r="4818" spans="1:1" x14ac:dyDescent="0.25">
      <c r="A4818" t="s">
        <v>2521</v>
      </c>
    </row>
    <row r="4820" spans="1:1" x14ac:dyDescent="0.25">
      <c r="A4820" t="s">
        <v>4029</v>
      </c>
    </row>
    <row r="4821" spans="1:1" x14ac:dyDescent="0.25">
      <c r="A4821" t="s">
        <v>4030</v>
      </c>
    </row>
    <row r="4823" spans="1:1" x14ac:dyDescent="0.25">
      <c r="A4823" t="s">
        <v>4031</v>
      </c>
    </row>
    <row r="4825" spans="1:1" x14ac:dyDescent="0.25">
      <c r="A4825" t="s">
        <v>2520</v>
      </c>
    </row>
    <row r="4827" spans="1:1" x14ac:dyDescent="0.25">
      <c r="A4827" t="s">
        <v>2459</v>
      </c>
    </row>
    <row r="4828" spans="1:1" x14ac:dyDescent="0.25">
      <c r="A4828" t="s">
        <v>4032</v>
      </c>
    </row>
    <row r="4829" spans="1:1" x14ac:dyDescent="0.25">
      <c r="A4829" t="s">
        <v>4033</v>
      </c>
    </row>
    <row r="4830" spans="1:1" x14ac:dyDescent="0.25">
      <c r="A4830" t="s">
        <v>4034</v>
      </c>
    </row>
    <row r="4831" spans="1:1" x14ac:dyDescent="0.25">
      <c r="A4831" t="s">
        <v>2468</v>
      </c>
    </row>
    <row r="4832" spans="1:1" x14ac:dyDescent="0.25">
      <c r="A4832" t="s">
        <v>4035</v>
      </c>
    </row>
    <row r="4833" spans="1:1" x14ac:dyDescent="0.25">
      <c r="A4833" t="s">
        <v>4036</v>
      </c>
    </row>
    <row r="4834" spans="1:1" x14ac:dyDescent="0.25">
      <c r="A4834" t="s">
        <v>4037</v>
      </c>
    </row>
    <row r="4835" spans="1:1" x14ac:dyDescent="0.25">
      <c r="A4835" t="s">
        <v>2471</v>
      </c>
    </row>
    <row r="4837" spans="1:1" x14ac:dyDescent="0.25">
      <c r="A4837" t="s">
        <v>4038</v>
      </c>
    </row>
    <row r="4838" spans="1:1" x14ac:dyDescent="0.25">
      <c r="A4838" t="s">
        <v>4039</v>
      </c>
    </row>
    <row r="4839" spans="1:1" x14ac:dyDescent="0.25">
      <c r="A4839" t="s">
        <v>2519</v>
      </c>
    </row>
    <row r="4841" spans="1:1" x14ac:dyDescent="0.25">
      <c r="A4841" t="s">
        <v>2520</v>
      </c>
    </row>
    <row r="4843" spans="1:1" x14ac:dyDescent="0.25">
      <c r="A4843" t="s">
        <v>2459</v>
      </c>
    </row>
    <row r="4844" spans="1:1" x14ac:dyDescent="0.25">
      <c r="A4844" t="s">
        <v>4040</v>
      </c>
    </row>
    <row r="4845" spans="1:1" x14ac:dyDescent="0.25">
      <c r="A4845" t="s">
        <v>4033</v>
      </c>
    </row>
    <row r="4846" spans="1:1" x14ac:dyDescent="0.25">
      <c r="A4846" t="s">
        <v>4041</v>
      </c>
    </row>
    <row r="4847" spans="1:1" x14ac:dyDescent="0.25">
      <c r="A4847" t="s">
        <v>2468</v>
      </c>
    </row>
    <row r="4848" spans="1:1" x14ac:dyDescent="0.25">
      <c r="A4848" t="s">
        <v>4035</v>
      </c>
    </row>
    <row r="4849" spans="1:1" x14ac:dyDescent="0.25">
      <c r="A4849" t="s">
        <v>4042</v>
      </c>
    </row>
    <row r="4850" spans="1:1" x14ac:dyDescent="0.25">
      <c r="A4850" t="s">
        <v>4043</v>
      </c>
    </row>
    <row r="4851" spans="1:1" x14ac:dyDescent="0.25">
      <c r="A4851" t="s">
        <v>2471</v>
      </c>
    </row>
    <row r="4853" spans="1:1" x14ac:dyDescent="0.25">
      <c r="A4853" t="s">
        <v>4044</v>
      </c>
    </row>
    <row r="4854" spans="1:1" x14ac:dyDescent="0.25">
      <c r="A4854" t="s">
        <v>4045</v>
      </c>
    </row>
    <row r="4855" spans="1:1" x14ac:dyDescent="0.25">
      <c r="A4855" t="s">
        <v>2519</v>
      </c>
    </row>
    <row r="4857" spans="1:1" x14ac:dyDescent="0.25">
      <c r="A4857" t="s">
        <v>2520</v>
      </c>
    </row>
    <row r="4859" spans="1:1" x14ac:dyDescent="0.25">
      <c r="A4859" t="s">
        <v>4046</v>
      </c>
    </row>
    <row r="4860" spans="1:1" x14ac:dyDescent="0.25">
      <c r="A4860" t="s">
        <v>2520</v>
      </c>
    </row>
    <row r="4862" spans="1:1" x14ac:dyDescent="0.25">
      <c r="A4862" t="s">
        <v>4047</v>
      </c>
    </row>
    <row r="4863" spans="1:1" x14ac:dyDescent="0.25">
      <c r="A4863" t="s">
        <v>4048</v>
      </c>
    </row>
    <row r="4864" spans="1:1" x14ac:dyDescent="0.25">
      <c r="A4864" t="s">
        <v>3448</v>
      </c>
    </row>
    <row r="4866" spans="1:1" x14ac:dyDescent="0.25">
      <c r="A4866" t="s">
        <v>2520</v>
      </c>
    </row>
    <row r="4868" spans="1:1" x14ac:dyDescent="0.25">
      <c r="A4868" t="s">
        <v>4049</v>
      </c>
    </row>
    <row r="4869" spans="1:1" x14ac:dyDescent="0.25">
      <c r="A4869" t="s">
        <v>4050</v>
      </c>
    </row>
    <row r="4870" spans="1:1" x14ac:dyDescent="0.25">
      <c r="A4870" t="s">
        <v>4051</v>
      </c>
    </row>
    <row r="4872" spans="1:1" x14ac:dyDescent="0.25">
      <c r="A4872" t="s">
        <v>2520</v>
      </c>
    </row>
    <row r="4874" spans="1:1" x14ac:dyDescent="0.25">
      <c r="A4874" t="s">
        <v>3449</v>
      </c>
    </row>
    <row r="4875" spans="1:1" x14ac:dyDescent="0.25">
      <c r="A4875" t="s">
        <v>4052</v>
      </c>
    </row>
    <row r="4876" spans="1:1" x14ac:dyDescent="0.25">
      <c r="A4876" t="s">
        <v>3453</v>
      </c>
    </row>
    <row r="4877" spans="1:1" x14ac:dyDescent="0.25">
      <c r="A4877" t="s">
        <v>4053</v>
      </c>
    </row>
    <row r="4878" spans="1:1" x14ac:dyDescent="0.25">
      <c r="A4878" t="s">
        <v>4033</v>
      </c>
    </row>
    <row r="4879" spans="1:1" x14ac:dyDescent="0.25">
      <c r="A4879" t="s">
        <v>4054</v>
      </c>
    </row>
    <row r="4880" spans="1:1" x14ac:dyDescent="0.25">
      <c r="A4880" t="s">
        <v>2468</v>
      </c>
    </row>
    <row r="4881" spans="1:1" x14ac:dyDescent="0.25">
      <c r="A4881" t="s">
        <v>4055</v>
      </c>
    </row>
    <row r="4882" spans="1:1" x14ac:dyDescent="0.25">
      <c r="A4882" t="s">
        <v>2471</v>
      </c>
    </row>
    <row r="4884" spans="1:1" x14ac:dyDescent="0.25">
      <c r="A4884" t="s">
        <v>3460</v>
      </c>
    </row>
    <row r="4886" spans="1:1" x14ac:dyDescent="0.25">
      <c r="A4886" t="s">
        <v>2520</v>
      </c>
    </row>
    <row r="4888" spans="1:1" x14ac:dyDescent="0.25">
      <c r="A4888" t="s">
        <v>3446</v>
      </c>
    </row>
    <row r="4889" spans="1:1" x14ac:dyDescent="0.25">
      <c r="A4889" t="s">
        <v>2455</v>
      </c>
    </row>
    <row r="4890" spans="1:1" x14ac:dyDescent="0.25">
      <c r="A4890" t="s">
        <v>3448</v>
      </c>
    </row>
    <row r="4892" spans="1:1" x14ac:dyDescent="0.25">
      <c r="A4892" t="s">
        <v>4056</v>
      </c>
    </row>
    <row r="4893" spans="1:1" x14ac:dyDescent="0.25">
      <c r="A4893" t="s">
        <v>4057</v>
      </c>
    </row>
    <row r="4894" spans="1:1" x14ac:dyDescent="0.25">
      <c r="A4894" t="s">
        <v>4058</v>
      </c>
    </row>
    <row r="4895" spans="1:1" x14ac:dyDescent="0.25">
      <c r="A4895" t="s">
        <v>4059</v>
      </c>
    </row>
    <row r="4896" spans="1:1" x14ac:dyDescent="0.25">
      <c r="A4896" t="s">
        <v>4060</v>
      </c>
    </row>
    <row r="4897" spans="1:1" x14ac:dyDescent="0.25">
      <c r="A4897" t="s">
        <v>4061</v>
      </c>
    </row>
    <row r="4898" spans="1:1" x14ac:dyDescent="0.25">
      <c r="A4898" t="s">
        <v>4062</v>
      </c>
    </row>
    <row r="4899" spans="1:1" x14ac:dyDescent="0.25">
      <c r="A4899" t="s">
        <v>4063</v>
      </c>
    </row>
    <row r="4900" spans="1:1" x14ac:dyDescent="0.25">
      <c r="A4900" t="s">
        <v>4064</v>
      </c>
    </row>
    <row r="4901" spans="1:1" x14ac:dyDescent="0.25">
      <c r="A4901" t="s">
        <v>4065</v>
      </c>
    </row>
    <row r="4902" spans="1:1" x14ac:dyDescent="0.25">
      <c r="A4902" t="s">
        <v>4066</v>
      </c>
    </row>
    <row r="4903" spans="1:1" x14ac:dyDescent="0.25">
      <c r="A4903" t="s">
        <v>4067</v>
      </c>
    </row>
    <row r="4904" spans="1:1" x14ac:dyDescent="0.25">
      <c r="A4904" t="s">
        <v>4068</v>
      </c>
    </row>
    <row r="4905" spans="1:1" x14ac:dyDescent="0.25">
      <c r="A4905" t="s">
        <v>4069</v>
      </c>
    </row>
    <row r="4906" spans="1:1" x14ac:dyDescent="0.25">
      <c r="A4906" t="s">
        <v>4070</v>
      </c>
    </row>
    <row r="4908" spans="1:1" x14ac:dyDescent="0.25">
      <c r="A4908" t="s">
        <v>4071</v>
      </c>
    </row>
    <row r="4909" spans="1:1" x14ac:dyDescent="0.25">
      <c r="A4909" t="s">
        <v>4072</v>
      </c>
    </row>
    <row r="4910" spans="1:1" x14ac:dyDescent="0.25">
      <c r="A4910" t="s">
        <v>4073</v>
      </c>
    </row>
    <row r="4911" spans="1:1" x14ac:dyDescent="0.25">
      <c r="A4911" t="s">
        <v>4074</v>
      </c>
    </row>
    <row r="4912" spans="1:1" x14ac:dyDescent="0.25">
      <c r="A4912" t="s">
        <v>4075</v>
      </c>
    </row>
    <row r="4913" spans="1:1" x14ac:dyDescent="0.25">
      <c r="A4913" t="s">
        <v>4076</v>
      </c>
    </row>
    <row r="4914" spans="1:1" x14ac:dyDescent="0.25">
      <c r="A4914" t="s">
        <v>4077</v>
      </c>
    </row>
    <row r="4915" spans="1:1" x14ac:dyDescent="0.25">
      <c r="A4915" t="s">
        <v>4078</v>
      </c>
    </row>
    <row r="4916" spans="1:1" x14ac:dyDescent="0.25">
      <c r="A4916" t="s">
        <v>4079</v>
      </c>
    </row>
    <row r="4917" spans="1:1" x14ac:dyDescent="0.25">
      <c r="A4917" t="s">
        <v>4080</v>
      </c>
    </row>
    <row r="4918" spans="1:1" x14ac:dyDescent="0.25">
      <c r="A4918" t="s">
        <v>4081</v>
      </c>
    </row>
    <row r="4919" spans="1:1" x14ac:dyDescent="0.25">
      <c r="A4919" t="s">
        <v>4082</v>
      </c>
    </row>
    <row r="4920" spans="1:1" x14ac:dyDescent="0.25">
      <c r="A4920" t="s">
        <v>4083</v>
      </c>
    </row>
    <row r="4921" spans="1:1" x14ac:dyDescent="0.25">
      <c r="A4921" t="s">
        <v>4084</v>
      </c>
    </row>
    <row r="4922" spans="1:1" x14ac:dyDescent="0.25">
      <c r="A4922" t="s">
        <v>4085</v>
      </c>
    </row>
    <row r="4923" spans="1:1" x14ac:dyDescent="0.25">
      <c r="A4923" t="s">
        <v>4086</v>
      </c>
    </row>
    <row r="4924" spans="1:1" x14ac:dyDescent="0.25">
      <c r="A4924" t="s">
        <v>4087</v>
      </c>
    </row>
    <row r="4925" spans="1:1" x14ac:dyDescent="0.25">
      <c r="A4925" t="s">
        <v>4088</v>
      </c>
    </row>
    <row r="4926" spans="1:1" x14ac:dyDescent="0.25">
      <c r="A4926" t="s">
        <v>4089</v>
      </c>
    </row>
    <row r="4927" spans="1:1" x14ac:dyDescent="0.25">
      <c r="A4927" t="s">
        <v>4090</v>
      </c>
    </row>
    <row r="4928" spans="1:1" x14ac:dyDescent="0.25">
      <c r="A4928" t="s">
        <v>4091</v>
      </c>
    </row>
    <row r="4929" spans="1:1" x14ac:dyDescent="0.25">
      <c r="A4929" t="s">
        <v>4092</v>
      </c>
    </row>
    <row r="4930" spans="1:1" x14ac:dyDescent="0.25">
      <c r="A4930" t="s">
        <v>4093</v>
      </c>
    </row>
    <row r="4931" spans="1:1" x14ac:dyDescent="0.25">
      <c r="A4931" t="s">
        <v>2485</v>
      </c>
    </row>
    <row r="4932" spans="1:1" x14ac:dyDescent="0.25">
      <c r="A4932" t="s">
        <v>4094</v>
      </c>
    </row>
    <row r="4933" spans="1:1" x14ac:dyDescent="0.25">
      <c r="A4933" t="s">
        <v>2487</v>
      </c>
    </row>
    <row r="4934" spans="1:1" x14ac:dyDescent="0.25">
      <c r="A4934" t="s">
        <v>2488</v>
      </c>
    </row>
    <row r="4935" spans="1:1" x14ac:dyDescent="0.25">
      <c r="A4935" t="s">
        <v>2489</v>
      </c>
    </row>
    <row r="4936" spans="1:1" x14ac:dyDescent="0.25">
      <c r="A4936" t="s">
        <v>2490</v>
      </c>
    </row>
    <row r="4937" spans="1:1" x14ac:dyDescent="0.25">
      <c r="A4937" t="s">
        <v>2491</v>
      </c>
    </row>
    <row r="4938" spans="1:1" x14ac:dyDescent="0.25">
      <c r="A4938" t="s">
        <v>1893</v>
      </c>
    </row>
    <row r="4939" spans="1:1" x14ac:dyDescent="0.25">
      <c r="A4939" t="s">
        <v>4095</v>
      </c>
    </row>
    <row r="4940" spans="1:1" x14ac:dyDescent="0.25">
      <c r="A4940" t="s">
        <v>2493</v>
      </c>
    </row>
    <row r="4941" spans="1:1" x14ac:dyDescent="0.25">
      <c r="A4941" t="s">
        <v>2488</v>
      </c>
    </row>
    <row r="4942" spans="1:1" x14ac:dyDescent="0.25">
      <c r="A4942" t="s">
        <v>2489</v>
      </c>
    </row>
    <row r="4943" spans="1:1" x14ac:dyDescent="0.25">
      <c r="A4943" t="s">
        <v>2490</v>
      </c>
    </row>
    <row r="4944" spans="1:1" x14ac:dyDescent="0.25">
      <c r="A4944" t="s">
        <v>2491</v>
      </c>
    </row>
    <row r="4945" spans="1:1" x14ac:dyDescent="0.25">
      <c r="A4945" t="s">
        <v>1893</v>
      </c>
    </row>
    <row r="4946" spans="1:1" x14ac:dyDescent="0.25">
      <c r="A4946" t="s">
        <v>4096</v>
      </c>
    </row>
    <row r="4947" spans="1:1" x14ac:dyDescent="0.25">
      <c r="A4947" t="s">
        <v>1892</v>
      </c>
    </row>
    <row r="4948" spans="1:1" x14ac:dyDescent="0.25">
      <c r="A4948" t="s">
        <v>2488</v>
      </c>
    </row>
    <row r="4949" spans="1:1" x14ac:dyDescent="0.25">
      <c r="A4949" t="s">
        <v>2489</v>
      </c>
    </row>
    <row r="4950" spans="1:1" x14ac:dyDescent="0.25">
      <c r="A4950" t="s">
        <v>2490</v>
      </c>
    </row>
    <row r="4951" spans="1:1" x14ac:dyDescent="0.25">
      <c r="A4951" t="s">
        <v>2491</v>
      </c>
    </row>
    <row r="4952" spans="1:1" x14ac:dyDescent="0.25">
      <c r="A4952" t="s">
        <v>2495</v>
      </c>
    </row>
    <row r="4953" spans="1:1" x14ac:dyDescent="0.25">
      <c r="A4953" t="s">
        <v>1893</v>
      </c>
    </row>
    <row r="4954" spans="1:1" x14ac:dyDescent="0.25">
      <c r="A4954" t="s">
        <v>4097</v>
      </c>
    </row>
    <row r="4955" spans="1:1" x14ac:dyDescent="0.25">
      <c r="A4955" t="s">
        <v>2493</v>
      </c>
    </row>
    <row r="4956" spans="1:1" x14ac:dyDescent="0.25">
      <c r="A4956" t="s">
        <v>1892</v>
      </c>
    </row>
    <row r="4957" spans="1:1" x14ac:dyDescent="0.25">
      <c r="A4957" t="s">
        <v>2488</v>
      </c>
    </row>
    <row r="4958" spans="1:1" x14ac:dyDescent="0.25">
      <c r="A4958" t="s">
        <v>2489</v>
      </c>
    </row>
    <row r="4959" spans="1:1" x14ac:dyDescent="0.25">
      <c r="A4959" t="s">
        <v>2490</v>
      </c>
    </row>
    <row r="4960" spans="1:1" x14ac:dyDescent="0.25">
      <c r="A4960" t="s">
        <v>2491</v>
      </c>
    </row>
    <row r="4961" spans="1:1" x14ac:dyDescent="0.25">
      <c r="A4961" t="s">
        <v>2497</v>
      </c>
    </row>
    <row r="4962" spans="1:1" x14ac:dyDescent="0.25">
      <c r="A4962" t="s">
        <v>1893</v>
      </c>
    </row>
    <row r="4963" spans="1:1" x14ac:dyDescent="0.25">
      <c r="A4963" t="s">
        <v>2498</v>
      </c>
    </row>
    <row r="4964" spans="1:1" x14ac:dyDescent="0.25">
      <c r="A4964" t="s">
        <v>1904</v>
      </c>
    </row>
    <row r="4965" spans="1:1" x14ac:dyDescent="0.25">
      <c r="A4965" t="s">
        <v>4098</v>
      </c>
    </row>
    <row r="4966" spans="1:1" x14ac:dyDescent="0.25">
      <c r="A4966" t="s">
        <v>2500</v>
      </c>
    </row>
    <row r="4967" spans="1:1" x14ac:dyDescent="0.25">
      <c r="A4967" t="s">
        <v>2501</v>
      </c>
    </row>
    <row r="4968" spans="1:1" x14ac:dyDescent="0.25">
      <c r="A4968" t="s">
        <v>2502</v>
      </c>
    </row>
    <row r="4969" spans="1:1" x14ac:dyDescent="0.25">
      <c r="A4969" t="s">
        <v>2503</v>
      </c>
    </row>
    <row r="4970" spans="1:1" x14ac:dyDescent="0.25">
      <c r="A4970" t="s">
        <v>2504</v>
      </c>
    </row>
    <row r="4971" spans="1:1" x14ac:dyDescent="0.25">
      <c r="A4971" t="s">
        <v>2505</v>
      </c>
    </row>
    <row r="4972" spans="1:1" x14ac:dyDescent="0.25">
      <c r="A4972" t="s">
        <v>2506</v>
      </c>
    </row>
    <row r="4973" spans="1:1" x14ac:dyDescent="0.25">
      <c r="A4973" t="s">
        <v>2507</v>
      </c>
    </row>
    <row r="4974" spans="1:1" x14ac:dyDescent="0.25">
      <c r="A4974" t="s">
        <v>2508</v>
      </c>
    </row>
    <row r="4975" spans="1:1" x14ac:dyDescent="0.25">
      <c r="A4975" t="s">
        <v>2509</v>
      </c>
    </row>
    <row r="4976" spans="1:1" x14ac:dyDescent="0.25">
      <c r="A4976" t="s">
        <v>2510</v>
      </c>
    </row>
    <row r="4977" spans="1:1" x14ac:dyDescent="0.25">
      <c r="A4977" t="s">
        <v>2511</v>
      </c>
    </row>
    <row r="4978" spans="1:1" x14ac:dyDescent="0.25">
      <c r="A4978" t="s">
        <v>2512</v>
      </c>
    </row>
    <row r="4979" spans="1:1" x14ac:dyDescent="0.25">
      <c r="A4979" t="s">
        <v>1904</v>
      </c>
    </row>
    <row r="4980" spans="1:1" x14ac:dyDescent="0.25">
      <c r="A4980" t="s">
        <v>4099</v>
      </c>
    </row>
    <row r="4981" spans="1:1" x14ac:dyDescent="0.25">
      <c r="A4981" t="s">
        <v>2500</v>
      </c>
    </row>
    <row r="4982" spans="1:1" x14ac:dyDescent="0.25">
      <c r="A4982" t="s">
        <v>2514</v>
      </c>
    </row>
    <row r="4983" spans="1:1" x14ac:dyDescent="0.25">
      <c r="A4983" t="s">
        <v>2502</v>
      </c>
    </row>
    <row r="4984" spans="1:1" x14ac:dyDescent="0.25">
      <c r="A4984" t="s">
        <v>2515</v>
      </c>
    </row>
    <row r="4985" spans="1:1" x14ac:dyDescent="0.25">
      <c r="A4985" t="s">
        <v>2516</v>
      </c>
    </row>
    <row r="4986" spans="1:1" x14ac:dyDescent="0.25">
      <c r="A4986" t="s">
        <v>2517</v>
      </c>
    </row>
    <row r="4987" spans="1:1" x14ac:dyDescent="0.25">
      <c r="A4987" t="s">
        <v>2518</v>
      </c>
    </row>
    <row r="4988" spans="1:1" x14ac:dyDescent="0.25">
      <c r="A4988" t="s">
        <v>2507</v>
      </c>
    </row>
    <row r="4989" spans="1:1" x14ac:dyDescent="0.25">
      <c r="A4989" t="s">
        <v>2512</v>
      </c>
    </row>
    <row r="4990" spans="1:1" x14ac:dyDescent="0.25">
      <c r="A4990" t="s">
        <v>1904</v>
      </c>
    </row>
    <row r="4991" spans="1:1" x14ac:dyDescent="0.25">
      <c r="A4991" t="s">
        <v>4100</v>
      </c>
    </row>
    <row r="4992" spans="1:1" x14ac:dyDescent="0.25">
      <c r="A4992" t="s">
        <v>4101</v>
      </c>
    </row>
    <row r="4994" spans="1:1" x14ac:dyDescent="0.25">
      <c r="A4994" t="s">
        <v>4102</v>
      </c>
    </row>
    <row r="4995" spans="1:1" x14ac:dyDescent="0.25">
      <c r="A4995" t="s">
        <v>4103</v>
      </c>
    </row>
    <row r="4996" spans="1:1" x14ac:dyDescent="0.25">
      <c r="A4996" t="s">
        <v>4104</v>
      </c>
    </row>
    <row r="4998" spans="1:1" x14ac:dyDescent="0.25">
      <c r="A4998" t="s">
        <v>4105</v>
      </c>
    </row>
    <row r="4999" spans="1:1" x14ac:dyDescent="0.25">
      <c r="A4999" t="s">
        <v>4106</v>
      </c>
    </row>
    <row r="5000" spans="1:1" x14ac:dyDescent="0.25">
      <c r="A5000" t="s">
        <v>4104</v>
      </c>
    </row>
    <row r="5002" spans="1:1" x14ac:dyDescent="0.25">
      <c r="A5002" t="s">
        <v>4107</v>
      </c>
    </row>
    <row r="5003" spans="1:1" x14ac:dyDescent="0.25">
      <c r="A5003" t="s">
        <v>4108</v>
      </c>
    </row>
    <row r="5004" spans="1:1" x14ac:dyDescent="0.25">
      <c r="A5004" t="s">
        <v>4104</v>
      </c>
    </row>
    <row r="5006" spans="1:1" x14ac:dyDescent="0.25">
      <c r="A5006" t="s">
        <v>4109</v>
      </c>
    </row>
    <row r="5007" spans="1:1" x14ac:dyDescent="0.25">
      <c r="A5007" t="s">
        <v>4110</v>
      </c>
    </row>
    <row r="5008" spans="1:1" x14ac:dyDescent="0.25">
      <c r="A5008" t="s">
        <v>4104</v>
      </c>
    </row>
    <row r="5010" spans="1:1" x14ac:dyDescent="0.25">
      <c r="A5010" t="s">
        <v>4111</v>
      </c>
    </row>
    <row r="5011" spans="1:1" x14ac:dyDescent="0.25">
      <c r="A5011" t="s">
        <v>4112</v>
      </c>
    </row>
    <row r="5012" spans="1:1" x14ac:dyDescent="0.25">
      <c r="A5012" t="s">
        <v>4104</v>
      </c>
    </row>
    <row r="5014" spans="1:1" x14ac:dyDescent="0.25">
      <c r="A5014" t="s">
        <v>4113</v>
      </c>
    </row>
    <row r="5015" spans="1:1" x14ac:dyDescent="0.25">
      <c r="A5015" t="s">
        <v>4114</v>
      </c>
    </row>
    <row r="5016" spans="1:1" x14ac:dyDescent="0.25">
      <c r="A5016" t="s">
        <v>4104</v>
      </c>
    </row>
    <row r="5018" spans="1:1" x14ac:dyDescent="0.25">
      <c r="A5018" t="s">
        <v>4115</v>
      </c>
    </row>
    <row r="5019" spans="1:1" x14ac:dyDescent="0.25">
      <c r="A5019" t="s">
        <v>4116</v>
      </c>
    </row>
    <row r="5020" spans="1:1" x14ac:dyDescent="0.25">
      <c r="A5020" t="s">
        <v>4104</v>
      </c>
    </row>
    <row r="5022" spans="1:1" x14ac:dyDescent="0.25">
      <c r="A5022" t="s">
        <v>4117</v>
      </c>
    </row>
    <row r="5023" spans="1:1" x14ac:dyDescent="0.25">
      <c r="A5023" t="s">
        <v>4118</v>
      </c>
    </row>
    <row r="5024" spans="1:1" x14ac:dyDescent="0.25">
      <c r="A5024" t="s">
        <v>4104</v>
      </c>
    </row>
    <row r="5026" spans="1:1" x14ac:dyDescent="0.25">
      <c r="A5026" t="s">
        <v>4119</v>
      </c>
    </row>
    <row r="5027" spans="1:1" x14ac:dyDescent="0.25">
      <c r="A5027" t="s">
        <v>4120</v>
      </c>
    </row>
    <row r="5028" spans="1:1" x14ac:dyDescent="0.25">
      <c r="A5028" t="s">
        <v>4104</v>
      </c>
    </row>
    <row r="5030" spans="1:1" x14ac:dyDescent="0.25">
      <c r="A5030" t="s">
        <v>4121</v>
      </c>
    </row>
    <row r="5031" spans="1:1" x14ac:dyDescent="0.25">
      <c r="A5031" t="s">
        <v>4122</v>
      </c>
    </row>
    <row r="5032" spans="1:1" x14ac:dyDescent="0.25">
      <c r="A5032" t="s">
        <v>4104</v>
      </c>
    </row>
    <row r="5034" spans="1:1" x14ac:dyDescent="0.25">
      <c r="A5034" t="s">
        <v>4123</v>
      </c>
    </row>
    <row r="5035" spans="1:1" x14ac:dyDescent="0.25">
      <c r="A5035" t="s">
        <v>4124</v>
      </c>
    </row>
    <row r="5036" spans="1:1" x14ac:dyDescent="0.25">
      <c r="A5036" t="s">
        <v>4104</v>
      </c>
    </row>
    <row r="5038" spans="1:1" x14ac:dyDescent="0.25">
      <c r="A5038" t="s">
        <v>4125</v>
      </c>
    </row>
    <row r="5039" spans="1:1" x14ac:dyDescent="0.25">
      <c r="A5039" t="s">
        <v>4126</v>
      </c>
    </row>
    <row r="5040" spans="1:1" x14ac:dyDescent="0.25">
      <c r="A5040" t="s">
        <v>4104</v>
      </c>
    </row>
    <row r="5042" spans="1:1" x14ac:dyDescent="0.25">
      <c r="A5042" t="s">
        <v>4127</v>
      </c>
    </row>
    <row r="5043" spans="1:1" x14ac:dyDescent="0.25">
      <c r="A5043" t="s">
        <v>4128</v>
      </c>
    </row>
    <row r="5044" spans="1:1" x14ac:dyDescent="0.25">
      <c r="A5044" t="s">
        <v>4104</v>
      </c>
    </row>
    <row r="5046" spans="1:1" x14ac:dyDescent="0.25">
      <c r="A5046" t="s">
        <v>4129</v>
      </c>
    </row>
    <row r="5047" spans="1:1" x14ac:dyDescent="0.25">
      <c r="A5047" t="s">
        <v>4130</v>
      </c>
    </row>
    <row r="5048" spans="1:1" x14ac:dyDescent="0.25">
      <c r="A5048" t="s">
        <v>4104</v>
      </c>
    </row>
    <row r="5050" spans="1:1" x14ac:dyDescent="0.25">
      <c r="A5050" t="s">
        <v>4131</v>
      </c>
    </row>
    <row r="5051" spans="1:1" x14ac:dyDescent="0.25">
      <c r="A5051" t="s">
        <v>4132</v>
      </c>
    </row>
    <row r="5052" spans="1:1" x14ac:dyDescent="0.25">
      <c r="A5052" t="s">
        <v>4104</v>
      </c>
    </row>
    <row r="5053" spans="1:1" x14ac:dyDescent="0.25">
      <c r="A5053" t="s">
        <v>4133</v>
      </c>
    </row>
    <row r="5055" spans="1:1" x14ac:dyDescent="0.25">
      <c r="A5055" t="s">
        <v>4134</v>
      </c>
    </row>
    <row r="5056" spans="1:1" x14ac:dyDescent="0.25">
      <c r="A5056" t="s">
        <v>4135</v>
      </c>
    </row>
    <row r="5057" spans="1:1" x14ac:dyDescent="0.25">
      <c r="A5057" t="s">
        <v>4136</v>
      </c>
    </row>
    <row r="5058" spans="1:1" x14ac:dyDescent="0.25">
      <c r="A5058" t="s">
        <v>4033</v>
      </c>
    </row>
    <row r="5059" spans="1:1" x14ac:dyDescent="0.25">
      <c r="A5059" t="s">
        <v>4137</v>
      </c>
    </row>
    <row r="5060" spans="1:1" x14ac:dyDescent="0.25">
      <c r="A5060" t="s">
        <v>2468</v>
      </c>
    </row>
    <row r="5061" spans="1:1" x14ac:dyDescent="0.25">
      <c r="A5061" t="s">
        <v>4138</v>
      </c>
    </row>
    <row r="5062" spans="1:1" x14ac:dyDescent="0.25">
      <c r="A5062" t="s">
        <v>2471</v>
      </c>
    </row>
    <row r="5064" spans="1:1" x14ac:dyDescent="0.25">
      <c r="A5064" t="s">
        <v>4139</v>
      </c>
    </row>
    <row r="5066" spans="1:1" x14ac:dyDescent="0.25">
      <c r="A5066" t="s">
        <v>4140</v>
      </c>
    </row>
    <row r="5067" spans="1:1" x14ac:dyDescent="0.25">
      <c r="A5067" t="s">
        <v>2520</v>
      </c>
    </row>
    <row r="5068" spans="1:1" x14ac:dyDescent="0.25">
      <c r="A5068" t="s">
        <v>2521</v>
      </c>
    </row>
    <row r="5070" spans="1:1" x14ac:dyDescent="0.25">
      <c r="A5070" t="s">
        <v>4141</v>
      </c>
    </row>
    <row r="5071" spans="1:1" x14ac:dyDescent="0.25">
      <c r="A5071" t="s">
        <v>4142</v>
      </c>
    </row>
    <row r="5072" spans="1:1" x14ac:dyDescent="0.25">
      <c r="A5072" t="s">
        <v>4143</v>
      </c>
    </row>
    <row r="5073" spans="1:1" x14ac:dyDescent="0.25">
      <c r="A5073" t="s">
        <v>4144</v>
      </c>
    </row>
    <row r="5074" spans="1:1" x14ac:dyDescent="0.25">
      <c r="A5074" t="s">
        <v>4145</v>
      </c>
    </row>
    <row r="5075" spans="1:1" x14ac:dyDescent="0.25">
      <c r="A5075" t="s">
        <v>4146</v>
      </c>
    </row>
    <row r="5076" spans="1:1" x14ac:dyDescent="0.25">
      <c r="A5076" t="s">
        <v>4147</v>
      </c>
    </row>
    <row r="5077" spans="1:1" x14ac:dyDescent="0.25">
      <c r="A5077" t="s">
        <v>4148</v>
      </c>
    </row>
    <row r="5078" spans="1:1" x14ac:dyDescent="0.25">
      <c r="A5078" t="s">
        <v>4149</v>
      </c>
    </row>
    <row r="5079" spans="1:1" x14ac:dyDescent="0.25">
      <c r="A5079" t="s">
        <v>4150</v>
      </c>
    </row>
    <row r="5080" spans="1:1" x14ac:dyDescent="0.25">
      <c r="A5080" t="s">
        <v>4151</v>
      </c>
    </row>
    <row r="5081" spans="1:1" x14ac:dyDescent="0.25">
      <c r="A5081" t="s">
        <v>4152</v>
      </c>
    </row>
    <row r="5082" spans="1:1" x14ac:dyDescent="0.25">
      <c r="A5082" t="s">
        <v>3426</v>
      </c>
    </row>
    <row r="5083" spans="1:1" x14ac:dyDescent="0.25">
      <c r="A5083" t="s">
        <v>4153</v>
      </c>
    </row>
    <row r="5084" spans="1:1" x14ac:dyDescent="0.25">
      <c r="A5084" t="s">
        <v>3428</v>
      </c>
    </row>
    <row r="5086" spans="1:1" x14ac:dyDescent="0.25">
      <c r="A5086" t="s">
        <v>4154</v>
      </c>
    </row>
    <row r="5087" spans="1:1" x14ac:dyDescent="0.25">
      <c r="A5087" t="s">
        <v>4155</v>
      </c>
    </row>
    <row r="5088" spans="1:1" x14ac:dyDescent="0.25">
      <c r="A5088" t="s">
        <v>4156</v>
      </c>
    </row>
    <row r="5089" spans="1:1" x14ac:dyDescent="0.25">
      <c r="A5089" t="s">
        <v>4157</v>
      </c>
    </row>
    <row r="5090" spans="1:1" x14ac:dyDescent="0.25">
      <c r="A5090" t="s">
        <v>4158</v>
      </c>
    </row>
    <row r="5091" spans="1:1" x14ac:dyDescent="0.25">
      <c r="A5091" t="s">
        <v>4159</v>
      </c>
    </row>
    <row r="5092" spans="1:1" x14ac:dyDescent="0.25">
      <c r="A5092" t="s">
        <v>4160</v>
      </c>
    </row>
    <row r="5093" spans="1:1" x14ac:dyDescent="0.25">
      <c r="A5093" t="s">
        <v>4161</v>
      </c>
    </row>
    <row r="5094" spans="1:1" x14ac:dyDescent="0.25">
      <c r="A5094" t="s">
        <v>4162</v>
      </c>
    </row>
    <row r="5095" spans="1:1" x14ac:dyDescent="0.25">
      <c r="A5095" t="s">
        <v>4163</v>
      </c>
    </row>
    <row r="5097" spans="1:1" x14ac:dyDescent="0.25">
      <c r="A5097" t="s">
        <v>2520</v>
      </c>
    </row>
    <row r="5099" spans="1:1" x14ac:dyDescent="0.25">
      <c r="A5099" t="s">
        <v>3446</v>
      </c>
    </row>
    <row r="5100" spans="1:1" x14ac:dyDescent="0.25">
      <c r="A5100" t="s">
        <v>4164</v>
      </c>
    </row>
    <row r="5101" spans="1:1" x14ac:dyDescent="0.25">
      <c r="A5101" t="s">
        <v>3448</v>
      </c>
    </row>
    <row r="5103" spans="1:1" x14ac:dyDescent="0.25">
      <c r="A5103" t="s">
        <v>2520</v>
      </c>
    </row>
    <row r="5105" spans="1:1" x14ac:dyDescent="0.25">
      <c r="A5105" t="s">
        <v>2459</v>
      </c>
    </row>
    <row r="5106" spans="1:1" x14ac:dyDescent="0.25">
      <c r="A5106" t="s">
        <v>4165</v>
      </c>
    </row>
    <row r="5107" spans="1:1" x14ac:dyDescent="0.25">
      <c r="A5107" t="s">
        <v>2463</v>
      </c>
    </row>
    <row r="5108" spans="1:1" x14ac:dyDescent="0.25">
      <c r="A5108" t="s">
        <v>3424</v>
      </c>
    </row>
    <row r="5109" spans="1:1" x14ac:dyDescent="0.25">
      <c r="A5109" t="s">
        <v>3414</v>
      </c>
    </row>
    <row r="5110" spans="1:1" x14ac:dyDescent="0.25">
      <c r="A5110" t="s">
        <v>4166</v>
      </c>
    </row>
    <row r="5111" spans="1:1" x14ac:dyDescent="0.25">
      <c r="A5111" t="s">
        <v>3626</v>
      </c>
    </row>
    <row r="5112" spans="1:1" x14ac:dyDescent="0.25">
      <c r="A5112" t="s">
        <v>3440</v>
      </c>
    </row>
    <row r="5113" spans="1:1" x14ac:dyDescent="0.25">
      <c r="A5113" t="s">
        <v>3627</v>
      </c>
    </row>
    <row r="5114" spans="1:1" x14ac:dyDescent="0.25">
      <c r="A5114" t="s">
        <v>4022</v>
      </c>
    </row>
    <row r="5115" spans="1:1" x14ac:dyDescent="0.25">
      <c r="A5115" t="s">
        <v>3629</v>
      </c>
    </row>
    <row r="5116" spans="1:1" x14ac:dyDescent="0.25">
      <c r="A5116" t="s">
        <v>3444</v>
      </c>
    </row>
    <row r="5117" spans="1:1" x14ac:dyDescent="0.25">
      <c r="A5117" t="s">
        <v>3630</v>
      </c>
    </row>
    <row r="5118" spans="1:1" x14ac:dyDescent="0.25">
      <c r="A5118" t="s">
        <v>4025</v>
      </c>
    </row>
    <row r="5119" spans="1:1" x14ac:dyDescent="0.25">
      <c r="A5119" t="s">
        <v>4167</v>
      </c>
    </row>
    <row r="5120" spans="1:1" x14ac:dyDescent="0.25">
      <c r="A5120" t="s">
        <v>4168</v>
      </c>
    </row>
    <row r="5121" spans="1:1" x14ac:dyDescent="0.25">
      <c r="A5121" t="s">
        <v>4169</v>
      </c>
    </row>
    <row r="5122" spans="1:1" x14ac:dyDescent="0.25">
      <c r="A5122" t="s">
        <v>2519</v>
      </c>
    </row>
    <row r="5124" spans="1:1" x14ac:dyDescent="0.25">
      <c r="A5124" t="s">
        <v>2520</v>
      </c>
    </row>
    <row r="5126" spans="1:1" x14ac:dyDescent="0.25">
      <c r="A5126" t="s">
        <v>2459</v>
      </c>
    </row>
    <row r="5127" spans="1:1" x14ac:dyDescent="0.25">
      <c r="A5127" t="s">
        <v>4170</v>
      </c>
    </row>
    <row r="5128" spans="1:1" x14ac:dyDescent="0.25">
      <c r="A5128" t="s">
        <v>4171</v>
      </c>
    </row>
    <row r="5129" spans="1:1" x14ac:dyDescent="0.25">
      <c r="A5129" t="s">
        <v>4172</v>
      </c>
    </row>
    <row r="5130" spans="1:1" x14ac:dyDescent="0.25">
      <c r="A5130" t="s">
        <v>2463</v>
      </c>
    </row>
    <row r="5131" spans="1:1" x14ac:dyDescent="0.25">
      <c r="A5131" t="s">
        <v>3424</v>
      </c>
    </row>
    <row r="5132" spans="1:1" x14ac:dyDescent="0.25">
      <c r="A5132" t="s">
        <v>3414</v>
      </c>
    </row>
    <row r="5133" spans="1:1" x14ac:dyDescent="0.25">
      <c r="A5133" t="s">
        <v>4014</v>
      </c>
    </row>
    <row r="5134" spans="1:1" x14ac:dyDescent="0.25">
      <c r="A5134" t="s">
        <v>4015</v>
      </c>
    </row>
    <row r="5135" spans="1:1" x14ac:dyDescent="0.25">
      <c r="A5135" t="s">
        <v>4016</v>
      </c>
    </row>
    <row r="5136" spans="1:1" x14ac:dyDescent="0.25">
      <c r="A5136" t="s">
        <v>4017</v>
      </c>
    </row>
    <row r="5137" spans="1:1" x14ac:dyDescent="0.25">
      <c r="A5137" t="s">
        <v>4018</v>
      </c>
    </row>
    <row r="5138" spans="1:1" x14ac:dyDescent="0.25">
      <c r="A5138" t="s">
        <v>4019</v>
      </c>
    </row>
    <row r="5139" spans="1:1" x14ac:dyDescent="0.25">
      <c r="A5139" t="s">
        <v>4020</v>
      </c>
    </row>
    <row r="5140" spans="1:1" x14ac:dyDescent="0.25">
      <c r="A5140" t="s">
        <v>4021</v>
      </c>
    </row>
    <row r="5141" spans="1:1" x14ac:dyDescent="0.25">
      <c r="A5141" t="s">
        <v>3626</v>
      </c>
    </row>
    <row r="5142" spans="1:1" x14ac:dyDescent="0.25">
      <c r="A5142" t="s">
        <v>3440</v>
      </c>
    </row>
    <row r="5143" spans="1:1" x14ac:dyDescent="0.25">
      <c r="A5143" t="s">
        <v>3627</v>
      </c>
    </row>
    <row r="5144" spans="1:1" x14ac:dyDescent="0.25">
      <c r="A5144" t="s">
        <v>4022</v>
      </c>
    </row>
    <row r="5145" spans="1:1" x14ac:dyDescent="0.25">
      <c r="A5145" t="s">
        <v>3629</v>
      </c>
    </row>
    <row r="5146" spans="1:1" x14ac:dyDescent="0.25">
      <c r="A5146" t="s">
        <v>3444</v>
      </c>
    </row>
    <row r="5147" spans="1:1" x14ac:dyDescent="0.25">
      <c r="A5147" t="s">
        <v>3630</v>
      </c>
    </row>
    <row r="5148" spans="1:1" x14ac:dyDescent="0.25">
      <c r="A5148" t="s">
        <v>2519</v>
      </c>
    </row>
    <row r="5150" spans="1:1" x14ac:dyDescent="0.25">
      <c r="A5150" t="s">
        <v>2520</v>
      </c>
    </row>
    <row r="5151" spans="1:1" x14ac:dyDescent="0.25">
      <c r="A5151" t="s">
        <v>2521</v>
      </c>
    </row>
    <row r="5152" spans="1:1" x14ac:dyDescent="0.25">
      <c r="A5152" t="s">
        <v>3717</v>
      </c>
    </row>
    <row r="5154" spans="1:1" x14ac:dyDescent="0.25">
      <c r="A5154" t="s">
        <v>2682</v>
      </c>
    </row>
    <row r="5155" spans="1:1" x14ac:dyDescent="0.25">
      <c r="A5155" t="s">
        <v>4173</v>
      </c>
    </row>
    <row r="5156" spans="1:1" x14ac:dyDescent="0.25">
      <c r="A5156" t="s">
        <v>4174</v>
      </c>
    </row>
    <row r="5157" spans="1:1" x14ac:dyDescent="0.25">
      <c r="A5157" t="s">
        <v>4175</v>
      </c>
    </row>
    <row r="5158" spans="1:1" x14ac:dyDescent="0.25">
      <c r="A5158" t="s">
        <v>4176</v>
      </c>
    </row>
    <row r="5159" spans="1:1" x14ac:dyDescent="0.25">
      <c r="A5159" t="s">
        <v>4177</v>
      </c>
    </row>
    <row r="5160" spans="1:1" x14ac:dyDescent="0.25">
      <c r="A5160" t="s">
        <v>4178</v>
      </c>
    </row>
    <row r="5161" spans="1:1" x14ac:dyDescent="0.25">
      <c r="A5161" t="s">
        <v>4179</v>
      </c>
    </row>
    <row r="5162" spans="1:1" x14ac:dyDescent="0.25">
      <c r="A5162" t="s">
        <v>4180</v>
      </c>
    </row>
    <row r="5163" spans="1:1" x14ac:dyDescent="0.25">
      <c r="A5163" t="s">
        <v>4181</v>
      </c>
    </row>
    <row r="5164" spans="1:1" x14ac:dyDescent="0.25">
      <c r="A5164" t="s">
        <v>4182</v>
      </c>
    </row>
    <row r="5165" spans="1:1" x14ac:dyDescent="0.25">
      <c r="A5165" t="s">
        <v>4183</v>
      </c>
    </row>
    <row r="5166" spans="1:1" x14ac:dyDescent="0.25">
      <c r="A5166" t="s">
        <v>4184</v>
      </c>
    </row>
    <row r="5167" spans="1:1" x14ac:dyDescent="0.25">
      <c r="A5167" t="s">
        <v>4185</v>
      </c>
    </row>
    <row r="5168" spans="1:1" x14ac:dyDescent="0.25">
      <c r="A5168" t="s">
        <v>4186</v>
      </c>
    </row>
    <row r="5169" spans="1:1" x14ac:dyDescent="0.25">
      <c r="A5169" t="s">
        <v>4187</v>
      </c>
    </row>
    <row r="5170" spans="1:1" x14ac:dyDescent="0.25">
      <c r="A5170" t="s">
        <v>4188</v>
      </c>
    </row>
    <row r="5171" spans="1:1" x14ac:dyDescent="0.25">
      <c r="A5171" t="s">
        <v>2686</v>
      </c>
    </row>
    <row r="5173" spans="1:1" x14ac:dyDescent="0.25">
      <c r="A5173" t="s">
        <v>2440</v>
      </c>
    </row>
    <row r="5175" spans="1:1" x14ac:dyDescent="0.25">
      <c r="A5175" t="s">
        <v>2682</v>
      </c>
    </row>
    <row r="5176" spans="1:1" x14ac:dyDescent="0.25">
      <c r="A5176" t="s">
        <v>4189</v>
      </c>
    </row>
    <row r="5177" spans="1:1" x14ac:dyDescent="0.25">
      <c r="A5177" t="s">
        <v>3819</v>
      </c>
    </row>
    <row r="5178" spans="1:1" x14ac:dyDescent="0.25">
      <c r="A5178" t="s">
        <v>4190</v>
      </c>
    </row>
    <row r="5179" spans="1:1" x14ac:dyDescent="0.25">
      <c r="A5179" t="s">
        <v>3345</v>
      </c>
    </row>
    <row r="5180" spans="1:1" x14ac:dyDescent="0.25">
      <c r="A5180" t="s">
        <v>4191</v>
      </c>
    </row>
    <row r="5181" spans="1:1" x14ac:dyDescent="0.25">
      <c r="A5181" t="s">
        <v>3347</v>
      </c>
    </row>
    <row r="5183" spans="1:1" x14ac:dyDescent="0.25">
      <c r="A5183" t="s">
        <v>4192</v>
      </c>
    </row>
    <row r="5184" spans="1:1" x14ac:dyDescent="0.25">
      <c r="A5184" t="s">
        <v>4193</v>
      </c>
    </row>
    <row r="5185" spans="1:1" x14ac:dyDescent="0.25">
      <c r="A5185" t="s">
        <v>4194</v>
      </c>
    </row>
    <row r="5186" spans="1:1" x14ac:dyDescent="0.25">
      <c r="A5186" t="s">
        <v>4195</v>
      </c>
    </row>
    <row r="5187" spans="1:1" x14ac:dyDescent="0.25">
      <c r="A5187" t="s">
        <v>4196</v>
      </c>
    </row>
    <row r="5188" spans="1:1" x14ac:dyDescent="0.25">
      <c r="A5188" t="s">
        <v>4002</v>
      </c>
    </row>
    <row r="5189" spans="1:1" x14ac:dyDescent="0.25">
      <c r="A5189" t="s">
        <v>2686</v>
      </c>
    </row>
    <row r="5191" spans="1:1" x14ac:dyDescent="0.25">
      <c r="A5191" t="s">
        <v>2440</v>
      </c>
    </row>
    <row r="5193" spans="1:1" x14ac:dyDescent="0.25">
      <c r="A5193" t="s">
        <v>1934</v>
      </c>
    </row>
    <row r="5194" spans="1:1" x14ac:dyDescent="0.25">
      <c r="A5194" t="s">
        <v>4197</v>
      </c>
    </row>
    <row r="5195" spans="1:1" x14ac:dyDescent="0.25">
      <c r="A5195" t="s">
        <v>1942</v>
      </c>
    </row>
    <row r="5197" spans="1:1" x14ac:dyDescent="0.25">
      <c r="A5197" t="s">
        <v>2440</v>
      </c>
    </row>
    <row r="5199" spans="1:1" x14ac:dyDescent="0.25">
      <c r="A5199" t="s">
        <v>2682</v>
      </c>
    </row>
    <row r="5200" spans="1:1" x14ac:dyDescent="0.25">
      <c r="A5200" t="s">
        <v>4198</v>
      </c>
    </row>
    <row r="5201" spans="1:1" x14ac:dyDescent="0.25">
      <c r="A5201" t="s">
        <v>4199</v>
      </c>
    </row>
    <row r="5202" spans="1:1" x14ac:dyDescent="0.25">
      <c r="A5202" t="s">
        <v>4200</v>
      </c>
    </row>
    <row r="5203" spans="1:1" x14ac:dyDescent="0.25">
      <c r="A5203" t="s">
        <v>4201</v>
      </c>
    </row>
    <row r="5204" spans="1:1" x14ac:dyDescent="0.25">
      <c r="A5204" t="s">
        <v>4194</v>
      </c>
    </row>
    <row r="5205" spans="1:1" x14ac:dyDescent="0.25">
      <c r="A5205" t="s">
        <v>4195</v>
      </c>
    </row>
    <row r="5206" spans="1:1" x14ac:dyDescent="0.25">
      <c r="A5206" t="s">
        <v>4196</v>
      </c>
    </row>
    <row r="5207" spans="1:1" x14ac:dyDescent="0.25">
      <c r="A5207" t="s">
        <v>4002</v>
      </c>
    </row>
    <row r="5208" spans="1:1" x14ac:dyDescent="0.25">
      <c r="A5208" t="s">
        <v>2686</v>
      </c>
    </row>
    <row r="5210" spans="1:1" x14ac:dyDescent="0.25">
      <c r="A5210" t="s">
        <v>2440</v>
      </c>
    </row>
    <row r="5212" spans="1:1" x14ac:dyDescent="0.25">
      <c r="A5212" t="s">
        <v>4202</v>
      </c>
    </row>
    <row r="5213" spans="1:1" x14ac:dyDescent="0.25">
      <c r="A5213" t="s">
        <v>4203</v>
      </c>
    </row>
    <row r="5214" spans="1:1" x14ac:dyDescent="0.25">
      <c r="A5214" t="s">
        <v>4204</v>
      </c>
    </row>
    <row r="5215" spans="1:1" x14ac:dyDescent="0.25">
      <c r="A5215" t="s">
        <v>4205</v>
      </c>
    </row>
    <row r="5216" spans="1:1" x14ac:dyDescent="0.25">
      <c r="A5216" t="s">
        <v>4206</v>
      </c>
    </row>
    <row r="5217" spans="1:1" x14ac:dyDescent="0.25">
      <c r="A5217" t="s">
        <v>3345</v>
      </c>
    </row>
    <row r="5218" spans="1:1" x14ac:dyDescent="0.25">
      <c r="A5218" t="s">
        <v>4207</v>
      </c>
    </row>
    <row r="5219" spans="1:1" x14ac:dyDescent="0.25">
      <c r="A5219" t="s">
        <v>3347</v>
      </c>
    </row>
    <row r="5221" spans="1:1" x14ac:dyDescent="0.25">
      <c r="A5221" t="s">
        <v>4208</v>
      </c>
    </row>
    <row r="5222" spans="1:1" x14ac:dyDescent="0.25">
      <c r="A5222" t="s">
        <v>4209</v>
      </c>
    </row>
    <row r="5224" spans="1:1" x14ac:dyDescent="0.25">
      <c r="A5224" t="s">
        <v>2440</v>
      </c>
    </row>
    <row r="5226" spans="1:1" x14ac:dyDescent="0.25">
      <c r="A5226" t="s">
        <v>1934</v>
      </c>
    </row>
    <row r="5227" spans="1:1" x14ac:dyDescent="0.25">
      <c r="A5227" t="s">
        <v>4210</v>
      </c>
    </row>
    <row r="5228" spans="1:1" x14ac:dyDescent="0.25">
      <c r="A5228" t="s">
        <v>1942</v>
      </c>
    </row>
    <row r="5230" spans="1:1" x14ac:dyDescent="0.25">
      <c r="A5230" t="s">
        <v>2440</v>
      </c>
    </row>
    <row r="5232" spans="1:1" x14ac:dyDescent="0.25">
      <c r="A5232" t="s">
        <v>4211</v>
      </c>
    </row>
    <row r="5233" spans="1:1" x14ac:dyDescent="0.25">
      <c r="A5233" t="s">
        <v>4212</v>
      </c>
    </row>
    <row r="5234" spans="1:1" x14ac:dyDescent="0.25">
      <c r="A5234" t="s">
        <v>4213</v>
      </c>
    </row>
    <row r="5235" spans="1:1" x14ac:dyDescent="0.25">
      <c r="A5235" t="s">
        <v>2684</v>
      </c>
    </row>
    <row r="5236" spans="1:1" x14ac:dyDescent="0.25">
      <c r="A5236" t="s">
        <v>4214</v>
      </c>
    </row>
    <row r="5237" spans="1:1" x14ac:dyDescent="0.25">
      <c r="A5237" t="s">
        <v>4215</v>
      </c>
    </row>
    <row r="5238" spans="1:1" x14ac:dyDescent="0.25">
      <c r="A5238" t="s">
        <v>4216</v>
      </c>
    </row>
    <row r="5239" spans="1:1" x14ac:dyDescent="0.25">
      <c r="A5239" t="s">
        <v>4217</v>
      </c>
    </row>
    <row r="5240" spans="1:1" x14ac:dyDescent="0.25">
      <c r="A5240" t="s">
        <v>4218</v>
      </c>
    </row>
    <row r="5241" spans="1:1" x14ac:dyDescent="0.25">
      <c r="A5241" t="s">
        <v>4219</v>
      </c>
    </row>
    <row r="5242" spans="1:1" x14ac:dyDescent="0.25">
      <c r="A5242" t="s">
        <v>4220</v>
      </c>
    </row>
    <row r="5243" spans="1:1" x14ac:dyDescent="0.25">
      <c r="A5243" t="s">
        <v>4221</v>
      </c>
    </row>
    <row r="5244" spans="1:1" x14ac:dyDescent="0.25">
      <c r="A5244" t="s">
        <v>4222</v>
      </c>
    </row>
    <row r="5245" spans="1:1" x14ac:dyDescent="0.25">
      <c r="A5245" t="s">
        <v>4223</v>
      </c>
    </row>
    <row r="5246" spans="1:1" x14ac:dyDescent="0.25">
      <c r="A5246" t="s">
        <v>4224</v>
      </c>
    </row>
    <row r="5247" spans="1:1" x14ac:dyDescent="0.25">
      <c r="A5247" t="s">
        <v>4225</v>
      </c>
    </row>
    <row r="5248" spans="1:1" x14ac:dyDescent="0.25">
      <c r="A5248" t="s">
        <v>4226</v>
      </c>
    </row>
    <row r="5249" spans="1:1" x14ac:dyDescent="0.25">
      <c r="A5249" t="s">
        <v>4227</v>
      </c>
    </row>
    <row r="5250" spans="1:1" x14ac:dyDescent="0.25">
      <c r="A5250" t="s">
        <v>4228</v>
      </c>
    </row>
    <row r="5251" spans="1:1" x14ac:dyDescent="0.25">
      <c r="A5251" t="s">
        <v>4229</v>
      </c>
    </row>
    <row r="5252" spans="1:1" x14ac:dyDescent="0.25">
      <c r="A5252" t="s">
        <v>4230</v>
      </c>
    </row>
    <row r="5253" spans="1:1" x14ac:dyDescent="0.25">
      <c r="A5253" t="s">
        <v>4231</v>
      </c>
    </row>
    <row r="5255" spans="1:1" x14ac:dyDescent="0.25">
      <c r="A5255" t="s">
        <v>2440</v>
      </c>
    </row>
    <row r="5257" spans="1:1" x14ac:dyDescent="0.25">
      <c r="A5257" t="s">
        <v>2682</v>
      </c>
    </row>
    <row r="5258" spans="1:1" x14ac:dyDescent="0.25">
      <c r="A5258" t="s">
        <v>4232</v>
      </c>
    </row>
    <row r="5259" spans="1:1" x14ac:dyDescent="0.25">
      <c r="A5259" t="s">
        <v>2684</v>
      </c>
    </row>
    <row r="5260" spans="1:1" x14ac:dyDescent="0.25">
      <c r="A5260" t="s">
        <v>4174</v>
      </c>
    </row>
    <row r="5261" spans="1:1" x14ac:dyDescent="0.25">
      <c r="A5261" t="s">
        <v>3343</v>
      </c>
    </row>
    <row r="5262" spans="1:1" x14ac:dyDescent="0.25">
      <c r="A5262" t="s">
        <v>4233</v>
      </c>
    </row>
    <row r="5263" spans="1:1" x14ac:dyDescent="0.25">
      <c r="A5263" t="s">
        <v>3345</v>
      </c>
    </row>
    <row r="5264" spans="1:1" x14ac:dyDescent="0.25">
      <c r="A5264" t="s">
        <v>4234</v>
      </c>
    </row>
    <row r="5265" spans="1:1" x14ac:dyDescent="0.25">
      <c r="A5265" t="s">
        <v>3347</v>
      </c>
    </row>
    <row r="5267" spans="1:1" x14ac:dyDescent="0.25">
      <c r="A5267" t="s">
        <v>4235</v>
      </c>
    </row>
    <row r="5268" spans="1:1" x14ac:dyDescent="0.25">
      <c r="A5268" t="s">
        <v>4236</v>
      </c>
    </row>
    <row r="5269" spans="1:1" x14ac:dyDescent="0.25">
      <c r="A5269" t="s">
        <v>4237</v>
      </c>
    </row>
    <row r="5270" spans="1:1" x14ac:dyDescent="0.25">
      <c r="A5270" t="s">
        <v>4238</v>
      </c>
    </row>
    <row r="5271" spans="1:1" x14ac:dyDescent="0.25">
      <c r="A5271" t="s">
        <v>4239</v>
      </c>
    </row>
    <row r="5272" spans="1:1" x14ac:dyDescent="0.25">
      <c r="A5272" t="s">
        <v>4240</v>
      </c>
    </row>
    <row r="5273" spans="1:1" x14ac:dyDescent="0.25">
      <c r="A5273" t="s">
        <v>4241</v>
      </c>
    </row>
    <row r="5274" spans="1:1" x14ac:dyDescent="0.25">
      <c r="A5274" t="s">
        <v>4242</v>
      </c>
    </row>
    <row r="5275" spans="1:1" x14ac:dyDescent="0.25">
      <c r="A5275" t="s">
        <v>4243</v>
      </c>
    </row>
    <row r="5276" spans="1:1" x14ac:dyDescent="0.25">
      <c r="A5276" t="s">
        <v>4244</v>
      </c>
    </row>
    <row r="5277" spans="1:1" x14ac:dyDescent="0.25">
      <c r="A5277" t="s">
        <v>4245</v>
      </c>
    </row>
    <row r="5278" spans="1:1" x14ac:dyDescent="0.25">
      <c r="A5278" t="s">
        <v>4246</v>
      </c>
    </row>
    <row r="5279" spans="1:1" x14ac:dyDescent="0.25">
      <c r="A5279" t="s">
        <v>4247</v>
      </c>
    </row>
    <row r="5280" spans="1:1" x14ac:dyDescent="0.25">
      <c r="A5280" t="s">
        <v>4248</v>
      </c>
    </row>
    <row r="5281" spans="1:1" x14ac:dyDescent="0.25">
      <c r="A5281" t="s">
        <v>4249</v>
      </c>
    </row>
    <row r="5282" spans="1:1" x14ac:dyDescent="0.25">
      <c r="A5282" t="s">
        <v>3753</v>
      </c>
    </row>
    <row r="5283" spans="1:1" x14ac:dyDescent="0.25">
      <c r="A5283" t="s">
        <v>3754</v>
      </c>
    </row>
    <row r="5284" spans="1:1" x14ac:dyDescent="0.25">
      <c r="A5284" t="s">
        <v>3755</v>
      </c>
    </row>
    <row r="5285" spans="1:1" x14ac:dyDescent="0.25">
      <c r="A5285" t="s">
        <v>3756</v>
      </c>
    </row>
    <row r="5286" spans="1:1" x14ac:dyDescent="0.25">
      <c r="A5286" t="s">
        <v>3757</v>
      </c>
    </row>
    <row r="5287" spans="1:1" x14ac:dyDescent="0.25">
      <c r="A5287" t="s">
        <v>3395</v>
      </c>
    </row>
    <row r="5288" spans="1:1" x14ac:dyDescent="0.25">
      <c r="A5288" t="s">
        <v>2686</v>
      </c>
    </row>
    <row r="5290" spans="1:1" x14ac:dyDescent="0.25">
      <c r="A5290" t="s">
        <v>2440</v>
      </c>
    </row>
    <row r="5292" spans="1:1" x14ac:dyDescent="0.25">
      <c r="A5292" t="s">
        <v>1934</v>
      </c>
    </row>
    <row r="5293" spans="1:1" x14ac:dyDescent="0.25">
      <c r="A5293" t="s">
        <v>4250</v>
      </c>
    </row>
    <row r="5294" spans="1:1" x14ac:dyDescent="0.25">
      <c r="A5294" t="s">
        <v>1942</v>
      </c>
    </row>
    <row r="5296" spans="1:1" x14ac:dyDescent="0.25">
      <c r="A5296" t="s">
        <v>2440</v>
      </c>
    </row>
    <row r="5298" spans="1:1" x14ac:dyDescent="0.25">
      <c r="A5298" t="s">
        <v>2682</v>
      </c>
    </row>
    <row r="5299" spans="1:1" x14ac:dyDescent="0.25">
      <c r="A5299" t="s">
        <v>4251</v>
      </c>
    </row>
    <row r="5300" spans="1:1" x14ac:dyDescent="0.25">
      <c r="A5300" t="s">
        <v>2684</v>
      </c>
    </row>
    <row r="5301" spans="1:1" x14ac:dyDescent="0.25">
      <c r="A5301" t="s">
        <v>4174</v>
      </c>
    </row>
    <row r="5302" spans="1:1" x14ac:dyDescent="0.25">
      <c r="A5302" t="s">
        <v>3343</v>
      </c>
    </row>
    <row r="5303" spans="1:1" x14ac:dyDescent="0.25">
      <c r="A5303" t="s">
        <v>4252</v>
      </c>
    </row>
    <row r="5304" spans="1:1" x14ac:dyDescent="0.25">
      <c r="A5304" t="s">
        <v>3345</v>
      </c>
    </row>
    <row r="5305" spans="1:1" x14ac:dyDescent="0.25">
      <c r="A5305" t="s">
        <v>4253</v>
      </c>
    </row>
    <row r="5306" spans="1:1" x14ac:dyDescent="0.25">
      <c r="A5306" t="s">
        <v>3347</v>
      </c>
    </row>
    <row r="5308" spans="1:1" x14ac:dyDescent="0.25">
      <c r="A5308" t="s">
        <v>3753</v>
      </c>
    </row>
    <row r="5309" spans="1:1" x14ac:dyDescent="0.25">
      <c r="A5309" t="s">
        <v>3754</v>
      </c>
    </row>
    <row r="5310" spans="1:1" x14ac:dyDescent="0.25">
      <c r="A5310" t="s">
        <v>3755</v>
      </c>
    </row>
    <row r="5311" spans="1:1" x14ac:dyDescent="0.25">
      <c r="A5311" t="s">
        <v>3756</v>
      </c>
    </row>
    <row r="5312" spans="1:1" x14ac:dyDescent="0.25">
      <c r="A5312" t="s">
        <v>3757</v>
      </c>
    </row>
    <row r="5313" spans="1:1" x14ac:dyDescent="0.25">
      <c r="A5313" t="s">
        <v>3395</v>
      </c>
    </row>
    <row r="5314" spans="1:1" x14ac:dyDescent="0.25">
      <c r="A5314" t="s">
        <v>3765</v>
      </c>
    </row>
    <row r="5315" spans="1:1" x14ac:dyDescent="0.25">
      <c r="A5315" t="s">
        <v>4254</v>
      </c>
    </row>
    <row r="5316" spans="1:1" x14ac:dyDescent="0.25">
      <c r="A5316" t="s">
        <v>4255</v>
      </c>
    </row>
    <row r="5317" spans="1:1" x14ac:dyDescent="0.25">
      <c r="A5317" t="s">
        <v>4256</v>
      </c>
    </row>
    <row r="5318" spans="1:1" x14ac:dyDescent="0.25">
      <c r="A5318" t="s">
        <v>3769</v>
      </c>
    </row>
    <row r="5319" spans="1:1" x14ac:dyDescent="0.25">
      <c r="A5319" t="s">
        <v>4257</v>
      </c>
    </row>
    <row r="5320" spans="1:1" x14ac:dyDescent="0.25">
      <c r="A5320" t="s">
        <v>4258</v>
      </c>
    </row>
    <row r="5321" spans="1:1" x14ac:dyDescent="0.25">
      <c r="A5321" t="s">
        <v>3772</v>
      </c>
    </row>
    <row r="5322" spans="1:1" x14ac:dyDescent="0.25">
      <c r="A5322" t="s">
        <v>4259</v>
      </c>
    </row>
    <row r="5323" spans="1:1" x14ac:dyDescent="0.25">
      <c r="A5323" t="s">
        <v>4260</v>
      </c>
    </row>
    <row r="5324" spans="1:1" x14ac:dyDescent="0.25">
      <c r="A5324" t="s">
        <v>4261</v>
      </c>
    </row>
    <row r="5325" spans="1:1" x14ac:dyDescent="0.25">
      <c r="A5325" t="s">
        <v>4262</v>
      </c>
    </row>
    <row r="5326" spans="1:1" x14ac:dyDescent="0.25">
      <c r="A5326" t="s">
        <v>3777</v>
      </c>
    </row>
    <row r="5327" spans="1:1" x14ac:dyDescent="0.25">
      <c r="A5327" t="s">
        <v>4263</v>
      </c>
    </row>
    <row r="5328" spans="1:1" x14ac:dyDescent="0.25">
      <c r="A5328" t="s">
        <v>2686</v>
      </c>
    </row>
    <row r="5330" spans="1:1" x14ac:dyDescent="0.25">
      <c r="A5330" t="s">
        <v>2440</v>
      </c>
    </row>
    <row r="5332" spans="1:1" x14ac:dyDescent="0.25">
      <c r="A5332" t="s">
        <v>1934</v>
      </c>
    </row>
    <row r="5333" spans="1:1" x14ac:dyDescent="0.25">
      <c r="A5333" t="s">
        <v>4264</v>
      </c>
    </row>
    <row r="5334" spans="1:1" x14ac:dyDescent="0.25">
      <c r="A5334" t="s">
        <v>1942</v>
      </c>
    </row>
    <row r="5335" spans="1:1" x14ac:dyDescent="0.25">
      <c r="A5335" t="s">
        <v>2749</v>
      </c>
    </row>
    <row r="5337" spans="1:1" x14ac:dyDescent="0.25">
      <c r="A5337" t="s">
        <v>1775</v>
      </c>
    </row>
    <row r="5339" spans="1:1" x14ac:dyDescent="0.25">
      <c r="A5339" t="s">
        <v>4265</v>
      </c>
    </row>
    <row r="5340" spans="1:1" x14ac:dyDescent="0.25">
      <c r="A5340" t="s">
        <v>4266</v>
      </c>
    </row>
    <row r="5342" spans="1:1" x14ac:dyDescent="0.25">
      <c r="A5342" t="s">
        <v>2440</v>
      </c>
    </row>
    <row r="5344" spans="1:1" x14ac:dyDescent="0.25">
      <c r="A5344" t="s">
        <v>4267</v>
      </c>
    </row>
    <row r="5345" spans="1:1" x14ac:dyDescent="0.25">
      <c r="A5345" t="s">
        <v>3356</v>
      </c>
    </row>
    <row r="5346" spans="1:1" x14ac:dyDescent="0.25">
      <c r="A5346" t="s">
        <v>4268</v>
      </c>
    </row>
    <row r="5347" spans="1:1" x14ac:dyDescent="0.25">
      <c r="A5347" t="s">
        <v>4269</v>
      </c>
    </row>
    <row r="5348" spans="1:1" x14ac:dyDescent="0.25">
      <c r="A5348" t="s">
        <v>1942</v>
      </c>
    </row>
    <row r="5350" spans="1:1" x14ac:dyDescent="0.25">
      <c r="A5350" t="s">
        <v>2440</v>
      </c>
    </row>
    <row r="5352" spans="1:1" x14ac:dyDescent="0.25">
      <c r="A5352" t="s">
        <v>2682</v>
      </c>
    </row>
    <row r="5353" spans="1:1" x14ac:dyDescent="0.25">
      <c r="A5353" t="s">
        <v>4270</v>
      </c>
    </row>
    <row r="5354" spans="1:1" x14ac:dyDescent="0.25">
      <c r="A5354" t="s">
        <v>4271</v>
      </c>
    </row>
    <row r="5355" spans="1:1" x14ac:dyDescent="0.25">
      <c r="A5355" t="s">
        <v>2446</v>
      </c>
    </row>
    <row r="5356" spans="1:1" x14ac:dyDescent="0.25">
      <c r="A5356" t="s">
        <v>4272</v>
      </c>
    </row>
    <row r="5357" spans="1:1" x14ac:dyDescent="0.25">
      <c r="A5357" t="s">
        <v>3362</v>
      </c>
    </row>
    <row r="5358" spans="1:1" x14ac:dyDescent="0.25">
      <c r="A5358" t="s">
        <v>3363</v>
      </c>
    </row>
    <row r="5359" spans="1:1" x14ac:dyDescent="0.25">
      <c r="A5359" t="s">
        <v>2686</v>
      </c>
    </row>
    <row r="5361" spans="1:1" x14ac:dyDescent="0.25">
      <c r="A5361" t="s">
        <v>2440</v>
      </c>
    </row>
    <row r="5363" spans="1:1" x14ac:dyDescent="0.25">
      <c r="A5363" t="s">
        <v>4273</v>
      </c>
    </row>
    <row r="5365" spans="1:1" x14ac:dyDescent="0.25">
      <c r="A5365" t="s">
        <v>2440</v>
      </c>
    </row>
    <row r="5367" spans="1:1" x14ac:dyDescent="0.25">
      <c r="A5367" t="s">
        <v>4267</v>
      </c>
    </row>
    <row r="5368" spans="1:1" x14ac:dyDescent="0.25">
      <c r="A5368" t="s">
        <v>3356</v>
      </c>
    </row>
    <row r="5369" spans="1:1" x14ac:dyDescent="0.25">
      <c r="A5369" t="s">
        <v>4274</v>
      </c>
    </row>
    <row r="5370" spans="1:1" x14ac:dyDescent="0.25">
      <c r="A5370" t="s">
        <v>4275</v>
      </c>
    </row>
    <row r="5371" spans="1:1" x14ac:dyDescent="0.25">
      <c r="A5371" t="s">
        <v>1942</v>
      </c>
    </row>
    <row r="5373" spans="1:1" x14ac:dyDescent="0.25">
      <c r="A5373" t="s">
        <v>2440</v>
      </c>
    </row>
    <row r="5375" spans="1:1" x14ac:dyDescent="0.25">
      <c r="A5375" t="s">
        <v>2682</v>
      </c>
    </row>
    <row r="5376" spans="1:1" x14ac:dyDescent="0.25">
      <c r="A5376" t="s">
        <v>4276</v>
      </c>
    </row>
    <row r="5377" spans="1:1" x14ac:dyDescent="0.25">
      <c r="A5377" t="s">
        <v>4271</v>
      </c>
    </row>
    <row r="5378" spans="1:1" x14ac:dyDescent="0.25">
      <c r="A5378" t="s">
        <v>2446</v>
      </c>
    </row>
    <row r="5379" spans="1:1" x14ac:dyDescent="0.25">
      <c r="A5379" t="s">
        <v>4277</v>
      </c>
    </row>
    <row r="5380" spans="1:1" x14ac:dyDescent="0.25">
      <c r="A5380" t="s">
        <v>4278</v>
      </c>
    </row>
    <row r="5381" spans="1:1" x14ac:dyDescent="0.25">
      <c r="A5381" t="s">
        <v>4279</v>
      </c>
    </row>
    <row r="5382" spans="1:1" x14ac:dyDescent="0.25">
      <c r="A5382" t="s">
        <v>2686</v>
      </c>
    </row>
    <row r="5384" spans="1:1" x14ac:dyDescent="0.25">
      <c r="A5384" t="s">
        <v>2440</v>
      </c>
    </row>
    <row r="5386" spans="1:1" x14ac:dyDescent="0.25">
      <c r="A5386" t="s">
        <v>4280</v>
      </c>
    </row>
    <row r="5387" spans="1:1" x14ac:dyDescent="0.25">
      <c r="A5387" t="s">
        <v>3881</v>
      </c>
    </row>
    <row r="5388" spans="1:1" x14ac:dyDescent="0.25">
      <c r="A5388" t="s">
        <v>4281</v>
      </c>
    </row>
    <row r="5389" spans="1:1" x14ac:dyDescent="0.25">
      <c r="A5389" t="s">
        <v>4282</v>
      </c>
    </row>
    <row r="5390" spans="1:1" x14ac:dyDescent="0.25">
      <c r="A5390" t="s">
        <v>4283</v>
      </c>
    </row>
    <row r="5391" spans="1:1" x14ac:dyDescent="0.25">
      <c r="A5391" t="s">
        <v>4284</v>
      </c>
    </row>
    <row r="5392" spans="1:1" x14ac:dyDescent="0.25">
      <c r="A5392" t="s">
        <v>4285</v>
      </c>
    </row>
    <row r="5393" spans="1:1" x14ac:dyDescent="0.25">
      <c r="A5393" t="s">
        <v>3896</v>
      </c>
    </row>
    <row r="5394" spans="1:1" x14ac:dyDescent="0.25">
      <c r="A5394" t="s">
        <v>3897</v>
      </c>
    </row>
    <row r="5395" spans="1:1" x14ac:dyDescent="0.25">
      <c r="A5395" t="s">
        <v>4286</v>
      </c>
    </row>
    <row r="5396" spans="1:1" x14ac:dyDescent="0.25">
      <c r="A5396" t="s">
        <v>4287</v>
      </c>
    </row>
    <row r="5397" spans="1:1" x14ac:dyDescent="0.25">
      <c r="A5397" t="s">
        <v>4288</v>
      </c>
    </row>
    <row r="5398" spans="1:1" x14ac:dyDescent="0.25">
      <c r="A5398" t="s">
        <v>4289</v>
      </c>
    </row>
    <row r="5399" spans="1:1" x14ac:dyDescent="0.25">
      <c r="A5399" t="s">
        <v>4290</v>
      </c>
    </row>
    <row r="5400" spans="1:1" x14ac:dyDescent="0.25">
      <c r="A5400" t="s">
        <v>4291</v>
      </c>
    </row>
    <row r="5401" spans="1:1" x14ac:dyDescent="0.25">
      <c r="A5401" t="s">
        <v>4292</v>
      </c>
    </row>
    <row r="5402" spans="1:1" x14ac:dyDescent="0.25">
      <c r="A5402" t="s">
        <v>4293</v>
      </c>
    </row>
    <row r="5403" spans="1:1" x14ac:dyDescent="0.25">
      <c r="A5403" t="s">
        <v>4294</v>
      </c>
    </row>
    <row r="5404" spans="1:1" x14ac:dyDescent="0.25">
      <c r="A5404" t="s">
        <v>4295</v>
      </c>
    </row>
    <row r="5405" spans="1:1" x14ac:dyDescent="0.25">
      <c r="A5405" t="s">
        <v>4296</v>
      </c>
    </row>
    <row r="5406" spans="1:1" x14ac:dyDescent="0.25">
      <c r="A5406" t="s">
        <v>4297</v>
      </c>
    </row>
    <row r="5407" spans="1:1" x14ac:dyDescent="0.25">
      <c r="A5407" t="s">
        <v>4298</v>
      </c>
    </row>
    <row r="5408" spans="1:1" x14ac:dyDescent="0.25">
      <c r="A5408" t="s">
        <v>4299</v>
      </c>
    </row>
    <row r="5409" spans="1:1" x14ac:dyDescent="0.25">
      <c r="A5409" t="s">
        <v>3898</v>
      </c>
    </row>
    <row r="5411" spans="1:1" x14ac:dyDescent="0.25">
      <c r="A5411" t="s">
        <v>3899</v>
      </c>
    </row>
    <row r="5413" spans="1:1" x14ac:dyDescent="0.25">
      <c r="A5413" t="s">
        <v>4300</v>
      </c>
    </row>
    <row r="5414" spans="1:1" x14ac:dyDescent="0.25">
      <c r="A5414" t="s">
        <v>4301</v>
      </c>
    </row>
    <row r="5415" spans="1:1" x14ac:dyDescent="0.25">
      <c r="A5415" t="s">
        <v>4302</v>
      </c>
    </row>
    <row r="5416" spans="1:1" x14ac:dyDescent="0.25">
      <c r="A5416" t="s">
        <v>4303</v>
      </c>
    </row>
    <row r="5417" spans="1:1" x14ac:dyDescent="0.25">
      <c r="A5417" t="s">
        <v>4304</v>
      </c>
    </row>
    <row r="5418" spans="1:1" x14ac:dyDescent="0.25">
      <c r="A5418" t="s">
        <v>4305</v>
      </c>
    </row>
    <row r="5419" spans="1:1" x14ac:dyDescent="0.25">
      <c r="A5419" t="s">
        <v>4306</v>
      </c>
    </row>
    <row r="5420" spans="1:1" x14ac:dyDescent="0.25">
      <c r="A5420" t="s">
        <v>4307</v>
      </c>
    </row>
    <row r="5421" spans="1:1" x14ac:dyDescent="0.25">
      <c r="A5421" t="s">
        <v>4308</v>
      </c>
    </row>
    <row r="5422" spans="1:1" x14ac:dyDescent="0.25">
      <c r="A5422" t="s">
        <v>4309</v>
      </c>
    </row>
    <row r="5423" spans="1:1" x14ac:dyDescent="0.25">
      <c r="A5423" t="s">
        <v>4310</v>
      </c>
    </row>
    <row r="5425" spans="1:1" x14ac:dyDescent="0.25">
      <c r="A5425" t="s">
        <v>3899</v>
      </c>
    </row>
    <row r="5427" spans="1:1" x14ac:dyDescent="0.25">
      <c r="A5427" t="s">
        <v>3881</v>
      </c>
    </row>
    <row r="5428" spans="1:1" x14ac:dyDescent="0.25">
      <c r="A5428" t="s">
        <v>4311</v>
      </c>
    </row>
    <row r="5429" spans="1:1" x14ac:dyDescent="0.25">
      <c r="A5429" t="s">
        <v>4312</v>
      </c>
    </row>
    <row r="5430" spans="1:1" x14ac:dyDescent="0.25">
      <c r="A5430" t="s">
        <v>4283</v>
      </c>
    </row>
    <row r="5431" spans="1:1" x14ac:dyDescent="0.25">
      <c r="A5431" t="s">
        <v>4284</v>
      </c>
    </row>
    <row r="5432" spans="1:1" x14ac:dyDescent="0.25">
      <c r="A5432" t="s">
        <v>4313</v>
      </c>
    </row>
    <row r="5433" spans="1:1" x14ac:dyDescent="0.25">
      <c r="A5433" t="s">
        <v>4314</v>
      </c>
    </row>
    <row r="5434" spans="1:1" x14ac:dyDescent="0.25">
      <c r="A5434" t="s">
        <v>4315</v>
      </c>
    </row>
    <row r="5435" spans="1:1" x14ac:dyDescent="0.25">
      <c r="A5435" t="s">
        <v>4316</v>
      </c>
    </row>
    <row r="5437" spans="1:1" x14ac:dyDescent="0.25">
      <c r="A5437" t="s">
        <v>4317</v>
      </c>
    </row>
    <row r="5438" spans="1:1" x14ac:dyDescent="0.25">
      <c r="A5438" t="s">
        <v>4318</v>
      </c>
    </row>
    <row r="5439" spans="1:1" x14ac:dyDescent="0.25">
      <c r="A5439" t="s">
        <v>4319</v>
      </c>
    </row>
    <row r="5440" spans="1:1" x14ac:dyDescent="0.25">
      <c r="A5440" t="s">
        <v>4320</v>
      </c>
    </row>
    <row r="5441" spans="1:1" x14ac:dyDescent="0.25">
      <c r="A5441" t="s">
        <v>4321</v>
      </c>
    </row>
    <row r="5442" spans="1:1" x14ac:dyDescent="0.25">
      <c r="A5442" t="s">
        <v>4322</v>
      </c>
    </row>
    <row r="5443" spans="1:1" x14ac:dyDescent="0.25">
      <c r="A5443" t="s">
        <v>4323</v>
      </c>
    </row>
    <row r="5444" spans="1:1" x14ac:dyDescent="0.25">
      <c r="A5444" t="s">
        <v>3898</v>
      </c>
    </row>
    <row r="5446" spans="1:1" x14ac:dyDescent="0.25">
      <c r="A5446" t="s">
        <v>3899</v>
      </c>
    </row>
    <row r="5448" spans="1:1" x14ac:dyDescent="0.25">
      <c r="A5448" t="s">
        <v>2448</v>
      </c>
    </row>
    <row r="5449" spans="1:1" x14ac:dyDescent="0.25">
      <c r="A5449" t="s">
        <v>4324</v>
      </c>
    </row>
    <row r="5450" spans="1:1" x14ac:dyDescent="0.25">
      <c r="A5450" t="s">
        <v>2453</v>
      </c>
    </row>
    <row r="5452" spans="1:1" x14ac:dyDescent="0.25">
      <c r="A5452" t="s">
        <v>3899</v>
      </c>
    </row>
    <row r="5454" spans="1:1" x14ac:dyDescent="0.25">
      <c r="A5454" t="s">
        <v>3881</v>
      </c>
    </row>
    <row r="5455" spans="1:1" x14ac:dyDescent="0.25">
      <c r="A5455" t="s">
        <v>4325</v>
      </c>
    </row>
    <row r="5456" spans="1:1" x14ac:dyDescent="0.25">
      <c r="A5456" t="s">
        <v>4282</v>
      </c>
    </row>
    <row r="5457" spans="1:1" x14ac:dyDescent="0.25">
      <c r="A5457" t="s">
        <v>4303</v>
      </c>
    </row>
    <row r="5458" spans="1:1" x14ac:dyDescent="0.25">
      <c r="A5458" t="s">
        <v>4326</v>
      </c>
    </row>
    <row r="5459" spans="1:1" x14ac:dyDescent="0.25">
      <c r="A5459" t="s">
        <v>4327</v>
      </c>
    </row>
    <row r="5460" spans="1:1" x14ac:dyDescent="0.25">
      <c r="A5460" t="s">
        <v>4328</v>
      </c>
    </row>
    <row r="5461" spans="1:1" x14ac:dyDescent="0.25">
      <c r="A5461" t="s">
        <v>4329</v>
      </c>
    </row>
    <row r="5462" spans="1:1" x14ac:dyDescent="0.25">
      <c r="A5462" t="s">
        <v>4330</v>
      </c>
    </row>
    <row r="5463" spans="1:1" x14ac:dyDescent="0.25">
      <c r="A5463" t="s">
        <v>4331</v>
      </c>
    </row>
    <row r="5464" spans="1:1" x14ac:dyDescent="0.25">
      <c r="A5464" t="s">
        <v>4332</v>
      </c>
    </row>
    <row r="5465" spans="1:1" x14ac:dyDescent="0.25">
      <c r="A5465" t="s">
        <v>4333</v>
      </c>
    </row>
    <row r="5466" spans="1:1" x14ac:dyDescent="0.25">
      <c r="A5466" t="s">
        <v>4334</v>
      </c>
    </row>
    <row r="5467" spans="1:1" x14ac:dyDescent="0.25">
      <c r="A5467" t="s">
        <v>4335</v>
      </c>
    </row>
    <row r="5468" spans="1:1" x14ac:dyDescent="0.25">
      <c r="A5468" t="s">
        <v>3898</v>
      </c>
    </row>
    <row r="5470" spans="1:1" x14ac:dyDescent="0.25">
      <c r="A5470" t="s">
        <v>3899</v>
      </c>
    </row>
    <row r="5471" spans="1:1" x14ac:dyDescent="0.25">
      <c r="A5471" t="s">
        <v>3717</v>
      </c>
    </row>
    <row r="5473" spans="1:1" x14ac:dyDescent="0.25">
      <c r="A5473" t="s">
        <v>2440</v>
      </c>
    </row>
    <row r="5475" spans="1:1" x14ac:dyDescent="0.25">
      <c r="A5475" t="s">
        <v>4336</v>
      </c>
    </row>
    <row r="5476" spans="1:1" x14ac:dyDescent="0.25">
      <c r="A5476" t="s">
        <v>4337</v>
      </c>
    </row>
    <row r="5477" spans="1:1" x14ac:dyDescent="0.25">
      <c r="A5477" t="s">
        <v>2459</v>
      </c>
    </row>
    <row r="5478" spans="1:1" x14ac:dyDescent="0.25">
      <c r="A5478" t="s">
        <v>4338</v>
      </c>
    </row>
    <row r="5479" spans="1:1" x14ac:dyDescent="0.25">
      <c r="A5479" t="s">
        <v>4339</v>
      </c>
    </row>
    <row r="5480" spans="1:1" x14ac:dyDescent="0.25">
      <c r="A5480" t="s">
        <v>4172</v>
      </c>
    </row>
    <row r="5481" spans="1:1" x14ac:dyDescent="0.25">
      <c r="A5481" t="s">
        <v>4340</v>
      </c>
    </row>
    <row r="5482" spans="1:1" x14ac:dyDescent="0.25">
      <c r="A5482" t="s">
        <v>4341</v>
      </c>
    </row>
    <row r="5483" spans="1:1" x14ac:dyDescent="0.25">
      <c r="A5483" t="s">
        <v>2463</v>
      </c>
    </row>
    <row r="5484" spans="1:1" x14ac:dyDescent="0.25">
      <c r="A5484" t="s">
        <v>4342</v>
      </c>
    </row>
    <row r="5485" spans="1:1" x14ac:dyDescent="0.25">
      <c r="A5485" t="s">
        <v>3414</v>
      </c>
    </row>
    <row r="5486" spans="1:1" x14ac:dyDescent="0.25">
      <c r="A5486" t="s">
        <v>4343</v>
      </c>
    </row>
    <row r="5487" spans="1:1" x14ac:dyDescent="0.25">
      <c r="A5487" t="s">
        <v>4344</v>
      </c>
    </row>
    <row r="5488" spans="1:1" x14ac:dyDescent="0.25">
      <c r="A5488" t="s">
        <v>3429</v>
      </c>
    </row>
    <row r="5489" spans="1:1" x14ac:dyDescent="0.25">
      <c r="A5489" t="s">
        <v>1790</v>
      </c>
    </row>
    <row r="5490" spans="1:1" x14ac:dyDescent="0.25">
      <c r="A5490" t="s">
        <v>3430</v>
      </c>
    </row>
    <row r="5491" spans="1:1" x14ac:dyDescent="0.25">
      <c r="A5491" t="s">
        <v>3431</v>
      </c>
    </row>
    <row r="5492" spans="1:1" x14ac:dyDescent="0.25">
      <c r="A5492" t="s">
        <v>1876</v>
      </c>
    </row>
    <row r="5493" spans="1:1" x14ac:dyDescent="0.25">
      <c r="A5493" t="s">
        <v>1904</v>
      </c>
    </row>
    <row r="5494" spans="1:1" x14ac:dyDescent="0.25">
      <c r="A5494" t="s">
        <v>4345</v>
      </c>
    </row>
    <row r="5495" spans="1:1" x14ac:dyDescent="0.25">
      <c r="A5495" t="s">
        <v>4346</v>
      </c>
    </row>
    <row r="5496" spans="1:1" x14ac:dyDescent="0.25">
      <c r="A5496" t="s">
        <v>4347</v>
      </c>
    </row>
    <row r="5497" spans="1:1" x14ac:dyDescent="0.25">
      <c r="A5497" t="s">
        <v>4348</v>
      </c>
    </row>
    <row r="5498" spans="1:1" x14ac:dyDescent="0.25">
      <c r="A5498" t="s">
        <v>4349</v>
      </c>
    </row>
    <row r="5499" spans="1:1" x14ac:dyDescent="0.25">
      <c r="A5499" t="s">
        <v>4350</v>
      </c>
    </row>
    <row r="5500" spans="1:1" x14ac:dyDescent="0.25">
      <c r="A5500" t="s">
        <v>4351</v>
      </c>
    </row>
    <row r="5501" spans="1:1" x14ac:dyDescent="0.25">
      <c r="A5501" t="s">
        <v>4352</v>
      </c>
    </row>
    <row r="5502" spans="1:1" x14ac:dyDescent="0.25">
      <c r="A5502" t="s">
        <v>4353</v>
      </c>
    </row>
    <row r="5503" spans="1:1" x14ac:dyDescent="0.25">
      <c r="A5503" t="s">
        <v>4354</v>
      </c>
    </row>
    <row r="5504" spans="1:1" x14ac:dyDescent="0.25">
      <c r="A5504" t="s">
        <v>4355</v>
      </c>
    </row>
    <row r="5505" spans="1:1" x14ac:dyDescent="0.25">
      <c r="A5505" t="s">
        <v>4356</v>
      </c>
    </row>
    <row r="5506" spans="1:1" x14ac:dyDescent="0.25">
      <c r="A5506" t="s">
        <v>4357</v>
      </c>
    </row>
    <row r="5507" spans="1:1" x14ac:dyDescent="0.25">
      <c r="A5507" t="s">
        <v>4358</v>
      </c>
    </row>
    <row r="5508" spans="1:1" x14ac:dyDescent="0.25">
      <c r="A5508" t="s">
        <v>4359</v>
      </c>
    </row>
    <row r="5509" spans="1:1" x14ac:dyDescent="0.25">
      <c r="A5509" t="s">
        <v>4360</v>
      </c>
    </row>
    <row r="5510" spans="1:1" x14ac:dyDescent="0.25">
      <c r="A5510" t="s">
        <v>4361</v>
      </c>
    </row>
    <row r="5511" spans="1:1" x14ac:dyDescent="0.25">
      <c r="A5511" t="s">
        <v>4362</v>
      </c>
    </row>
    <row r="5512" spans="1:1" x14ac:dyDescent="0.25">
      <c r="A5512" t="s">
        <v>4363</v>
      </c>
    </row>
    <row r="5513" spans="1:1" x14ac:dyDescent="0.25">
      <c r="A5513" t="s">
        <v>4364</v>
      </c>
    </row>
    <row r="5514" spans="1:1" x14ac:dyDescent="0.25">
      <c r="A5514" t="s">
        <v>4365</v>
      </c>
    </row>
    <row r="5515" spans="1:1" x14ac:dyDescent="0.25">
      <c r="A5515" t="s">
        <v>4366</v>
      </c>
    </row>
    <row r="5516" spans="1:1" x14ac:dyDescent="0.25">
      <c r="A5516" t="s">
        <v>4367</v>
      </c>
    </row>
    <row r="5517" spans="1:1" x14ac:dyDescent="0.25">
      <c r="A5517" t="s">
        <v>4368</v>
      </c>
    </row>
    <row r="5518" spans="1:1" x14ac:dyDescent="0.25">
      <c r="A5518" t="s">
        <v>4369</v>
      </c>
    </row>
    <row r="5519" spans="1:1" x14ac:dyDescent="0.25">
      <c r="A5519" t="s">
        <v>4370</v>
      </c>
    </row>
    <row r="5520" spans="1:1" x14ac:dyDescent="0.25">
      <c r="A5520" t="s">
        <v>4371</v>
      </c>
    </row>
    <row r="5521" spans="1:1" x14ac:dyDescent="0.25">
      <c r="A5521" t="s">
        <v>2519</v>
      </c>
    </row>
    <row r="5523" spans="1:1" x14ac:dyDescent="0.25">
      <c r="A5523" t="s">
        <v>2520</v>
      </c>
    </row>
    <row r="5525" spans="1:1" x14ac:dyDescent="0.25">
      <c r="A5525" t="s">
        <v>2459</v>
      </c>
    </row>
    <row r="5526" spans="1:1" x14ac:dyDescent="0.25">
      <c r="A5526" t="s">
        <v>4372</v>
      </c>
    </row>
    <row r="5527" spans="1:1" x14ac:dyDescent="0.25">
      <c r="A5527" t="s">
        <v>4339</v>
      </c>
    </row>
    <row r="5528" spans="1:1" x14ac:dyDescent="0.25">
      <c r="A5528" t="s">
        <v>4172</v>
      </c>
    </row>
    <row r="5529" spans="1:1" x14ac:dyDescent="0.25">
      <c r="A5529" t="s">
        <v>4340</v>
      </c>
    </row>
    <row r="5530" spans="1:1" x14ac:dyDescent="0.25">
      <c r="A5530" t="s">
        <v>4341</v>
      </c>
    </row>
    <row r="5531" spans="1:1" x14ac:dyDescent="0.25">
      <c r="A5531" t="s">
        <v>2463</v>
      </c>
    </row>
    <row r="5532" spans="1:1" x14ac:dyDescent="0.25">
      <c r="A5532" t="s">
        <v>4342</v>
      </c>
    </row>
    <row r="5533" spans="1:1" x14ac:dyDescent="0.25">
      <c r="A5533" t="s">
        <v>3414</v>
      </c>
    </row>
    <row r="5534" spans="1:1" x14ac:dyDescent="0.25">
      <c r="A5534" t="s">
        <v>4373</v>
      </c>
    </row>
    <row r="5535" spans="1:1" x14ac:dyDescent="0.25">
      <c r="A5535" t="s">
        <v>4374</v>
      </c>
    </row>
    <row r="5536" spans="1:1" x14ac:dyDescent="0.25">
      <c r="A5536" t="s">
        <v>4345</v>
      </c>
    </row>
    <row r="5537" spans="1:1" x14ac:dyDescent="0.25">
      <c r="A5537" t="s">
        <v>4346</v>
      </c>
    </row>
    <row r="5538" spans="1:1" x14ac:dyDescent="0.25">
      <c r="A5538" t="s">
        <v>4347</v>
      </c>
    </row>
    <row r="5539" spans="1:1" x14ac:dyDescent="0.25">
      <c r="A5539" t="s">
        <v>4348</v>
      </c>
    </row>
    <row r="5540" spans="1:1" x14ac:dyDescent="0.25">
      <c r="A5540" t="s">
        <v>4349</v>
      </c>
    </row>
    <row r="5541" spans="1:1" x14ac:dyDescent="0.25">
      <c r="A5541" t="s">
        <v>4350</v>
      </c>
    </row>
    <row r="5542" spans="1:1" x14ac:dyDescent="0.25">
      <c r="A5542" t="s">
        <v>4351</v>
      </c>
    </row>
    <row r="5543" spans="1:1" x14ac:dyDescent="0.25">
      <c r="A5543" t="s">
        <v>4352</v>
      </c>
    </row>
    <row r="5544" spans="1:1" x14ac:dyDescent="0.25">
      <c r="A5544" t="s">
        <v>4353</v>
      </c>
    </row>
    <row r="5545" spans="1:1" x14ac:dyDescent="0.25">
      <c r="A5545" t="s">
        <v>4354</v>
      </c>
    </row>
    <row r="5546" spans="1:1" x14ac:dyDescent="0.25">
      <c r="A5546" t="s">
        <v>4355</v>
      </c>
    </row>
    <row r="5547" spans="1:1" x14ac:dyDescent="0.25">
      <c r="A5547" t="s">
        <v>4356</v>
      </c>
    </row>
    <row r="5548" spans="1:1" x14ac:dyDescent="0.25">
      <c r="A5548" t="s">
        <v>4375</v>
      </c>
    </row>
    <row r="5549" spans="1:1" x14ac:dyDescent="0.25">
      <c r="A5549" t="s">
        <v>4376</v>
      </c>
    </row>
    <row r="5550" spans="1:1" x14ac:dyDescent="0.25">
      <c r="A5550" t="s">
        <v>4377</v>
      </c>
    </row>
    <row r="5551" spans="1:1" x14ac:dyDescent="0.25">
      <c r="A5551" t="s">
        <v>4378</v>
      </c>
    </row>
    <row r="5552" spans="1:1" x14ac:dyDescent="0.25">
      <c r="A5552" t="s">
        <v>4379</v>
      </c>
    </row>
    <row r="5553" spans="1:1" x14ac:dyDescent="0.25">
      <c r="A5553" t="s">
        <v>4380</v>
      </c>
    </row>
    <row r="5554" spans="1:1" x14ac:dyDescent="0.25">
      <c r="A5554" t="s">
        <v>4381</v>
      </c>
    </row>
    <row r="5555" spans="1:1" x14ac:dyDescent="0.25">
      <c r="A5555" t="s">
        <v>4382</v>
      </c>
    </row>
    <row r="5556" spans="1:1" x14ac:dyDescent="0.25">
      <c r="A5556" t="s">
        <v>4383</v>
      </c>
    </row>
    <row r="5557" spans="1:1" x14ac:dyDescent="0.25">
      <c r="A5557" t="s">
        <v>4384</v>
      </c>
    </row>
    <row r="5558" spans="1:1" x14ac:dyDescent="0.25">
      <c r="A5558" t="s">
        <v>4385</v>
      </c>
    </row>
    <row r="5559" spans="1:1" x14ac:dyDescent="0.25">
      <c r="A5559" t="s">
        <v>4386</v>
      </c>
    </row>
    <row r="5560" spans="1:1" x14ac:dyDescent="0.25">
      <c r="A5560" t="s">
        <v>2519</v>
      </c>
    </row>
    <row r="5562" spans="1:1" x14ac:dyDescent="0.25">
      <c r="A5562" t="s">
        <v>2520</v>
      </c>
    </row>
    <row r="5564" spans="1:1" x14ac:dyDescent="0.25">
      <c r="A5564" t="s">
        <v>2459</v>
      </c>
    </row>
    <row r="5565" spans="1:1" x14ac:dyDescent="0.25">
      <c r="A5565" t="s">
        <v>4387</v>
      </c>
    </row>
    <row r="5566" spans="1:1" x14ac:dyDescent="0.25">
      <c r="A5566" t="s">
        <v>4388</v>
      </c>
    </row>
    <row r="5567" spans="1:1" x14ac:dyDescent="0.25">
      <c r="A5567" t="s">
        <v>4389</v>
      </c>
    </row>
    <row r="5568" spans="1:1" x14ac:dyDescent="0.25">
      <c r="A5568" t="s">
        <v>4390</v>
      </c>
    </row>
    <row r="5569" spans="1:1" x14ac:dyDescent="0.25">
      <c r="A5569" t="s">
        <v>4391</v>
      </c>
    </row>
    <row r="5570" spans="1:1" x14ac:dyDescent="0.25">
      <c r="A5570" t="s">
        <v>4392</v>
      </c>
    </row>
    <row r="5571" spans="1:1" x14ac:dyDescent="0.25">
      <c r="A5571" t="s">
        <v>4393</v>
      </c>
    </row>
    <row r="5572" spans="1:1" x14ac:dyDescent="0.25">
      <c r="A5572" t="s">
        <v>4394</v>
      </c>
    </row>
    <row r="5573" spans="1:1" x14ac:dyDescent="0.25">
      <c r="A5573" t="s">
        <v>4395</v>
      </c>
    </row>
    <row r="5574" spans="1:1" x14ac:dyDescent="0.25">
      <c r="A5574" t="s">
        <v>2519</v>
      </c>
    </row>
    <row r="5576" spans="1:1" x14ac:dyDescent="0.25">
      <c r="A5576" t="s">
        <v>2520</v>
      </c>
    </row>
    <row r="5578" spans="1:1" x14ac:dyDescent="0.25">
      <c r="A5578" t="s">
        <v>4396</v>
      </c>
    </row>
    <row r="5579" spans="1:1" x14ac:dyDescent="0.25">
      <c r="A5579" t="s">
        <v>4397</v>
      </c>
    </row>
    <row r="5580" spans="1:1" x14ac:dyDescent="0.25">
      <c r="A5580" t="s">
        <v>4172</v>
      </c>
    </row>
    <row r="5581" spans="1:1" x14ac:dyDescent="0.25">
      <c r="A5581" t="s">
        <v>4398</v>
      </c>
    </row>
    <row r="5582" spans="1:1" x14ac:dyDescent="0.25">
      <c r="A5582" t="s">
        <v>4399</v>
      </c>
    </row>
    <row r="5583" spans="1:1" x14ac:dyDescent="0.25">
      <c r="A5583" t="s">
        <v>4400</v>
      </c>
    </row>
    <row r="5584" spans="1:1" x14ac:dyDescent="0.25">
      <c r="A5584" t="s">
        <v>4401</v>
      </c>
    </row>
    <row r="5585" spans="1:1" x14ac:dyDescent="0.25">
      <c r="A5585" t="s">
        <v>4402</v>
      </c>
    </row>
    <row r="5587" spans="1:1" x14ac:dyDescent="0.25">
      <c r="A5587" t="s">
        <v>2520</v>
      </c>
    </row>
    <row r="5589" spans="1:1" x14ac:dyDescent="0.25">
      <c r="A5589" t="s">
        <v>4396</v>
      </c>
    </row>
    <row r="5590" spans="1:1" x14ac:dyDescent="0.25">
      <c r="A5590" t="s">
        <v>4403</v>
      </c>
    </row>
    <row r="5591" spans="1:1" x14ac:dyDescent="0.25">
      <c r="A5591" t="s">
        <v>4404</v>
      </c>
    </row>
    <row r="5592" spans="1:1" x14ac:dyDescent="0.25">
      <c r="A5592" t="s">
        <v>4405</v>
      </c>
    </row>
    <row r="5593" spans="1:1" x14ac:dyDescent="0.25">
      <c r="A5593" t="s">
        <v>4406</v>
      </c>
    </row>
    <row r="5594" spans="1:1" x14ac:dyDescent="0.25">
      <c r="A5594" t="s">
        <v>4407</v>
      </c>
    </row>
    <row r="5595" spans="1:1" x14ac:dyDescent="0.25">
      <c r="A5595" t="s">
        <v>4172</v>
      </c>
    </row>
    <row r="5596" spans="1:1" x14ac:dyDescent="0.25">
      <c r="A5596" t="s">
        <v>4408</v>
      </c>
    </row>
    <row r="5597" spans="1:1" x14ac:dyDescent="0.25">
      <c r="A5597" t="s">
        <v>4409</v>
      </c>
    </row>
    <row r="5598" spans="1:1" x14ac:dyDescent="0.25">
      <c r="A5598" t="s">
        <v>4410</v>
      </c>
    </row>
    <row r="5599" spans="1:1" x14ac:dyDescent="0.25">
      <c r="A5599" t="s">
        <v>4411</v>
      </c>
    </row>
    <row r="5600" spans="1:1" x14ac:dyDescent="0.25">
      <c r="A5600" t="s">
        <v>4412</v>
      </c>
    </row>
    <row r="5601" spans="1:1" x14ac:dyDescent="0.25">
      <c r="A5601" t="s">
        <v>4413</v>
      </c>
    </row>
    <row r="5602" spans="1:1" x14ac:dyDescent="0.25">
      <c r="A5602" t="s">
        <v>4414</v>
      </c>
    </row>
    <row r="5603" spans="1:1" x14ac:dyDescent="0.25">
      <c r="A5603" t="s">
        <v>4415</v>
      </c>
    </row>
    <row r="5604" spans="1:1" x14ac:dyDescent="0.25">
      <c r="A5604" t="s">
        <v>4416</v>
      </c>
    </row>
    <row r="5605" spans="1:1" x14ac:dyDescent="0.25">
      <c r="A5605" t="s">
        <v>4402</v>
      </c>
    </row>
    <row r="5607" spans="1:1" x14ac:dyDescent="0.25">
      <c r="A5607" t="s">
        <v>2520</v>
      </c>
    </row>
    <row r="5609" spans="1:1" x14ac:dyDescent="0.25">
      <c r="A5609" t="s">
        <v>2459</v>
      </c>
    </row>
    <row r="5610" spans="1:1" x14ac:dyDescent="0.25">
      <c r="A5610" t="s">
        <v>4417</v>
      </c>
    </row>
    <row r="5611" spans="1:1" x14ac:dyDescent="0.25">
      <c r="A5611" t="s">
        <v>4418</v>
      </c>
    </row>
    <row r="5612" spans="1:1" x14ac:dyDescent="0.25">
      <c r="A5612" t="s">
        <v>4419</v>
      </c>
    </row>
    <row r="5613" spans="1:1" x14ac:dyDescent="0.25">
      <c r="A5613" t="s">
        <v>4420</v>
      </c>
    </row>
    <row r="5614" spans="1:1" x14ac:dyDescent="0.25">
      <c r="A5614" t="s">
        <v>4421</v>
      </c>
    </row>
    <row r="5615" spans="1:1" x14ac:dyDescent="0.25">
      <c r="A5615" t="s">
        <v>4172</v>
      </c>
    </row>
    <row r="5616" spans="1:1" x14ac:dyDescent="0.25">
      <c r="A5616" t="s">
        <v>2463</v>
      </c>
    </row>
    <row r="5617" spans="1:1" x14ac:dyDescent="0.25">
      <c r="A5617" t="s">
        <v>3580</v>
      </c>
    </row>
    <row r="5618" spans="1:1" x14ac:dyDescent="0.25">
      <c r="A5618" t="s">
        <v>4422</v>
      </c>
    </row>
    <row r="5619" spans="1:1" x14ac:dyDescent="0.25">
      <c r="A5619" t="s">
        <v>3616</v>
      </c>
    </row>
    <row r="5620" spans="1:1" x14ac:dyDescent="0.25">
      <c r="A5620" t="s">
        <v>4423</v>
      </c>
    </row>
    <row r="5621" spans="1:1" x14ac:dyDescent="0.25">
      <c r="A5621" t="s">
        <v>4424</v>
      </c>
    </row>
    <row r="5622" spans="1:1" x14ac:dyDescent="0.25">
      <c r="A5622" t="s">
        <v>4425</v>
      </c>
    </row>
    <row r="5623" spans="1:1" x14ac:dyDescent="0.25">
      <c r="A5623" t="s">
        <v>4426</v>
      </c>
    </row>
    <row r="5624" spans="1:1" x14ac:dyDescent="0.25">
      <c r="A5624" t="s">
        <v>4427</v>
      </c>
    </row>
    <row r="5625" spans="1:1" x14ac:dyDescent="0.25">
      <c r="A5625" t="s">
        <v>4428</v>
      </c>
    </row>
    <row r="5626" spans="1:1" x14ac:dyDescent="0.25">
      <c r="A5626" t="s">
        <v>4429</v>
      </c>
    </row>
    <row r="5627" spans="1:1" x14ac:dyDescent="0.25">
      <c r="A5627" t="s">
        <v>4430</v>
      </c>
    </row>
    <row r="5628" spans="1:1" x14ac:dyDescent="0.25">
      <c r="A5628" t="s">
        <v>2519</v>
      </c>
    </row>
    <row r="5630" spans="1:1" x14ac:dyDescent="0.25">
      <c r="A5630" t="s">
        <v>2459</v>
      </c>
    </row>
    <row r="5631" spans="1:1" x14ac:dyDescent="0.25">
      <c r="A5631" t="s">
        <v>4431</v>
      </c>
    </row>
    <row r="5632" spans="1:1" x14ac:dyDescent="0.25">
      <c r="A5632" t="s">
        <v>4432</v>
      </c>
    </row>
    <row r="5633" spans="1:1" x14ac:dyDescent="0.25">
      <c r="A5633" t="s">
        <v>4419</v>
      </c>
    </row>
    <row r="5634" spans="1:1" x14ac:dyDescent="0.25">
      <c r="A5634" t="s">
        <v>4420</v>
      </c>
    </row>
    <row r="5635" spans="1:1" x14ac:dyDescent="0.25">
      <c r="A5635" t="s">
        <v>4421</v>
      </c>
    </row>
    <row r="5636" spans="1:1" x14ac:dyDescent="0.25">
      <c r="A5636" t="s">
        <v>4172</v>
      </c>
    </row>
    <row r="5637" spans="1:1" x14ac:dyDescent="0.25">
      <c r="A5637" t="s">
        <v>2463</v>
      </c>
    </row>
    <row r="5638" spans="1:1" x14ac:dyDescent="0.25">
      <c r="A5638" t="s">
        <v>3580</v>
      </c>
    </row>
    <row r="5639" spans="1:1" x14ac:dyDescent="0.25">
      <c r="A5639" t="s">
        <v>4433</v>
      </c>
    </row>
    <row r="5640" spans="1:1" x14ac:dyDescent="0.25">
      <c r="A5640" t="s">
        <v>3616</v>
      </c>
    </row>
    <row r="5641" spans="1:1" x14ac:dyDescent="0.25">
      <c r="A5641" t="s">
        <v>4423</v>
      </c>
    </row>
    <row r="5642" spans="1:1" x14ac:dyDescent="0.25">
      <c r="A5642" t="s">
        <v>4424</v>
      </c>
    </row>
    <row r="5643" spans="1:1" x14ac:dyDescent="0.25">
      <c r="A5643" t="s">
        <v>4425</v>
      </c>
    </row>
    <row r="5644" spans="1:1" x14ac:dyDescent="0.25">
      <c r="A5644" t="s">
        <v>4426</v>
      </c>
    </row>
    <row r="5645" spans="1:1" x14ac:dyDescent="0.25">
      <c r="A5645" t="s">
        <v>4427</v>
      </c>
    </row>
    <row r="5646" spans="1:1" x14ac:dyDescent="0.25">
      <c r="A5646" t="s">
        <v>4428</v>
      </c>
    </row>
    <row r="5647" spans="1:1" x14ac:dyDescent="0.25">
      <c r="A5647" t="s">
        <v>4429</v>
      </c>
    </row>
    <row r="5648" spans="1:1" x14ac:dyDescent="0.25">
      <c r="A5648" t="s">
        <v>4430</v>
      </c>
    </row>
    <row r="5649" spans="1:1" x14ac:dyDescent="0.25">
      <c r="A5649" t="s">
        <v>2519</v>
      </c>
    </row>
    <row r="5651" spans="1:1" x14ac:dyDescent="0.25">
      <c r="A5651" t="s">
        <v>2520</v>
      </c>
    </row>
    <row r="5653" spans="1:1" x14ac:dyDescent="0.25">
      <c r="A5653" t="s">
        <v>2459</v>
      </c>
    </row>
    <row r="5654" spans="1:1" x14ac:dyDescent="0.25">
      <c r="A5654" t="s">
        <v>4434</v>
      </c>
    </row>
    <row r="5655" spans="1:1" x14ac:dyDescent="0.25">
      <c r="A5655" t="s">
        <v>4172</v>
      </c>
    </row>
    <row r="5656" spans="1:1" x14ac:dyDescent="0.25">
      <c r="A5656" t="s">
        <v>4435</v>
      </c>
    </row>
    <row r="5657" spans="1:1" x14ac:dyDescent="0.25">
      <c r="A5657" t="s">
        <v>4436</v>
      </c>
    </row>
    <row r="5658" spans="1:1" x14ac:dyDescent="0.25">
      <c r="A5658" t="s">
        <v>4437</v>
      </c>
    </row>
    <row r="5659" spans="1:1" x14ac:dyDescent="0.25">
      <c r="A5659" t="s">
        <v>4438</v>
      </c>
    </row>
    <row r="5660" spans="1:1" x14ac:dyDescent="0.25">
      <c r="A5660" t="s">
        <v>4439</v>
      </c>
    </row>
    <row r="5661" spans="1:1" x14ac:dyDescent="0.25">
      <c r="A5661" t="s">
        <v>4440</v>
      </c>
    </row>
    <row r="5662" spans="1:1" x14ac:dyDescent="0.25">
      <c r="A5662" t="s">
        <v>4441</v>
      </c>
    </row>
    <row r="5663" spans="1:1" x14ac:dyDescent="0.25">
      <c r="A5663" t="s">
        <v>4442</v>
      </c>
    </row>
    <row r="5664" spans="1:1" x14ac:dyDescent="0.25">
      <c r="A5664" t="s">
        <v>2519</v>
      </c>
    </row>
    <row r="5666" spans="1:1" x14ac:dyDescent="0.25">
      <c r="A5666" t="s">
        <v>2520</v>
      </c>
    </row>
    <row r="5668" spans="1:1" x14ac:dyDescent="0.25">
      <c r="A5668" t="s">
        <v>4142</v>
      </c>
    </row>
    <row r="5669" spans="1:1" x14ac:dyDescent="0.25">
      <c r="A5669" t="s">
        <v>4443</v>
      </c>
    </row>
    <row r="5670" spans="1:1" x14ac:dyDescent="0.25">
      <c r="A5670" t="s">
        <v>4172</v>
      </c>
    </row>
    <row r="5671" spans="1:1" x14ac:dyDescent="0.25">
      <c r="A5671" t="s">
        <v>4444</v>
      </c>
    </row>
    <row r="5672" spans="1:1" x14ac:dyDescent="0.25">
      <c r="A5672" t="s">
        <v>4445</v>
      </c>
    </row>
    <row r="5673" spans="1:1" x14ac:dyDescent="0.25">
      <c r="A5673" t="s">
        <v>4446</v>
      </c>
    </row>
    <row r="5674" spans="1:1" x14ac:dyDescent="0.25">
      <c r="A5674" t="s">
        <v>4447</v>
      </c>
    </row>
    <row r="5675" spans="1:1" x14ac:dyDescent="0.25">
      <c r="A5675" t="s">
        <v>4448</v>
      </c>
    </row>
    <row r="5676" spans="1:1" x14ac:dyDescent="0.25">
      <c r="A5676" t="s">
        <v>4449</v>
      </c>
    </row>
    <row r="5677" spans="1:1" x14ac:dyDescent="0.25">
      <c r="A5677" t="s">
        <v>4450</v>
      </c>
    </row>
    <row r="5678" spans="1:1" x14ac:dyDescent="0.25">
      <c r="A5678" t="s">
        <v>4451</v>
      </c>
    </row>
    <row r="5679" spans="1:1" x14ac:dyDescent="0.25">
      <c r="A5679" t="s">
        <v>4452</v>
      </c>
    </row>
    <row r="5680" spans="1:1" x14ac:dyDescent="0.25">
      <c r="A5680" t="s">
        <v>4453</v>
      </c>
    </row>
    <row r="5681" spans="1:1" x14ac:dyDescent="0.25">
      <c r="A5681" t="s">
        <v>4454</v>
      </c>
    </row>
    <row r="5682" spans="1:1" x14ac:dyDescent="0.25">
      <c r="A5682" t="s">
        <v>4455</v>
      </c>
    </row>
    <row r="5683" spans="1:1" x14ac:dyDescent="0.25">
      <c r="A5683" t="s">
        <v>4456</v>
      </c>
    </row>
    <row r="5684" spans="1:1" x14ac:dyDescent="0.25">
      <c r="A5684" t="s">
        <v>4457</v>
      </c>
    </row>
    <row r="5685" spans="1:1" x14ac:dyDescent="0.25">
      <c r="A5685" t="s">
        <v>4458</v>
      </c>
    </row>
    <row r="5686" spans="1:1" x14ac:dyDescent="0.25">
      <c r="A5686" t="s">
        <v>4163</v>
      </c>
    </row>
    <row r="5688" spans="1:1" x14ac:dyDescent="0.25">
      <c r="A5688" t="s">
        <v>2520</v>
      </c>
    </row>
    <row r="5690" spans="1:1" x14ac:dyDescent="0.25">
      <c r="A5690" t="s">
        <v>4142</v>
      </c>
    </row>
    <row r="5691" spans="1:1" x14ac:dyDescent="0.25">
      <c r="A5691" t="s">
        <v>4459</v>
      </c>
    </row>
    <row r="5692" spans="1:1" x14ac:dyDescent="0.25">
      <c r="A5692" t="s">
        <v>4172</v>
      </c>
    </row>
    <row r="5693" spans="1:1" x14ac:dyDescent="0.25">
      <c r="A5693" t="s">
        <v>4444</v>
      </c>
    </row>
    <row r="5694" spans="1:1" x14ac:dyDescent="0.25">
      <c r="A5694" t="s">
        <v>4460</v>
      </c>
    </row>
    <row r="5695" spans="1:1" x14ac:dyDescent="0.25">
      <c r="A5695" t="s">
        <v>4461</v>
      </c>
    </row>
    <row r="5696" spans="1:1" x14ac:dyDescent="0.25">
      <c r="A5696" t="s">
        <v>4462</v>
      </c>
    </row>
    <row r="5697" spans="1:3" x14ac:dyDescent="0.25">
      <c r="A5697" t="s">
        <v>1877</v>
      </c>
    </row>
    <row r="5699" spans="1:3" x14ac:dyDescent="0.25">
      <c r="A5699" t="s">
        <v>4463</v>
      </c>
    </row>
    <row r="5700" spans="1:3" x14ac:dyDescent="0.25">
      <c r="A5700" t="s">
        <v>4464</v>
      </c>
    </row>
    <row r="5701" spans="1:3" x14ac:dyDescent="0.25">
      <c r="A5701" t="s">
        <v>4465</v>
      </c>
    </row>
    <row r="5702" spans="1:3" x14ac:dyDescent="0.25">
      <c r="A5702" t="s">
        <v>4466</v>
      </c>
    </row>
    <row r="5703" spans="1:3" x14ac:dyDescent="0.25">
      <c r="A5703" t="s">
        <v>4467</v>
      </c>
    </row>
    <row r="5704" spans="1:3" x14ac:dyDescent="0.25">
      <c r="A5704" t="s">
        <v>4468</v>
      </c>
    </row>
    <row r="5706" spans="1:3" x14ac:dyDescent="0.25">
      <c r="A5706" t="s">
        <v>4469</v>
      </c>
    </row>
    <row r="5707" spans="1:3" x14ac:dyDescent="0.25">
      <c r="A5707" t="s">
        <v>4470</v>
      </c>
    </row>
    <row r="5708" spans="1:3" x14ac:dyDescent="0.25">
      <c r="B5708" t="s">
        <v>4471</v>
      </c>
    </row>
    <row r="5709" spans="1:3" x14ac:dyDescent="0.25">
      <c r="B5709" t="s">
        <v>4472</v>
      </c>
    </row>
    <row r="5710" spans="1:3" x14ac:dyDescent="0.25">
      <c r="C5710" t="s">
        <v>4473</v>
      </c>
    </row>
    <row r="5711" spans="1:3" x14ac:dyDescent="0.25">
      <c r="B5711" t="s">
        <v>1794</v>
      </c>
    </row>
    <row r="5712" spans="1:3" x14ac:dyDescent="0.25">
      <c r="A5712" t="s">
        <v>1794</v>
      </c>
    </row>
    <row r="5713" spans="1:1" x14ac:dyDescent="0.25">
      <c r="A5713" t="s">
        <v>4474</v>
      </c>
    </row>
    <row r="5716" spans="1:1" x14ac:dyDescent="0.25">
      <c r="A5716" t="s">
        <v>1789</v>
      </c>
    </row>
    <row r="5717" spans="1:1" x14ac:dyDescent="0.25">
      <c r="A5717" t="s">
        <v>1904</v>
      </c>
    </row>
    <row r="5718" spans="1:1" x14ac:dyDescent="0.25">
      <c r="A5718" t="s">
        <v>4475</v>
      </c>
    </row>
    <row r="5719" spans="1:1" x14ac:dyDescent="0.25">
      <c r="A5719" t="s">
        <v>4476</v>
      </c>
    </row>
    <row r="5720" spans="1:1" x14ac:dyDescent="0.25">
      <c r="A5720" t="s">
        <v>4477</v>
      </c>
    </row>
    <row r="5721" spans="1:1" x14ac:dyDescent="0.25">
      <c r="A5721" t="s">
        <v>4478</v>
      </c>
    </row>
    <row r="5722" spans="1:1" x14ac:dyDescent="0.25">
      <c r="A5722" t="s">
        <v>4451</v>
      </c>
    </row>
    <row r="5723" spans="1:1" x14ac:dyDescent="0.25">
      <c r="A5723" t="s">
        <v>4452</v>
      </c>
    </row>
    <row r="5724" spans="1:1" x14ac:dyDescent="0.25">
      <c r="A5724" t="s">
        <v>4453</v>
      </c>
    </row>
    <row r="5725" spans="1:1" x14ac:dyDescent="0.25">
      <c r="A5725" t="s">
        <v>4454</v>
      </c>
    </row>
    <row r="5726" spans="1:1" x14ac:dyDescent="0.25">
      <c r="A5726" t="s">
        <v>4455</v>
      </c>
    </row>
    <row r="5727" spans="1:1" x14ac:dyDescent="0.25">
      <c r="A5727" t="s">
        <v>4456</v>
      </c>
    </row>
    <row r="5728" spans="1:1" x14ac:dyDescent="0.25">
      <c r="A5728" t="s">
        <v>4457</v>
      </c>
    </row>
    <row r="5729" spans="1:1" x14ac:dyDescent="0.25">
      <c r="A5729" t="s">
        <v>4479</v>
      </c>
    </row>
    <row r="5730" spans="1:1" x14ac:dyDescent="0.25">
      <c r="A5730" t="s">
        <v>4163</v>
      </c>
    </row>
    <row r="5732" spans="1:1" x14ac:dyDescent="0.25">
      <c r="A5732" t="s">
        <v>2520</v>
      </c>
    </row>
    <row r="5734" spans="1:1" x14ac:dyDescent="0.25">
      <c r="A5734" t="s">
        <v>4142</v>
      </c>
    </row>
    <row r="5735" spans="1:1" x14ac:dyDescent="0.25">
      <c r="A5735" t="s">
        <v>4480</v>
      </c>
    </row>
    <row r="5736" spans="1:1" x14ac:dyDescent="0.25">
      <c r="A5736" t="s">
        <v>4481</v>
      </c>
    </row>
    <row r="5737" spans="1:1" x14ac:dyDescent="0.25">
      <c r="A5737" t="s">
        <v>4145</v>
      </c>
    </row>
    <row r="5738" spans="1:1" x14ac:dyDescent="0.25">
      <c r="A5738" t="s">
        <v>4172</v>
      </c>
    </row>
    <row r="5739" spans="1:1" x14ac:dyDescent="0.25">
      <c r="A5739" t="s">
        <v>2463</v>
      </c>
    </row>
    <row r="5740" spans="1:1" x14ac:dyDescent="0.25">
      <c r="A5740" t="s">
        <v>4150</v>
      </c>
    </row>
    <row r="5741" spans="1:1" x14ac:dyDescent="0.25">
      <c r="A5741" t="s">
        <v>4482</v>
      </c>
    </row>
    <row r="5742" spans="1:1" x14ac:dyDescent="0.25">
      <c r="A5742" t="s">
        <v>4483</v>
      </c>
    </row>
    <row r="5743" spans="1:1" x14ac:dyDescent="0.25">
      <c r="A5743" t="s">
        <v>4484</v>
      </c>
    </row>
    <row r="5744" spans="1:1" x14ac:dyDescent="0.25">
      <c r="A5744" t="s">
        <v>4485</v>
      </c>
    </row>
    <row r="5745" spans="1:1" x14ac:dyDescent="0.25">
      <c r="A5745" t="s">
        <v>4486</v>
      </c>
    </row>
    <row r="5746" spans="1:1" x14ac:dyDescent="0.25">
      <c r="A5746" t="s">
        <v>4487</v>
      </c>
    </row>
    <row r="5747" spans="1:1" x14ac:dyDescent="0.25">
      <c r="A5747" t="s">
        <v>4488</v>
      </c>
    </row>
    <row r="5748" spans="1:1" x14ac:dyDescent="0.25">
      <c r="A5748" t="s">
        <v>4489</v>
      </c>
    </row>
    <row r="5749" spans="1:1" x14ac:dyDescent="0.25">
      <c r="A5749" t="s">
        <v>4490</v>
      </c>
    </row>
    <row r="5750" spans="1:1" x14ac:dyDescent="0.25">
      <c r="A5750" t="s">
        <v>4491</v>
      </c>
    </row>
    <row r="5751" spans="1:1" x14ac:dyDescent="0.25">
      <c r="A5751" t="s">
        <v>4492</v>
      </c>
    </row>
    <row r="5752" spans="1:1" x14ac:dyDescent="0.25">
      <c r="A5752" t="s">
        <v>4493</v>
      </c>
    </row>
    <row r="5753" spans="1:1" x14ac:dyDescent="0.25">
      <c r="A5753" t="s">
        <v>4494</v>
      </c>
    </row>
    <row r="5754" spans="1:1" x14ac:dyDescent="0.25">
      <c r="A5754" t="s">
        <v>4495</v>
      </c>
    </row>
    <row r="5755" spans="1:1" x14ac:dyDescent="0.25">
      <c r="A5755" t="s">
        <v>4163</v>
      </c>
    </row>
    <row r="5757" spans="1:1" x14ac:dyDescent="0.25">
      <c r="A5757" t="s">
        <v>2520</v>
      </c>
    </row>
    <row r="5759" spans="1:1" x14ac:dyDescent="0.25">
      <c r="A5759" t="s">
        <v>2459</v>
      </c>
    </row>
    <row r="5760" spans="1:1" x14ac:dyDescent="0.25">
      <c r="A5760" t="s">
        <v>4496</v>
      </c>
    </row>
    <row r="5761" spans="1:1" x14ac:dyDescent="0.25">
      <c r="A5761" t="s">
        <v>4421</v>
      </c>
    </row>
    <row r="5762" spans="1:1" x14ac:dyDescent="0.25">
      <c r="A5762" t="s">
        <v>4172</v>
      </c>
    </row>
    <row r="5763" spans="1:1" x14ac:dyDescent="0.25">
      <c r="A5763" t="s">
        <v>2463</v>
      </c>
    </row>
    <row r="5764" spans="1:1" x14ac:dyDescent="0.25">
      <c r="A5764" t="s">
        <v>3580</v>
      </c>
    </row>
    <row r="5765" spans="1:1" x14ac:dyDescent="0.25">
      <c r="A5765" t="s">
        <v>4497</v>
      </c>
    </row>
    <row r="5766" spans="1:1" x14ac:dyDescent="0.25">
      <c r="A5766" t="s">
        <v>4498</v>
      </c>
    </row>
    <row r="5767" spans="1:1" x14ac:dyDescent="0.25">
      <c r="A5767" t="s">
        <v>4462</v>
      </c>
    </row>
    <row r="5768" spans="1:1" x14ac:dyDescent="0.25">
      <c r="A5768" t="s">
        <v>1790</v>
      </c>
    </row>
    <row r="5769" spans="1:1" x14ac:dyDescent="0.25">
      <c r="A5769" t="s">
        <v>1873</v>
      </c>
    </row>
    <row r="5770" spans="1:1" x14ac:dyDescent="0.25">
      <c r="A5770" t="s">
        <v>4499</v>
      </c>
    </row>
    <row r="5771" spans="1:1" x14ac:dyDescent="0.25">
      <c r="A5771" t="s">
        <v>1875</v>
      </c>
    </row>
    <row r="5772" spans="1:1" x14ac:dyDescent="0.25">
      <c r="A5772" t="s">
        <v>1794</v>
      </c>
    </row>
    <row r="5773" spans="1:1" x14ac:dyDescent="0.25">
      <c r="A5773" t="s">
        <v>4500</v>
      </c>
    </row>
    <row r="5774" spans="1:1" x14ac:dyDescent="0.25">
      <c r="A5774" t="s">
        <v>4501</v>
      </c>
    </row>
    <row r="5775" spans="1:1" x14ac:dyDescent="0.25">
      <c r="A5775" t="s">
        <v>1904</v>
      </c>
    </row>
    <row r="5776" spans="1:1" x14ac:dyDescent="0.25">
      <c r="A5776" t="s">
        <v>4502</v>
      </c>
    </row>
    <row r="5777" spans="1:1" x14ac:dyDescent="0.25">
      <c r="A5777" t="s">
        <v>4503</v>
      </c>
    </row>
    <row r="5778" spans="1:1" x14ac:dyDescent="0.25">
      <c r="A5778" t="s">
        <v>4504</v>
      </c>
    </row>
    <row r="5779" spans="1:1" x14ac:dyDescent="0.25">
      <c r="A5779" t="s">
        <v>4505</v>
      </c>
    </row>
    <row r="5780" spans="1:1" x14ac:dyDescent="0.25">
      <c r="A5780" t="s">
        <v>4506</v>
      </c>
    </row>
    <row r="5781" spans="1:1" x14ac:dyDescent="0.25">
      <c r="A5781" t="s">
        <v>4507</v>
      </c>
    </row>
    <row r="5782" spans="1:1" x14ac:dyDescent="0.25">
      <c r="A5782" t="s">
        <v>4508</v>
      </c>
    </row>
    <row r="5783" spans="1:1" x14ac:dyDescent="0.25">
      <c r="A5783" t="s">
        <v>4509</v>
      </c>
    </row>
    <row r="5784" spans="1:1" x14ac:dyDescent="0.25">
      <c r="A5784" t="s">
        <v>4510</v>
      </c>
    </row>
    <row r="5785" spans="1:1" x14ac:dyDescent="0.25">
      <c r="A5785" t="s">
        <v>2519</v>
      </c>
    </row>
    <row r="5786" spans="1:1" x14ac:dyDescent="0.25">
      <c r="A5786" t="s">
        <v>2521</v>
      </c>
    </row>
    <row r="5788" spans="1:1" x14ac:dyDescent="0.25">
      <c r="A5788" t="s">
        <v>3899</v>
      </c>
    </row>
    <row r="5790" spans="1:1" x14ac:dyDescent="0.25">
      <c r="A5790" t="s">
        <v>4300</v>
      </c>
    </row>
    <row r="5791" spans="1:1" x14ac:dyDescent="0.25">
      <c r="A5791" t="s">
        <v>4511</v>
      </c>
    </row>
    <row r="5792" spans="1:1" x14ac:dyDescent="0.25">
      <c r="A5792" t="s">
        <v>4283</v>
      </c>
    </row>
    <row r="5793" spans="1:2" x14ac:dyDescent="0.25">
      <c r="A5793" t="s">
        <v>4512</v>
      </c>
    </row>
    <row r="5794" spans="1:2" x14ac:dyDescent="0.25">
      <c r="A5794" t="s">
        <v>4513</v>
      </c>
    </row>
    <row r="5795" spans="1:2" x14ac:dyDescent="0.25">
      <c r="A5795" t="s">
        <v>3446</v>
      </c>
    </row>
    <row r="5796" spans="1:2" x14ac:dyDescent="0.25">
      <c r="A5796" t="s">
        <v>4514</v>
      </c>
    </row>
    <row r="5797" spans="1:2" x14ac:dyDescent="0.25">
      <c r="B5797" t="s">
        <v>4515</v>
      </c>
    </row>
    <row r="5798" spans="1:2" x14ac:dyDescent="0.25">
      <c r="A5798" t="s">
        <v>4516</v>
      </c>
    </row>
    <row r="5799" spans="1:2" x14ac:dyDescent="0.25">
      <c r="B5799" t="s">
        <v>4517</v>
      </c>
    </row>
    <row r="5800" spans="1:2" x14ac:dyDescent="0.25">
      <c r="A5800" t="s">
        <v>4518</v>
      </c>
    </row>
    <row r="5801" spans="1:2" x14ac:dyDescent="0.25">
      <c r="B5801" t="s">
        <v>4519</v>
      </c>
    </row>
    <row r="5802" spans="1:2" x14ac:dyDescent="0.25">
      <c r="A5802" t="s">
        <v>4520</v>
      </c>
    </row>
    <row r="5803" spans="1:2" x14ac:dyDescent="0.25">
      <c r="B5803" t="s">
        <v>4521</v>
      </c>
    </row>
    <row r="5804" spans="1:2" x14ac:dyDescent="0.25">
      <c r="A5804" t="s">
        <v>4522</v>
      </c>
    </row>
    <row r="5805" spans="1:2" x14ac:dyDescent="0.25">
      <c r="B5805" t="s">
        <v>4523</v>
      </c>
    </row>
    <row r="5806" spans="1:2" x14ac:dyDescent="0.25">
      <c r="A5806" t="s">
        <v>4524</v>
      </c>
    </row>
    <row r="5807" spans="1:2" x14ac:dyDescent="0.25">
      <c r="B5807" t="s">
        <v>4525</v>
      </c>
    </row>
    <row r="5808" spans="1:2" x14ac:dyDescent="0.25">
      <c r="A5808" t="s">
        <v>4526</v>
      </c>
    </row>
    <row r="5809" spans="1:2" x14ac:dyDescent="0.25">
      <c r="B5809" t="s">
        <v>4527</v>
      </c>
    </row>
    <row r="5810" spans="1:2" x14ac:dyDescent="0.25">
      <c r="A5810" t="s">
        <v>3448</v>
      </c>
    </row>
    <row r="5812" spans="1:2" x14ac:dyDescent="0.25">
      <c r="A5812" t="s">
        <v>4528</v>
      </c>
    </row>
    <row r="5813" spans="1:2" x14ac:dyDescent="0.25">
      <c r="A5813" t="s">
        <v>4529</v>
      </c>
    </row>
    <row r="5814" spans="1:2" x14ac:dyDescent="0.25">
      <c r="A5814" t="s">
        <v>4530</v>
      </c>
    </row>
    <row r="5815" spans="1:2" x14ac:dyDescent="0.25">
      <c r="A5815" t="s">
        <v>4531</v>
      </c>
    </row>
    <row r="5816" spans="1:2" x14ac:dyDescent="0.25">
      <c r="A5816" t="s">
        <v>4532</v>
      </c>
    </row>
    <row r="5817" spans="1:2" x14ac:dyDescent="0.25">
      <c r="A5817" t="s">
        <v>4533</v>
      </c>
    </row>
    <row r="5818" spans="1:2" x14ac:dyDescent="0.25">
      <c r="A5818" t="s">
        <v>4534</v>
      </c>
    </row>
    <row r="5819" spans="1:2" x14ac:dyDescent="0.25">
      <c r="A5819" t="s">
        <v>4310</v>
      </c>
    </row>
    <row r="5821" spans="1:2" x14ac:dyDescent="0.25">
      <c r="A5821" t="s">
        <v>3899</v>
      </c>
    </row>
    <row r="5823" spans="1:2" x14ac:dyDescent="0.25">
      <c r="A5823" t="s">
        <v>4535</v>
      </c>
    </row>
    <row r="5825" spans="1:1" x14ac:dyDescent="0.25">
      <c r="A5825" t="s">
        <v>3899</v>
      </c>
    </row>
    <row r="5827" spans="1:1" x14ac:dyDescent="0.25">
      <c r="A5827" t="s">
        <v>3881</v>
      </c>
    </row>
    <row r="5828" spans="1:1" x14ac:dyDescent="0.25">
      <c r="A5828" t="s">
        <v>4536</v>
      </c>
    </row>
    <row r="5829" spans="1:1" x14ac:dyDescent="0.25">
      <c r="A5829" t="s">
        <v>4312</v>
      </c>
    </row>
    <row r="5830" spans="1:1" x14ac:dyDescent="0.25">
      <c r="A5830" t="s">
        <v>4283</v>
      </c>
    </row>
    <row r="5831" spans="1:1" x14ac:dyDescent="0.25">
      <c r="A5831" t="s">
        <v>4512</v>
      </c>
    </row>
    <row r="5832" spans="1:1" x14ac:dyDescent="0.25">
      <c r="A5832" t="s">
        <v>4513</v>
      </c>
    </row>
    <row r="5833" spans="1:1" x14ac:dyDescent="0.25">
      <c r="A5833" t="s">
        <v>3446</v>
      </c>
    </row>
    <row r="5834" spans="1:1" x14ac:dyDescent="0.25">
      <c r="A5834" t="s">
        <v>4537</v>
      </c>
    </row>
    <row r="5835" spans="1:1" x14ac:dyDescent="0.25">
      <c r="A5835" t="s">
        <v>4538</v>
      </c>
    </row>
    <row r="5836" spans="1:1" x14ac:dyDescent="0.25">
      <c r="A5836" t="s">
        <v>4539</v>
      </c>
    </row>
    <row r="5837" spans="1:1" x14ac:dyDescent="0.25">
      <c r="A5837" t="s">
        <v>3448</v>
      </c>
    </row>
    <row r="5839" spans="1:1" x14ac:dyDescent="0.25">
      <c r="A5839" t="s">
        <v>4528</v>
      </c>
    </row>
    <row r="5840" spans="1:1" x14ac:dyDescent="0.25">
      <c r="A5840" t="s">
        <v>4529</v>
      </c>
    </row>
    <row r="5841" spans="1:1" x14ac:dyDescent="0.25">
      <c r="A5841" t="s">
        <v>4530</v>
      </c>
    </row>
    <row r="5842" spans="1:1" x14ac:dyDescent="0.25">
      <c r="A5842" t="s">
        <v>4531</v>
      </c>
    </row>
    <row r="5843" spans="1:1" x14ac:dyDescent="0.25">
      <c r="A5843" t="s">
        <v>4532</v>
      </c>
    </row>
    <row r="5844" spans="1:1" x14ac:dyDescent="0.25">
      <c r="A5844" t="s">
        <v>4533</v>
      </c>
    </row>
    <row r="5845" spans="1:1" x14ac:dyDescent="0.25">
      <c r="A5845" t="s">
        <v>4534</v>
      </c>
    </row>
    <row r="5846" spans="1:1" x14ac:dyDescent="0.25">
      <c r="A5846" t="s">
        <v>3898</v>
      </c>
    </row>
    <row r="5848" spans="1:1" x14ac:dyDescent="0.25">
      <c r="A5848" t="s">
        <v>3899</v>
      </c>
    </row>
    <row r="5850" spans="1:1" x14ac:dyDescent="0.25">
      <c r="A5850" t="s">
        <v>4540</v>
      </c>
    </row>
    <row r="5851" spans="1:1" x14ac:dyDescent="0.25">
      <c r="A5851" t="s">
        <v>2459</v>
      </c>
    </row>
    <row r="5852" spans="1:1" x14ac:dyDescent="0.25">
      <c r="A5852" t="s">
        <v>4541</v>
      </c>
    </row>
    <row r="5853" spans="1:1" x14ac:dyDescent="0.25">
      <c r="A5853" t="s">
        <v>4542</v>
      </c>
    </row>
    <row r="5854" spans="1:1" x14ac:dyDescent="0.25">
      <c r="A5854" t="s">
        <v>4543</v>
      </c>
    </row>
    <row r="5855" spans="1:1" x14ac:dyDescent="0.25">
      <c r="A5855" t="s">
        <v>4544</v>
      </c>
    </row>
    <row r="5856" spans="1:1" x14ac:dyDescent="0.25">
      <c r="A5856" t="s">
        <v>4545</v>
      </c>
    </row>
    <row r="5857" spans="1:1" x14ac:dyDescent="0.25">
      <c r="A5857" t="s">
        <v>4546</v>
      </c>
    </row>
    <row r="5858" spans="1:1" x14ac:dyDescent="0.25">
      <c r="A5858" t="s">
        <v>4547</v>
      </c>
    </row>
    <row r="5859" spans="1:1" x14ac:dyDescent="0.25">
      <c r="A5859" t="s">
        <v>4548</v>
      </c>
    </row>
    <row r="5860" spans="1:1" x14ac:dyDescent="0.25">
      <c r="A5860" t="s">
        <v>4395</v>
      </c>
    </row>
    <row r="5861" spans="1:1" x14ac:dyDescent="0.25">
      <c r="A5861" t="s">
        <v>2519</v>
      </c>
    </row>
    <row r="5863" spans="1:1" x14ac:dyDescent="0.25">
      <c r="A5863" t="s">
        <v>2459</v>
      </c>
    </row>
    <row r="5864" spans="1:1" x14ac:dyDescent="0.25">
      <c r="A5864" t="s">
        <v>4549</v>
      </c>
    </row>
    <row r="5865" spans="1:1" x14ac:dyDescent="0.25">
      <c r="A5865" t="s">
        <v>4550</v>
      </c>
    </row>
    <row r="5866" spans="1:1" x14ac:dyDescent="0.25">
      <c r="A5866" t="s">
        <v>4551</v>
      </c>
    </row>
    <row r="5867" spans="1:1" x14ac:dyDescent="0.25">
      <c r="A5867" t="s">
        <v>4544</v>
      </c>
    </row>
    <row r="5868" spans="1:1" x14ac:dyDescent="0.25">
      <c r="A5868" t="s">
        <v>4545</v>
      </c>
    </row>
    <row r="5869" spans="1:1" x14ac:dyDescent="0.25">
      <c r="A5869" t="s">
        <v>4546</v>
      </c>
    </row>
    <row r="5870" spans="1:1" x14ac:dyDescent="0.25">
      <c r="A5870" t="s">
        <v>4547</v>
      </c>
    </row>
    <row r="5871" spans="1:1" x14ac:dyDescent="0.25">
      <c r="A5871" t="s">
        <v>4548</v>
      </c>
    </row>
    <row r="5872" spans="1:1" x14ac:dyDescent="0.25">
      <c r="A5872" t="s">
        <v>4395</v>
      </c>
    </row>
    <row r="5873" spans="1:1" x14ac:dyDescent="0.25">
      <c r="A5873" t="s">
        <v>2519</v>
      </c>
    </row>
    <row r="5875" spans="1:1" x14ac:dyDescent="0.25">
      <c r="A5875" t="s">
        <v>2459</v>
      </c>
    </row>
    <row r="5876" spans="1:1" x14ac:dyDescent="0.25">
      <c r="A5876" t="s">
        <v>4552</v>
      </c>
    </row>
    <row r="5877" spans="1:1" x14ac:dyDescent="0.25">
      <c r="A5877" t="s">
        <v>4553</v>
      </c>
    </row>
    <row r="5878" spans="1:1" x14ac:dyDescent="0.25">
      <c r="A5878" t="s">
        <v>4554</v>
      </c>
    </row>
    <row r="5879" spans="1:1" x14ac:dyDescent="0.25">
      <c r="A5879" t="s">
        <v>4544</v>
      </c>
    </row>
    <row r="5880" spans="1:1" x14ac:dyDescent="0.25">
      <c r="A5880" t="s">
        <v>4545</v>
      </c>
    </row>
    <row r="5881" spans="1:1" x14ac:dyDescent="0.25">
      <c r="A5881" t="s">
        <v>4546</v>
      </c>
    </row>
    <row r="5882" spans="1:1" x14ac:dyDescent="0.25">
      <c r="A5882" t="s">
        <v>4547</v>
      </c>
    </row>
    <row r="5883" spans="1:1" x14ac:dyDescent="0.25">
      <c r="A5883" t="s">
        <v>4548</v>
      </c>
    </row>
    <row r="5884" spans="1:1" x14ac:dyDescent="0.25">
      <c r="A5884" t="s">
        <v>4395</v>
      </c>
    </row>
    <row r="5885" spans="1:1" x14ac:dyDescent="0.25">
      <c r="A5885" t="s">
        <v>2519</v>
      </c>
    </row>
    <row r="5887" spans="1:1" x14ac:dyDescent="0.25">
      <c r="A5887" t="s">
        <v>2459</v>
      </c>
    </row>
    <row r="5888" spans="1:1" x14ac:dyDescent="0.25">
      <c r="A5888" t="s">
        <v>4555</v>
      </c>
    </row>
    <row r="5889" spans="1:1" x14ac:dyDescent="0.25">
      <c r="A5889" t="s">
        <v>4556</v>
      </c>
    </row>
    <row r="5890" spans="1:1" x14ac:dyDescent="0.25">
      <c r="A5890" t="s">
        <v>4557</v>
      </c>
    </row>
    <row r="5891" spans="1:1" x14ac:dyDescent="0.25">
      <c r="A5891" t="s">
        <v>4544</v>
      </c>
    </row>
    <row r="5892" spans="1:1" x14ac:dyDescent="0.25">
      <c r="A5892" t="s">
        <v>4545</v>
      </c>
    </row>
    <row r="5893" spans="1:1" x14ac:dyDescent="0.25">
      <c r="A5893" t="s">
        <v>4546</v>
      </c>
    </row>
    <row r="5894" spans="1:1" x14ac:dyDescent="0.25">
      <c r="A5894" t="s">
        <v>4547</v>
      </c>
    </row>
    <row r="5895" spans="1:1" x14ac:dyDescent="0.25">
      <c r="A5895" t="s">
        <v>4548</v>
      </c>
    </row>
    <row r="5896" spans="1:1" x14ac:dyDescent="0.25">
      <c r="A5896" t="s">
        <v>4395</v>
      </c>
    </row>
    <row r="5897" spans="1:1" x14ac:dyDescent="0.25">
      <c r="A5897" t="s">
        <v>2519</v>
      </c>
    </row>
    <row r="5899" spans="1:1" x14ac:dyDescent="0.25">
      <c r="A5899" t="s">
        <v>2459</v>
      </c>
    </row>
    <row r="5900" spans="1:1" x14ac:dyDescent="0.25">
      <c r="A5900" t="s">
        <v>4558</v>
      </c>
    </row>
    <row r="5901" spans="1:1" x14ac:dyDescent="0.25">
      <c r="A5901" t="s">
        <v>4559</v>
      </c>
    </row>
    <row r="5902" spans="1:1" x14ac:dyDescent="0.25">
      <c r="A5902" t="s">
        <v>4560</v>
      </c>
    </row>
    <row r="5903" spans="1:1" x14ac:dyDescent="0.25">
      <c r="A5903" t="s">
        <v>4544</v>
      </c>
    </row>
    <row r="5904" spans="1:1" x14ac:dyDescent="0.25">
      <c r="A5904" t="s">
        <v>4545</v>
      </c>
    </row>
    <row r="5905" spans="1:1" x14ac:dyDescent="0.25">
      <c r="A5905" t="s">
        <v>4546</v>
      </c>
    </row>
    <row r="5906" spans="1:1" x14ac:dyDescent="0.25">
      <c r="A5906" t="s">
        <v>4547</v>
      </c>
    </row>
    <row r="5907" spans="1:1" x14ac:dyDescent="0.25">
      <c r="A5907" t="s">
        <v>4548</v>
      </c>
    </row>
    <row r="5908" spans="1:1" x14ac:dyDescent="0.25">
      <c r="A5908" t="s">
        <v>4395</v>
      </c>
    </row>
    <row r="5909" spans="1:1" x14ac:dyDescent="0.25">
      <c r="A5909" t="s">
        <v>2519</v>
      </c>
    </row>
    <row r="5911" spans="1:1" x14ac:dyDescent="0.25">
      <c r="A5911" t="s">
        <v>2459</v>
      </c>
    </row>
    <row r="5912" spans="1:1" x14ac:dyDescent="0.25">
      <c r="A5912" t="s">
        <v>4561</v>
      </c>
    </row>
    <row r="5913" spans="1:1" x14ac:dyDescent="0.25">
      <c r="A5913" t="s">
        <v>4562</v>
      </c>
    </row>
    <row r="5914" spans="1:1" x14ac:dyDescent="0.25">
      <c r="A5914" t="s">
        <v>4563</v>
      </c>
    </row>
    <row r="5915" spans="1:1" x14ac:dyDescent="0.25">
      <c r="A5915" t="s">
        <v>4544</v>
      </c>
    </row>
    <row r="5916" spans="1:1" x14ac:dyDescent="0.25">
      <c r="A5916" t="s">
        <v>4545</v>
      </c>
    </row>
    <row r="5917" spans="1:1" x14ac:dyDescent="0.25">
      <c r="A5917" t="s">
        <v>4546</v>
      </c>
    </row>
    <row r="5918" spans="1:1" x14ac:dyDescent="0.25">
      <c r="A5918" t="s">
        <v>4547</v>
      </c>
    </row>
    <row r="5919" spans="1:1" x14ac:dyDescent="0.25">
      <c r="A5919" t="s">
        <v>4548</v>
      </c>
    </row>
    <row r="5920" spans="1:1" x14ac:dyDescent="0.25">
      <c r="A5920" t="s">
        <v>4395</v>
      </c>
    </row>
    <row r="5921" spans="1:1" x14ac:dyDescent="0.25">
      <c r="A5921" t="s">
        <v>2519</v>
      </c>
    </row>
    <row r="5923" spans="1:1" x14ac:dyDescent="0.25">
      <c r="A5923" t="s">
        <v>2459</v>
      </c>
    </row>
    <row r="5924" spans="1:1" x14ac:dyDescent="0.25">
      <c r="A5924" t="s">
        <v>4564</v>
      </c>
    </row>
    <row r="5925" spans="1:1" x14ac:dyDescent="0.25">
      <c r="A5925" t="s">
        <v>4565</v>
      </c>
    </row>
    <row r="5926" spans="1:1" x14ac:dyDescent="0.25">
      <c r="A5926" t="s">
        <v>4566</v>
      </c>
    </row>
    <row r="5927" spans="1:1" x14ac:dyDescent="0.25">
      <c r="A5927" t="s">
        <v>4544</v>
      </c>
    </row>
    <row r="5928" spans="1:1" x14ac:dyDescent="0.25">
      <c r="A5928" t="s">
        <v>4545</v>
      </c>
    </row>
    <row r="5929" spans="1:1" x14ac:dyDescent="0.25">
      <c r="A5929" t="s">
        <v>4546</v>
      </c>
    </row>
    <row r="5930" spans="1:1" x14ac:dyDescent="0.25">
      <c r="A5930" t="s">
        <v>4547</v>
      </c>
    </row>
    <row r="5931" spans="1:1" x14ac:dyDescent="0.25">
      <c r="A5931" t="s">
        <v>4548</v>
      </c>
    </row>
    <row r="5932" spans="1:1" x14ac:dyDescent="0.25">
      <c r="A5932" t="s">
        <v>4395</v>
      </c>
    </row>
    <row r="5933" spans="1:1" x14ac:dyDescent="0.25">
      <c r="A5933" t="s">
        <v>2519</v>
      </c>
    </row>
    <row r="5934" spans="1:1" x14ac:dyDescent="0.25">
      <c r="A5934" t="s">
        <v>2521</v>
      </c>
    </row>
    <row r="5936" spans="1:1" x14ac:dyDescent="0.25">
      <c r="A5936" t="s">
        <v>3899</v>
      </c>
    </row>
    <row r="5938" spans="1:3" x14ac:dyDescent="0.25">
      <c r="A5938" t="s">
        <v>4567</v>
      </c>
    </row>
    <row r="5939" spans="1:3" x14ac:dyDescent="0.25">
      <c r="A5939" t="s">
        <v>3446</v>
      </c>
    </row>
    <row r="5940" spans="1:3" x14ac:dyDescent="0.25">
      <c r="A5940" t="s">
        <v>4568</v>
      </c>
    </row>
    <row r="5941" spans="1:3" x14ac:dyDescent="0.25">
      <c r="B5941" t="s">
        <v>4569</v>
      </c>
    </row>
    <row r="5942" spans="1:3" x14ac:dyDescent="0.25">
      <c r="B5942" t="s">
        <v>4570</v>
      </c>
    </row>
    <row r="5943" spans="1:3" x14ac:dyDescent="0.25">
      <c r="C5943" t="s">
        <v>4571</v>
      </c>
    </row>
    <row r="5944" spans="1:3" x14ac:dyDescent="0.25">
      <c r="B5944" t="s">
        <v>1940</v>
      </c>
    </row>
    <row r="5945" spans="1:3" x14ac:dyDescent="0.25">
      <c r="C5945" t="s">
        <v>4572</v>
      </c>
    </row>
    <row r="5946" spans="1:3" x14ac:dyDescent="0.25">
      <c r="A5946" t="s">
        <v>3448</v>
      </c>
    </row>
    <row r="5948" spans="1:3" x14ac:dyDescent="0.25">
      <c r="A5948" t="s">
        <v>2520</v>
      </c>
    </row>
    <row r="5950" spans="1:3" x14ac:dyDescent="0.25">
      <c r="A5950" t="s">
        <v>2459</v>
      </c>
    </row>
    <row r="5951" spans="1:3" x14ac:dyDescent="0.25">
      <c r="A5951" t="s">
        <v>4573</v>
      </c>
    </row>
    <row r="5952" spans="1:3" x14ac:dyDescent="0.25">
      <c r="A5952" t="s">
        <v>4172</v>
      </c>
    </row>
    <row r="5953" spans="1:1" x14ac:dyDescent="0.25">
      <c r="A5953" t="s">
        <v>4033</v>
      </c>
    </row>
    <row r="5954" spans="1:1" x14ac:dyDescent="0.25">
      <c r="A5954" t="s">
        <v>4574</v>
      </c>
    </row>
    <row r="5955" spans="1:1" x14ac:dyDescent="0.25">
      <c r="A5955" t="s">
        <v>4575</v>
      </c>
    </row>
    <row r="5956" spans="1:1" x14ac:dyDescent="0.25">
      <c r="A5956" t="s">
        <v>4576</v>
      </c>
    </row>
    <row r="5957" spans="1:1" x14ac:dyDescent="0.25">
      <c r="A5957" t="s">
        <v>4577</v>
      </c>
    </row>
    <row r="5958" spans="1:1" x14ac:dyDescent="0.25">
      <c r="A5958" t="s">
        <v>4578</v>
      </c>
    </row>
    <row r="5959" spans="1:1" x14ac:dyDescent="0.25">
      <c r="A5959" t="s">
        <v>4579</v>
      </c>
    </row>
    <row r="5960" spans="1:1" x14ac:dyDescent="0.25">
      <c r="A5960" t="s">
        <v>4580</v>
      </c>
    </row>
    <row r="5961" spans="1:1" x14ac:dyDescent="0.25">
      <c r="A5961" t="s">
        <v>4581</v>
      </c>
    </row>
    <row r="5962" spans="1:1" x14ac:dyDescent="0.25">
      <c r="A5962" t="s">
        <v>4582</v>
      </c>
    </row>
    <row r="5963" spans="1:1" x14ac:dyDescent="0.25">
      <c r="A5963" t="s">
        <v>4583</v>
      </c>
    </row>
    <row r="5964" spans="1:1" x14ac:dyDescent="0.25">
      <c r="A5964" t="s">
        <v>4584</v>
      </c>
    </row>
    <row r="5965" spans="1:1" x14ac:dyDescent="0.25">
      <c r="A5965" t="s">
        <v>4585</v>
      </c>
    </row>
    <row r="5966" spans="1:1" x14ac:dyDescent="0.25">
      <c r="A5966" t="s">
        <v>4586</v>
      </c>
    </row>
    <row r="5967" spans="1:1" x14ac:dyDescent="0.25">
      <c r="A5967" t="s">
        <v>4587</v>
      </c>
    </row>
    <row r="5968" spans="1:1" x14ac:dyDescent="0.25">
      <c r="A5968" t="s">
        <v>4588</v>
      </c>
    </row>
    <row r="5969" spans="1:1" x14ac:dyDescent="0.25">
      <c r="A5969" t="s">
        <v>4589</v>
      </c>
    </row>
    <row r="5970" spans="1:1" x14ac:dyDescent="0.25">
      <c r="A5970" t="s">
        <v>4590</v>
      </c>
    </row>
    <row r="5971" spans="1:1" x14ac:dyDescent="0.25">
      <c r="A5971" t="s">
        <v>4591</v>
      </c>
    </row>
    <row r="5972" spans="1:1" x14ac:dyDescent="0.25">
      <c r="A5972" t="s">
        <v>2519</v>
      </c>
    </row>
    <row r="5974" spans="1:1" x14ac:dyDescent="0.25">
      <c r="A5974" t="s">
        <v>2459</v>
      </c>
    </row>
    <row r="5975" spans="1:1" x14ac:dyDescent="0.25">
      <c r="A5975" t="s">
        <v>4592</v>
      </c>
    </row>
    <row r="5976" spans="1:1" x14ac:dyDescent="0.25">
      <c r="A5976" t="s">
        <v>4172</v>
      </c>
    </row>
    <row r="5977" spans="1:1" x14ac:dyDescent="0.25">
      <c r="A5977" t="s">
        <v>4033</v>
      </c>
    </row>
    <row r="5978" spans="1:1" x14ac:dyDescent="0.25">
      <c r="A5978" t="s">
        <v>4593</v>
      </c>
    </row>
    <row r="5979" spans="1:1" x14ac:dyDescent="0.25">
      <c r="A5979" t="s">
        <v>4594</v>
      </c>
    </row>
    <row r="5980" spans="1:1" x14ac:dyDescent="0.25">
      <c r="A5980" t="s">
        <v>4595</v>
      </c>
    </row>
    <row r="5981" spans="1:1" x14ac:dyDescent="0.25">
      <c r="A5981" t="s">
        <v>4596</v>
      </c>
    </row>
    <row r="5982" spans="1:1" x14ac:dyDescent="0.25">
      <c r="A5982" t="s">
        <v>4597</v>
      </c>
    </row>
    <row r="5983" spans="1:1" x14ac:dyDescent="0.25">
      <c r="A5983" t="s">
        <v>4598</v>
      </c>
    </row>
    <row r="5984" spans="1:1" x14ac:dyDescent="0.25">
      <c r="A5984" t="s">
        <v>4599</v>
      </c>
    </row>
    <row r="5985" spans="1:1" x14ac:dyDescent="0.25">
      <c r="A5985" t="s">
        <v>4600</v>
      </c>
    </row>
    <row r="5986" spans="1:1" x14ac:dyDescent="0.25">
      <c r="A5986" t="s">
        <v>4601</v>
      </c>
    </row>
    <row r="5987" spans="1:1" x14ac:dyDescent="0.25">
      <c r="A5987" t="s">
        <v>4602</v>
      </c>
    </row>
    <row r="5988" spans="1:1" x14ac:dyDescent="0.25">
      <c r="A5988" t="s">
        <v>4603</v>
      </c>
    </row>
    <row r="5989" spans="1:1" x14ac:dyDescent="0.25">
      <c r="A5989" t="s">
        <v>4604</v>
      </c>
    </row>
    <row r="5990" spans="1:1" x14ac:dyDescent="0.25">
      <c r="A5990" t="s">
        <v>4605</v>
      </c>
    </row>
    <row r="5991" spans="1:1" x14ac:dyDescent="0.25">
      <c r="A5991" t="s">
        <v>4606</v>
      </c>
    </row>
    <row r="5992" spans="1:1" x14ac:dyDescent="0.25">
      <c r="A5992" t="s">
        <v>4607</v>
      </c>
    </row>
    <row r="5993" spans="1:1" x14ac:dyDescent="0.25">
      <c r="A5993" t="s">
        <v>4608</v>
      </c>
    </row>
    <row r="5994" spans="1:1" x14ac:dyDescent="0.25">
      <c r="A5994" t="s">
        <v>4609</v>
      </c>
    </row>
    <row r="5995" spans="1:1" x14ac:dyDescent="0.25">
      <c r="A5995" t="s">
        <v>4610</v>
      </c>
    </row>
    <row r="5996" spans="1:1" x14ac:dyDescent="0.25">
      <c r="A5996" t="s">
        <v>2519</v>
      </c>
    </row>
    <row r="5998" spans="1:1" x14ac:dyDescent="0.25">
      <c r="A5998" t="s">
        <v>2459</v>
      </c>
    </row>
    <row r="5999" spans="1:1" x14ac:dyDescent="0.25">
      <c r="A5999" t="s">
        <v>4611</v>
      </c>
    </row>
    <row r="6000" spans="1:1" x14ac:dyDescent="0.25">
      <c r="A6000" t="s">
        <v>4172</v>
      </c>
    </row>
    <row r="6001" spans="1:1" x14ac:dyDescent="0.25">
      <c r="A6001" t="s">
        <v>4033</v>
      </c>
    </row>
    <row r="6002" spans="1:1" x14ac:dyDescent="0.25">
      <c r="A6002" t="s">
        <v>4612</v>
      </c>
    </row>
    <row r="6003" spans="1:1" x14ac:dyDescent="0.25">
      <c r="A6003" t="s">
        <v>4613</v>
      </c>
    </row>
    <row r="6004" spans="1:1" x14ac:dyDescent="0.25">
      <c r="A6004" t="s">
        <v>4614</v>
      </c>
    </row>
    <row r="6005" spans="1:1" x14ac:dyDescent="0.25">
      <c r="A6005" t="s">
        <v>4615</v>
      </c>
    </row>
    <row r="6006" spans="1:1" x14ac:dyDescent="0.25">
      <c r="A6006" t="s">
        <v>4616</v>
      </c>
    </row>
    <row r="6007" spans="1:1" x14ac:dyDescent="0.25">
      <c r="A6007" t="s">
        <v>4617</v>
      </c>
    </row>
    <row r="6008" spans="1:1" x14ac:dyDescent="0.25">
      <c r="A6008" t="s">
        <v>4618</v>
      </c>
    </row>
    <row r="6009" spans="1:1" x14ac:dyDescent="0.25">
      <c r="A6009" t="s">
        <v>4619</v>
      </c>
    </row>
    <row r="6010" spans="1:1" x14ac:dyDescent="0.25">
      <c r="A6010" t="s">
        <v>4620</v>
      </c>
    </row>
    <row r="6011" spans="1:1" x14ac:dyDescent="0.25">
      <c r="A6011" t="s">
        <v>4621</v>
      </c>
    </row>
    <row r="6012" spans="1:1" x14ac:dyDescent="0.25">
      <c r="A6012" t="s">
        <v>4622</v>
      </c>
    </row>
    <row r="6013" spans="1:1" x14ac:dyDescent="0.25">
      <c r="A6013" t="s">
        <v>4623</v>
      </c>
    </row>
    <row r="6014" spans="1:1" x14ac:dyDescent="0.25">
      <c r="A6014" t="s">
        <v>4624</v>
      </c>
    </row>
    <row r="6015" spans="1:1" x14ac:dyDescent="0.25">
      <c r="A6015" t="s">
        <v>4625</v>
      </c>
    </row>
    <row r="6016" spans="1:1" x14ac:dyDescent="0.25">
      <c r="A6016" t="s">
        <v>4626</v>
      </c>
    </row>
    <row r="6017" spans="1:1" x14ac:dyDescent="0.25">
      <c r="A6017" t="s">
        <v>4627</v>
      </c>
    </row>
    <row r="6018" spans="1:1" x14ac:dyDescent="0.25">
      <c r="A6018" t="s">
        <v>4628</v>
      </c>
    </row>
    <row r="6019" spans="1:1" x14ac:dyDescent="0.25">
      <c r="A6019" t="s">
        <v>4629</v>
      </c>
    </row>
    <row r="6020" spans="1:1" x14ac:dyDescent="0.25">
      <c r="A6020" t="s">
        <v>2519</v>
      </c>
    </row>
    <row r="6022" spans="1:1" x14ac:dyDescent="0.25">
      <c r="A6022" t="s">
        <v>2459</v>
      </c>
    </row>
    <row r="6023" spans="1:1" x14ac:dyDescent="0.25">
      <c r="A6023" t="s">
        <v>4630</v>
      </c>
    </row>
    <row r="6024" spans="1:1" x14ac:dyDescent="0.25">
      <c r="A6024" t="s">
        <v>4172</v>
      </c>
    </row>
    <row r="6025" spans="1:1" x14ac:dyDescent="0.25">
      <c r="A6025" t="s">
        <v>4033</v>
      </c>
    </row>
    <row r="6026" spans="1:1" x14ac:dyDescent="0.25">
      <c r="A6026" t="s">
        <v>4631</v>
      </c>
    </row>
    <row r="6027" spans="1:1" x14ac:dyDescent="0.25">
      <c r="A6027" t="s">
        <v>4632</v>
      </c>
    </row>
    <row r="6028" spans="1:1" x14ac:dyDescent="0.25">
      <c r="A6028" t="s">
        <v>4633</v>
      </c>
    </row>
    <row r="6029" spans="1:1" x14ac:dyDescent="0.25">
      <c r="A6029" t="s">
        <v>4634</v>
      </c>
    </row>
    <row r="6030" spans="1:1" x14ac:dyDescent="0.25">
      <c r="A6030" t="s">
        <v>4635</v>
      </c>
    </row>
    <row r="6031" spans="1:1" x14ac:dyDescent="0.25">
      <c r="A6031" t="s">
        <v>4636</v>
      </c>
    </row>
    <row r="6032" spans="1:1" x14ac:dyDescent="0.25">
      <c r="A6032" t="s">
        <v>4637</v>
      </c>
    </row>
    <row r="6033" spans="1:1" x14ac:dyDescent="0.25">
      <c r="A6033" t="s">
        <v>4638</v>
      </c>
    </row>
    <row r="6034" spans="1:1" x14ac:dyDescent="0.25">
      <c r="A6034" t="s">
        <v>4639</v>
      </c>
    </row>
    <row r="6035" spans="1:1" x14ac:dyDescent="0.25">
      <c r="A6035" t="s">
        <v>4640</v>
      </c>
    </row>
    <row r="6036" spans="1:1" x14ac:dyDescent="0.25">
      <c r="A6036" t="s">
        <v>4641</v>
      </c>
    </row>
    <row r="6037" spans="1:1" x14ac:dyDescent="0.25">
      <c r="A6037" t="s">
        <v>4642</v>
      </c>
    </row>
    <row r="6038" spans="1:1" x14ac:dyDescent="0.25">
      <c r="A6038" t="s">
        <v>4643</v>
      </c>
    </row>
    <row r="6039" spans="1:1" x14ac:dyDescent="0.25">
      <c r="A6039" t="s">
        <v>4644</v>
      </c>
    </row>
    <row r="6040" spans="1:1" x14ac:dyDescent="0.25">
      <c r="A6040" t="s">
        <v>4645</v>
      </c>
    </row>
    <row r="6041" spans="1:1" x14ac:dyDescent="0.25">
      <c r="A6041" t="s">
        <v>4646</v>
      </c>
    </row>
    <row r="6042" spans="1:1" x14ac:dyDescent="0.25">
      <c r="A6042" t="s">
        <v>4647</v>
      </c>
    </row>
    <row r="6043" spans="1:1" x14ac:dyDescent="0.25">
      <c r="A6043" t="s">
        <v>4648</v>
      </c>
    </row>
    <row r="6044" spans="1:1" x14ac:dyDescent="0.25">
      <c r="A6044" t="s">
        <v>2519</v>
      </c>
    </row>
    <row r="6046" spans="1:1" x14ac:dyDescent="0.25">
      <c r="A6046" t="s">
        <v>2459</v>
      </c>
    </row>
    <row r="6047" spans="1:1" x14ac:dyDescent="0.25">
      <c r="A6047" t="s">
        <v>4649</v>
      </c>
    </row>
    <row r="6048" spans="1:1" x14ac:dyDescent="0.25">
      <c r="A6048" t="s">
        <v>4172</v>
      </c>
    </row>
    <row r="6049" spans="1:1" x14ac:dyDescent="0.25">
      <c r="A6049" t="s">
        <v>4033</v>
      </c>
    </row>
    <row r="6050" spans="1:1" x14ac:dyDescent="0.25">
      <c r="A6050" t="s">
        <v>4650</v>
      </c>
    </row>
    <row r="6051" spans="1:1" x14ac:dyDescent="0.25">
      <c r="A6051" t="s">
        <v>4651</v>
      </c>
    </row>
    <row r="6052" spans="1:1" x14ac:dyDescent="0.25">
      <c r="A6052" t="s">
        <v>4652</v>
      </c>
    </row>
    <row r="6053" spans="1:1" x14ac:dyDescent="0.25">
      <c r="A6053" t="s">
        <v>4653</v>
      </c>
    </row>
    <row r="6054" spans="1:1" x14ac:dyDescent="0.25">
      <c r="A6054" t="s">
        <v>4654</v>
      </c>
    </row>
    <row r="6055" spans="1:1" x14ac:dyDescent="0.25">
      <c r="A6055" t="s">
        <v>4655</v>
      </c>
    </row>
    <row r="6056" spans="1:1" x14ac:dyDescent="0.25">
      <c r="A6056" t="s">
        <v>4656</v>
      </c>
    </row>
    <row r="6057" spans="1:1" x14ac:dyDescent="0.25">
      <c r="A6057" t="s">
        <v>4657</v>
      </c>
    </row>
    <row r="6058" spans="1:1" x14ac:dyDescent="0.25">
      <c r="A6058" t="s">
        <v>4658</v>
      </c>
    </row>
    <row r="6059" spans="1:1" x14ac:dyDescent="0.25">
      <c r="A6059" t="s">
        <v>4659</v>
      </c>
    </row>
    <row r="6060" spans="1:1" x14ac:dyDescent="0.25">
      <c r="A6060" t="s">
        <v>4660</v>
      </c>
    </row>
    <row r="6061" spans="1:1" x14ac:dyDescent="0.25">
      <c r="A6061" t="s">
        <v>4661</v>
      </c>
    </row>
    <row r="6062" spans="1:1" x14ac:dyDescent="0.25">
      <c r="A6062" t="s">
        <v>4662</v>
      </c>
    </row>
    <row r="6063" spans="1:1" x14ac:dyDescent="0.25">
      <c r="A6063" t="s">
        <v>4663</v>
      </c>
    </row>
    <row r="6064" spans="1:1" x14ac:dyDescent="0.25">
      <c r="A6064" t="s">
        <v>4664</v>
      </c>
    </row>
    <row r="6065" spans="1:1" x14ac:dyDescent="0.25">
      <c r="A6065" t="s">
        <v>4665</v>
      </c>
    </row>
    <row r="6066" spans="1:1" x14ac:dyDescent="0.25">
      <c r="A6066" t="s">
        <v>4666</v>
      </c>
    </row>
    <row r="6067" spans="1:1" x14ac:dyDescent="0.25">
      <c r="A6067" t="s">
        <v>4667</v>
      </c>
    </row>
    <row r="6068" spans="1:1" x14ac:dyDescent="0.25">
      <c r="A6068" t="s">
        <v>2519</v>
      </c>
    </row>
    <row r="6070" spans="1:1" x14ac:dyDescent="0.25">
      <c r="A6070" t="s">
        <v>2459</v>
      </c>
    </row>
    <row r="6071" spans="1:1" x14ac:dyDescent="0.25">
      <c r="A6071" t="s">
        <v>4668</v>
      </c>
    </row>
    <row r="6072" spans="1:1" x14ac:dyDescent="0.25">
      <c r="A6072" t="s">
        <v>4172</v>
      </c>
    </row>
    <row r="6073" spans="1:1" x14ac:dyDescent="0.25">
      <c r="A6073" t="s">
        <v>4033</v>
      </c>
    </row>
    <row r="6074" spans="1:1" x14ac:dyDescent="0.25">
      <c r="A6074" t="s">
        <v>4669</v>
      </c>
    </row>
    <row r="6075" spans="1:1" x14ac:dyDescent="0.25">
      <c r="A6075" t="s">
        <v>4670</v>
      </c>
    </row>
    <row r="6076" spans="1:1" x14ac:dyDescent="0.25">
      <c r="A6076" t="s">
        <v>4671</v>
      </c>
    </row>
    <row r="6077" spans="1:1" x14ac:dyDescent="0.25">
      <c r="A6077" t="s">
        <v>4672</v>
      </c>
    </row>
    <row r="6078" spans="1:1" x14ac:dyDescent="0.25">
      <c r="A6078" t="s">
        <v>4673</v>
      </c>
    </row>
    <row r="6079" spans="1:1" x14ac:dyDescent="0.25">
      <c r="A6079" t="s">
        <v>4674</v>
      </c>
    </row>
    <row r="6080" spans="1:1" x14ac:dyDescent="0.25">
      <c r="A6080" t="s">
        <v>4675</v>
      </c>
    </row>
    <row r="6081" spans="1:1" x14ac:dyDescent="0.25">
      <c r="A6081" t="s">
        <v>4676</v>
      </c>
    </row>
    <row r="6082" spans="1:1" x14ac:dyDescent="0.25">
      <c r="A6082" t="s">
        <v>4677</v>
      </c>
    </row>
    <row r="6083" spans="1:1" x14ac:dyDescent="0.25">
      <c r="A6083" t="s">
        <v>4678</v>
      </c>
    </row>
    <row r="6084" spans="1:1" x14ac:dyDescent="0.25">
      <c r="A6084" t="s">
        <v>4679</v>
      </c>
    </row>
    <row r="6085" spans="1:1" x14ac:dyDescent="0.25">
      <c r="A6085" t="s">
        <v>4680</v>
      </c>
    </row>
    <row r="6086" spans="1:1" x14ac:dyDescent="0.25">
      <c r="A6086" t="s">
        <v>4681</v>
      </c>
    </row>
    <row r="6087" spans="1:1" x14ac:dyDescent="0.25">
      <c r="A6087" t="s">
        <v>4682</v>
      </c>
    </row>
    <row r="6088" spans="1:1" x14ac:dyDescent="0.25">
      <c r="A6088" t="s">
        <v>4683</v>
      </c>
    </row>
    <row r="6089" spans="1:1" x14ac:dyDescent="0.25">
      <c r="A6089" t="s">
        <v>4684</v>
      </c>
    </row>
    <row r="6090" spans="1:1" x14ac:dyDescent="0.25">
      <c r="A6090" t="s">
        <v>4685</v>
      </c>
    </row>
    <row r="6091" spans="1:1" x14ac:dyDescent="0.25">
      <c r="A6091" t="s">
        <v>4686</v>
      </c>
    </row>
    <row r="6092" spans="1:1" x14ac:dyDescent="0.25">
      <c r="A6092" t="s">
        <v>2519</v>
      </c>
    </row>
    <row r="6094" spans="1:1" x14ac:dyDescent="0.25">
      <c r="A6094" t="s">
        <v>2459</v>
      </c>
    </row>
    <row r="6095" spans="1:1" x14ac:dyDescent="0.25">
      <c r="A6095" t="s">
        <v>4687</v>
      </c>
    </row>
    <row r="6096" spans="1:1" x14ac:dyDescent="0.25">
      <c r="A6096" t="s">
        <v>4172</v>
      </c>
    </row>
    <row r="6097" spans="1:1" x14ac:dyDescent="0.25">
      <c r="A6097" t="s">
        <v>4033</v>
      </c>
    </row>
    <row r="6098" spans="1:1" x14ac:dyDescent="0.25">
      <c r="A6098" t="s">
        <v>4688</v>
      </c>
    </row>
    <row r="6099" spans="1:1" x14ac:dyDescent="0.25">
      <c r="A6099" t="s">
        <v>4689</v>
      </c>
    </row>
    <row r="6100" spans="1:1" x14ac:dyDescent="0.25">
      <c r="A6100" t="s">
        <v>4690</v>
      </c>
    </row>
    <row r="6101" spans="1:1" x14ac:dyDescent="0.25">
      <c r="A6101" t="s">
        <v>4691</v>
      </c>
    </row>
    <row r="6102" spans="1:1" x14ac:dyDescent="0.25">
      <c r="A6102" t="s">
        <v>4692</v>
      </c>
    </row>
    <row r="6103" spans="1:1" x14ac:dyDescent="0.25">
      <c r="A6103" t="s">
        <v>4693</v>
      </c>
    </row>
    <row r="6104" spans="1:1" x14ac:dyDescent="0.25">
      <c r="A6104" t="s">
        <v>4694</v>
      </c>
    </row>
    <row r="6105" spans="1:1" x14ac:dyDescent="0.25">
      <c r="A6105" t="s">
        <v>4695</v>
      </c>
    </row>
    <row r="6106" spans="1:1" x14ac:dyDescent="0.25">
      <c r="A6106" t="s">
        <v>4696</v>
      </c>
    </row>
    <row r="6107" spans="1:1" x14ac:dyDescent="0.25">
      <c r="A6107" t="s">
        <v>4697</v>
      </c>
    </row>
    <row r="6108" spans="1:1" x14ac:dyDescent="0.25">
      <c r="A6108" t="s">
        <v>4698</v>
      </c>
    </row>
    <row r="6109" spans="1:1" x14ac:dyDescent="0.25">
      <c r="A6109" t="s">
        <v>4699</v>
      </c>
    </row>
    <row r="6110" spans="1:1" x14ac:dyDescent="0.25">
      <c r="A6110" t="s">
        <v>4700</v>
      </c>
    </row>
    <row r="6111" spans="1:1" x14ac:dyDescent="0.25">
      <c r="A6111" t="s">
        <v>4701</v>
      </c>
    </row>
    <row r="6112" spans="1:1" x14ac:dyDescent="0.25">
      <c r="A6112" t="s">
        <v>4702</v>
      </c>
    </row>
    <row r="6113" spans="1:1" x14ac:dyDescent="0.25">
      <c r="A6113" t="s">
        <v>4703</v>
      </c>
    </row>
    <row r="6114" spans="1:1" x14ac:dyDescent="0.25">
      <c r="A6114" t="s">
        <v>4704</v>
      </c>
    </row>
    <row r="6115" spans="1:1" x14ac:dyDescent="0.25">
      <c r="A6115" t="s">
        <v>4705</v>
      </c>
    </row>
    <row r="6116" spans="1:1" x14ac:dyDescent="0.25">
      <c r="A6116" t="s">
        <v>2519</v>
      </c>
    </row>
    <row r="6118" spans="1:1" x14ac:dyDescent="0.25">
      <c r="A6118" t="s">
        <v>2459</v>
      </c>
    </row>
    <row r="6119" spans="1:1" x14ac:dyDescent="0.25">
      <c r="A6119" t="s">
        <v>4706</v>
      </c>
    </row>
    <row r="6120" spans="1:1" x14ac:dyDescent="0.25">
      <c r="A6120" t="s">
        <v>4172</v>
      </c>
    </row>
    <row r="6121" spans="1:1" x14ac:dyDescent="0.25">
      <c r="A6121" t="s">
        <v>4033</v>
      </c>
    </row>
    <row r="6122" spans="1:1" x14ac:dyDescent="0.25">
      <c r="A6122" t="s">
        <v>4707</v>
      </c>
    </row>
    <row r="6123" spans="1:1" x14ac:dyDescent="0.25">
      <c r="A6123" t="s">
        <v>4708</v>
      </c>
    </row>
    <row r="6124" spans="1:1" x14ac:dyDescent="0.25">
      <c r="A6124" t="s">
        <v>4709</v>
      </c>
    </row>
    <row r="6125" spans="1:1" x14ac:dyDescent="0.25">
      <c r="A6125" t="s">
        <v>4710</v>
      </c>
    </row>
    <row r="6126" spans="1:1" x14ac:dyDescent="0.25">
      <c r="A6126" t="s">
        <v>4711</v>
      </c>
    </row>
    <row r="6127" spans="1:1" x14ac:dyDescent="0.25">
      <c r="A6127" t="s">
        <v>4712</v>
      </c>
    </row>
    <row r="6128" spans="1:1" x14ac:dyDescent="0.25">
      <c r="A6128" t="s">
        <v>4713</v>
      </c>
    </row>
    <row r="6129" spans="1:1" x14ac:dyDescent="0.25">
      <c r="A6129" t="s">
        <v>4714</v>
      </c>
    </row>
    <row r="6130" spans="1:1" x14ac:dyDescent="0.25">
      <c r="A6130" t="s">
        <v>4715</v>
      </c>
    </row>
    <row r="6131" spans="1:1" x14ac:dyDescent="0.25">
      <c r="A6131" t="s">
        <v>4716</v>
      </c>
    </row>
    <row r="6132" spans="1:1" x14ac:dyDescent="0.25">
      <c r="A6132" t="s">
        <v>4717</v>
      </c>
    </row>
    <row r="6133" spans="1:1" x14ac:dyDescent="0.25">
      <c r="A6133" t="s">
        <v>4718</v>
      </c>
    </row>
    <row r="6134" spans="1:1" x14ac:dyDescent="0.25">
      <c r="A6134" t="s">
        <v>4719</v>
      </c>
    </row>
    <row r="6135" spans="1:1" x14ac:dyDescent="0.25">
      <c r="A6135" t="s">
        <v>4720</v>
      </c>
    </row>
    <row r="6136" spans="1:1" x14ac:dyDescent="0.25">
      <c r="A6136" t="s">
        <v>4721</v>
      </c>
    </row>
    <row r="6137" spans="1:1" x14ac:dyDescent="0.25">
      <c r="A6137" t="s">
        <v>4722</v>
      </c>
    </row>
    <row r="6138" spans="1:1" x14ac:dyDescent="0.25">
      <c r="A6138" t="s">
        <v>4723</v>
      </c>
    </row>
    <row r="6139" spans="1:1" x14ac:dyDescent="0.25">
      <c r="A6139" t="s">
        <v>4724</v>
      </c>
    </row>
    <row r="6140" spans="1:1" x14ac:dyDescent="0.25">
      <c r="A6140" t="s">
        <v>2519</v>
      </c>
    </row>
    <row r="6142" spans="1:1" x14ac:dyDescent="0.25">
      <c r="A6142" t="s">
        <v>2459</v>
      </c>
    </row>
    <row r="6143" spans="1:1" x14ac:dyDescent="0.25">
      <c r="A6143" t="s">
        <v>4725</v>
      </c>
    </row>
    <row r="6144" spans="1:1" x14ac:dyDescent="0.25">
      <c r="A6144" t="s">
        <v>4172</v>
      </c>
    </row>
    <row r="6145" spans="1:1" x14ac:dyDescent="0.25">
      <c r="A6145" t="s">
        <v>4033</v>
      </c>
    </row>
    <row r="6146" spans="1:1" x14ac:dyDescent="0.25">
      <c r="A6146" t="s">
        <v>4726</v>
      </c>
    </row>
    <row r="6147" spans="1:1" x14ac:dyDescent="0.25">
      <c r="A6147" t="s">
        <v>4727</v>
      </c>
    </row>
    <row r="6148" spans="1:1" x14ac:dyDescent="0.25">
      <c r="A6148" t="s">
        <v>4728</v>
      </c>
    </row>
    <row r="6149" spans="1:1" x14ac:dyDescent="0.25">
      <c r="A6149" t="s">
        <v>4729</v>
      </c>
    </row>
    <row r="6150" spans="1:1" x14ac:dyDescent="0.25">
      <c r="A6150" t="s">
        <v>4730</v>
      </c>
    </row>
    <row r="6151" spans="1:1" x14ac:dyDescent="0.25">
      <c r="A6151" t="s">
        <v>4731</v>
      </c>
    </row>
    <row r="6152" spans="1:1" x14ac:dyDescent="0.25">
      <c r="A6152" t="s">
        <v>4732</v>
      </c>
    </row>
    <row r="6153" spans="1:1" x14ac:dyDescent="0.25">
      <c r="A6153" t="s">
        <v>4733</v>
      </c>
    </row>
    <row r="6154" spans="1:1" x14ac:dyDescent="0.25">
      <c r="A6154" t="s">
        <v>4734</v>
      </c>
    </row>
    <row r="6155" spans="1:1" x14ac:dyDescent="0.25">
      <c r="A6155" t="s">
        <v>4735</v>
      </c>
    </row>
    <row r="6156" spans="1:1" x14ac:dyDescent="0.25">
      <c r="A6156" t="s">
        <v>4736</v>
      </c>
    </row>
    <row r="6157" spans="1:1" x14ac:dyDescent="0.25">
      <c r="A6157" t="s">
        <v>4737</v>
      </c>
    </row>
    <row r="6158" spans="1:1" x14ac:dyDescent="0.25">
      <c r="A6158" t="s">
        <v>4738</v>
      </c>
    </row>
    <row r="6159" spans="1:1" x14ac:dyDescent="0.25">
      <c r="A6159" t="s">
        <v>4739</v>
      </c>
    </row>
    <row r="6160" spans="1:1" x14ac:dyDescent="0.25">
      <c r="A6160" t="s">
        <v>4740</v>
      </c>
    </row>
    <row r="6161" spans="1:1" x14ac:dyDescent="0.25">
      <c r="A6161" t="s">
        <v>4741</v>
      </c>
    </row>
    <row r="6162" spans="1:1" x14ac:dyDescent="0.25">
      <c r="A6162" t="s">
        <v>4742</v>
      </c>
    </row>
    <row r="6163" spans="1:1" x14ac:dyDescent="0.25">
      <c r="A6163" t="s">
        <v>4743</v>
      </c>
    </row>
    <row r="6164" spans="1:1" x14ac:dyDescent="0.25">
      <c r="A6164" t="s">
        <v>2519</v>
      </c>
    </row>
    <row r="6166" spans="1:1" x14ac:dyDescent="0.25">
      <c r="A6166" t="s">
        <v>2459</v>
      </c>
    </row>
    <row r="6167" spans="1:1" x14ac:dyDescent="0.25">
      <c r="A6167" t="s">
        <v>4744</v>
      </c>
    </row>
    <row r="6168" spans="1:1" x14ac:dyDescent="0.25">
      <c r="A6168" t="s">
        <v>4172</v>
      </c>
    </row>
    <row r="6169" spans="1:1" x14ac:dyDescent="0.25">
      <c r="A6169" t="s">
        <v>4033</v>
      </c>
    </row>
    <row r="6170" spans="1:1" x14ac:dyDescent="0.25">
      <c r="A6170" t="s">
        <v>4745</v>
      </c>
    </row>
    <row r="6171" spans="1:1" x14ac:dyDescent="0.25">
      <c r="A6171" t="s">
        <v>4746</v>
      </c>
    </row>
    <row r="6172" spans="1:1" x14ac:dyDescent="0.25">
      <c r="A6172" t="s">
        <v>4747</v>
      </c>
    </row>
    <row r="6173" spans="1:1" x14ac:dyDescent="0.25">
      <c r="A6173" t="s">
        <v>4748</v>
      </c>
    </row>
    <row r="6174" spans="1:1" x14ac:dyDescent="0.25">
      <c r="A6174" t="s">
        <v>4749</v>
      </c>
    </row>
    <row r="6175" spans="1:1" x14ac:dyDescent="0.25">
      <c r="A6175" t="s">
        <v>4750</v>
      </c>
    </row>
    <row r="6176" spans="1:1" x14ac:dyDescent="0.25">
      <c r="A6176" t="s">
        <v>4751</v>
      </c>
    </row>
    <row r="6177" spans="1:1" x14ac:dyDescent="0.25">
      <c r="A6177" t="s">
        <v>4752</v>
      </c>
    </row>
    <row r="6178" spans="1:1" x14ac:dyDescent="0.25">
      <c r="A6178" t="s">
        <v>4753</v>
      </c>
    </row>
    <row r="6179" spans="1:1" x14ac:dyDescent="0.25">
      <c r="A6179" t="s">
        <v>4754</v>
      </c>
    </row>
    <row r="6180" spans="1:1" x14ac:dyDescent="0.25">
      <c r="A6180" t="s">
        <v>4755</v>
      </c>
    </row>
    <row r="6181" spans="1:1" x14ac:dyDescent="0.25">
      <c r="A6181" t="s">
        <v>4756</v>
      </c>
    </row>
    <row r="6182" spans="1:1" x14ac:dyDescent="0.25">
      <c r="A6182" t="s">
        <v>4757</v>
      </c>
    </row>
    <row r="6183" spans="1:1" x14ac:dyDescent="0.25">
      <c r="A6183" t="s">
        <v>4758</v>
      </c>
    </row>
    <row r="6184" spans="1:1" x14ac:dyDescent="0.25">
      <c r="A6184" t="s">
        <v>4759</v>
      </c>
    </row>
    <row r="6185" spans="1:1" x14ac:dyDescent="0.25">
      <c r="A6185" t="s">
        <v>4760</v>
      </c>
    </row>
    <row r="6186" spans="1:1" x14ac:dyDescent="0.25">
      <c r="A6186" t="s">
        <v>4761</v>
      </c>
    </row>
    <row r="6187" spans="1:1" x14ac:dyDescent="0.25">
      <c r="A6187" t="s">
        <v>4762</v>
      </c>
    </row>
    <row r="6188" spans="1:1" x14ac:dyDescent="0.25">
      <c r="A6188" t="s">
        <v>2519</v>
      </c>
    </row>
    <row r="6190" spans="1:1" x14ac:dyDescent="0.25">
      <c r="A6190" t="s">
        <v>2459</v>
      </c>
    </row>
    <row r="6191" spans="1:1" x14ac:dyDescent="0.25">
      <c r="A6191" t="s">
        <v>4763</v>
      </c>
    </row>
    <row r="6192" spans="1:1" x14ac:dyDescent="0.25">
      <c r="A6192" t="s">
        <v>4172</v>
      </c>
    </row>
    <row r="6193" spans="1:1" x14ac:dyDescent="0.25">
      <c r="A6193" t="s">
        <v>4033</v>
      </c>
    </row>
    <row r="6194" spans="1:1" x14ac:dyDescent="0.25">
      <c r="A6194" t="s">
        <v>4764</v>
      </c>
    </row>
    <row r="6195" spans="1:1" x14ac:dyDescent="0.25">
      <c r="A6195" t="s">
        <v>4765</v>
      </c>
    </row>
    <row r="6196" spans="1:1" x14ac:dyDescent="0.25">
      <c r="A6196" t="s">
        <v>4766</v>
      </c>
    </row>
    <row r="6197" spans="1:1" x14ac:dyDescent="0.25">
      <c r="A6197" t="s">
        <v>4767</v>
      </c>
    </row>
    <row r="6198" spans="1:1" x14ac:dyDescent="0.25">
      <c r="A6198" t="s">
        <v>4768</v>
      </c>
    </row>
    <row r="6199" spans="1:1" x14ac:dyDescent="0.25">
      <c r="A6199" t="s">
        <v>4769</v>
      </c>
    </row>
    <row r="6200" spans="1:1" x14ac:dyDescent="0.25">
      <c r="A6200" t="s">
        <v>4770</v>
      </c>
    </row>
    <row r="6201" spans="1:1" x14ac:dyDescent="0.25">
      <c r="A6201" t="s">
        <v>4771</v>
      </c>
    </row>
    <row r="6202" spans="1:1" x14ac:dyDescent="0.25">
      <c r="A6202" t="s">
        <v>4772</v>
      </c>
    </row>
    <row r="6203" spans="1:1" x14ac:dyDescent="0.25">
      <c r="A6203" t="s">
        <v>4773</v>
      </c>
    </row>
    <row r="6204" spans="1:1" x14ac:dyDescent="0.25">
      <c r="A6204" t="s">
        <v>4774</v>
      </c>
    </row>
    <row r="6205" spans="1:1" x14ac:dyDescent="0.25">
      <c r="A6205" t="s">
        <v>4775</v>
      </c>
    </row>
    <row r="6206" spans="1:1" x14ac:dyDescent="0.25">
      <c r="A6206" t="s">
        <v>4776</v>
      </c>
    </row>
    <row r="6207" spans="1:1" x14ac:dyDescent="0.25">
      <c r="A6207" t="s">
        <v>4777</v>
      </c>
    </row>
    <row r="6208" spans="1:1" x14ac:dyDescent="0.25">
      <c r="A6208" t="s">
        <v>4778</v>
      </c>
    </row>
    <row r="6209" spans="1:1" x14ac:dyDescent="0.25">
      <c r="A6209" t="s">
        <v>4779</v>
      </c>
    </row>
    <row r="6210" spans="1:1" x14ac:dyDescent="0.25">
      <c r="A6210" t="s">
        <v>4780</v>
      </c>
    </row>
    <row r="6211" spans="1:1" x14ac:dyDescent="0.25">
      <c r="A6211" t="s">
        <v>4781</v>
      </c>
    </row>
    <row r="6212" spans="1:1" x14ac:dyDescent="0.25">
      <c r="A6212" t="s">
        <v>2519</v>
      </c>
    </row>
    <row r="6214" spans="1:1" x14ac:dyDescent="0.25">
      <c r="A6214" t="s">
        <v>2520</v>
      </c>
    </row>
    <row r="6216" spans="1:1" x14ac:dyDescent="0.25">
      <c r="A6216" t="s">
        <v>4782</v>
      </c>
    </row>
    <row r="6217" spans="1:1" x14ac:dyDescent="0.25">
      <c r="A6217" t="s">
        <v>4783</v>
      </c>
    </row>
    <row r="6218" spans="1:1" x14ac:dyDescent="0.25">
      <c r="A6218" t="s">
        <v>4784</v>
      </c>
    </row>
    <row r="6219" spans="1:1" x14ac:dyDescent="0.25">
      <c r="A6219" t="s">
        <v>3448</v>
      </c>
    </row>
    <row r="6221" spans="1:1" x14ac:dyDescent="0.25">
      <c r="A6221" t="s">
        <v>2520</v>
      </c>
    </row>
    <row r="6223" spans="1:1" x14ac:dyDescent="0.25">
      <c r="A6223" t="s">
        <v>4785</v>
      </c>
    </row>
    <row r="6225" spans="1:1" x14ac:dyDescent="0.25">
      <c r="A6225" t="s">
        <v>2520</v>
      </c>
    </row>
    <row r="6227" spans="1:1" x14ac:dyDescent="0.25">
      <c r="A6227" t="s">
        <v>3449</v>
      </c>
    </row>
    <row r="6228" spans="1:1" x14ac:dyDescent="0.25">
      <c r="A6228" t="s">
        <v>4786</v>
      </c>
    </row>
    <row r="6229" spans="1:1" x14ac:dyDescent="0.25">
      <c r="A6229" t="s">
        <v>3453</v>
      </c>
    </row>
    <row r="6230" spans="1:1" x14ac:dyDescent="0.25">
      <c r="A6230" t="s">
        <v>4787</v>
      </c>
    </row>
    <row r="6231" spans="1:1" x14ac:dyDescent="0.25">
      <c r="A6231" t="s">
        <v>4033</v>
      </c>
    </row>
    <row r="6232" spans="1:1" x14ac:dyDescent="0.25">
      <c r="A6232" t="s">
        <v>4788</v>
      </c>
    </row>
    <row r="6233" spans="1:1" x14ac:dyDescent="0.25">
      <c r="A6233" t="s">
        <v>2468</v>
      </c>
    </row>
    <row r="6234" spans="1:1" x14ac:dyDescent="0.25">
      <c r="A6234" t="s">
        <v>2449</v>
      </c>
    </row>
    <row r="6235" spans="1:1" x14ac:dyDescent="0.25">
      <c r="A6235" t="s">
        <v>2450</v>
      </c>
    </row>
    <row r="6236" spans="1:1" x14ac:dyDescent="0.25">
      <c r="A6236" t="s">
        <v>4789</v>
      </c>
    </row>
    <row r="6237" spans="1:1" x14ac:dyDescent="0.25">
      <c r="A6237" t="s">
        <v>4790</v>
      </c>
    </row>
    <row r="6238" spans="1:1" x14ac:dyDescent="0.25">
      <c r="A6238" t="s">
        <v>2257</v>
      </c>
    </row>
    <row r="6239" spans="1:1" x14ac:dyDescent="0.25">
      <c r="A6239" t="s">
        <v>2471</v>
      </c>
    </row>
    <row r="6241" spans="1:1" x14ac:dyDescent="0.25">
      <c r="A6241" t="s">
        <v>3460</v>
      </c>
    </row>
    <row r="6243" spans="1:1" x14ac:dyDescent="0.25">
      <c r="A6243" t="s">
        <v>2520</v>
      </c>
    </row>
    <row r="6245" spans="1:1" x14ac:dyDescent="0.25">
      <c r="A6245" t="s">
        <v>3446</v>
      </c>
    </row>
    <row r="6246" spans="1:1" x14ac:dyDescent="0.25">
      <c r="A6246" t="s">
        <v>2455</v>
      </c>
    </row>
    <row r="6247" spans="1:1" x14ac:dyDescent="0.25">
      <c r="A6247" t="s">
        <v>3448</v>
      </c>
    </row>
    <row r="6249" spans="1:1" x14ac:dyDescent="0.25">
      <c r="A6249" t="s">
        <v>4791</v>
      </c>
    </row>
    <row r="6250" spans="1:1" x14ac:dyDescent="0.25">
      <c r="A6250" t="s">
        <v>4792</v>
      </c>
    </row>
    <row r="6252" spans="1:1" x14ac:dyDescent="0.25">
      <c r="A6252" t="s">
        <v>2520</v>
      </c>
    </row>
    <row r="6254" spans="1:1" x14ac:dyDescent="0.25">
      <c r="A6254" t="s">
        <v>4793</v>
      </c>
    </row>
    <row r="6255" spans="1:1" x14ac:dyDescent="0.25">
      <c r="A6255" t="s">
        <v>4794</v>
      </c>
    </row>
    <row r="6256" spans="1:1" x14ac:dyDescent="0.25">
      <c r="A6256" t="s">
        <v>4795</v>
      </c>
    </row>
    <row r="6257" spans="1:1" x14ac:dyDescent="0.25">
      <c r="A6257" t="s">
        <v>4059</v>
      </c>
    </row>
    <row r="6258" spans="1:1" x14ac:dyDescent="0.25">
      <c r="A6258" t="s">
        <v>4796</v>
      </c>
    </row>
    <row r="6259" spans="1:1" x14ac:dyDescent="0.25">
      <c r="A6259" t="s">
        <v>4061</v>
      </c>
    </row>
    <row r="6260" spans="1:1" x14ac:dyDescent="0.25">
      <c r="A6260" t="s">
        <v>4062</v>
      </c>
    </row>
    <row r="6261" spans="1:1" x14ac:dyDescent="0.25">
      <c r="A6261" t="s">
        <v>4063</v>
      </c>
    </row>
    <row r="6262" spans="1:1" x14ac:dyDescent="0.25">
      <c r="A6262" t="s">
        <v>4797</v>
      </c>
    </row>
    <row r="6263" spans="1:1" x14ac:dyDescent="0.25">
      <c r="A6263" t="s">
        <v>4798</v>
      </c>
    </row>
    <row r="6264" spans="1:1" x14ac:dyDescent="0.25">
      <c r="A6264" t="s">
        <v>4065</v>
      </c>
    </row>
    <row r="6265" spans="1:1" x14ac:dyDescent="0.25">
      <c r="A6265" t="s">
        <v>4799</v>
      </c>
    </row>
    <row r="6266" spans="1:1" x14ac:dyDescent="0.25">
      <c r="A6266" t="s">
        <v>4067</v>
      </c>
    </row>
    <row r="6267" spans="1:1" x14ac:dyDescent="0.25">
      <c r="A6267" t="s">
        <v>4800</v>
      </c>
    </row>
    <row r="6268" spans="1:1" x14ac:dyDescent="0.25">
      <c r="A6268" t="s">
        <v>4801</v>
      </c>
    </row>
    <row r="6269" spans="1:1" x14ac:dyDescent="0.25">
      <c r="A6269" t="s">
        <v>4070</v>
      </c>
    </row>
    <row r="6271" spans="1:1" x14ac:dyDescent="0.25">
      <c r="A6271" t="s">
        <v>4802</v>
      </c>
    </row>
    <row r="6272" spans="1:1" x14ac:dyDescent="0.25">
      <c r="A6272" t="s">
        <v>4803</v>
      </c>
    </row>
    <row r="6273" spans="1:1" x14ac:dyDescent="0.25">
      <c r="A6273" t="s">
        <v>4804</v>
      </c>
    </row>
    <row r="6274" spans="1:1" x14ac:dyDescent="0.25">
      <c r="A6274" t="s">
        <v>4805</v>
      </c>
    </row>
    <row r="6275" spans="1:1" x14ac:dyDescent="0.25">
      <c r="A6275" t="s">
        <v>4806</v>
      </c>
    </row>
    <row r="6276" spans="1:1" x14ac:dyDescent="0.25">
      <c r="A6276" t="s">
        <v>4807</v>
      </c>
    </row>
    <row r="6277" spans="1:1" x14ac:dyDescent="0.25">
      <c r="A6277" t="s">
        <v>4808</v>
      </c>
    </row>
    <row r="6278" spans="1:1" x14ac:dyDescent="0.25">
      <c r="A6278" t="s">
        <v>4809</v>
      </c>
    </row>
    <row r="6279" spans="1:1" x14ac:dyDescent="0.25">
      <c r="A6279" t="s">
        <v>4810</v>
      </c>
    </row>
    <row r="6280" spans="1:1" x14ac:dyDescent="0.25">
      <c r="A6280" t="s">
        <v>4811</v>
      </c>
    </row>
    <row r="6281" spans="1:1" x14ac:dyDescent="0.25">
      <c r="A6281" t="s">
        <v>4812</v>
      </c>
    </row>
    <row r="6282" spans="1:1" x14ac:dyDescent="0.25">
      <c r="A6282" t="s">
        <v>4813</v>
      </c>
    </row>
    <row r="6283" spans="1:1" x14ac:dyDescent="0.25">
      <c r="A6283" t="s">
        <v>4814</v>
      </c>
    </row>
    <row r="6284" spans="1:1" x14ac:dyDescent="0.25">
      <c r="A6284" t="s">
        <v>4093</v>
      </c>
    </row>
    <row r="6285" spans="1:1" x14ac:dyDescent="0.25">
      <c r="A6285" t="s">
        <v>2485</v>
      </c>
    </row>
    <row r="6286" spans="1:1" x14ac:dyDescent="0.25">
      <c r="A6286" t="s">
        <v>4815</v>
      </c>
    </row>
    <row r="6287" spans="1:1" x14ac:dyDescent="0.25">
      <c r="A6287" t="s">
        <v>2487</v>
      </c>
    </row>
    <row r="6288" spans="1:1" x14ac:dyDescent="0.25">
      <c r="A6288" t="s">
        <v>2488</v>
      </c>
    </row>
    <row r="6289" spans="1:1" x14ac:dyDescent="0.25">
      <c r="A6289" t="s">
        <v>2489</v>
      </c>
    </row>
    <row r="6290" spans="1:1" x14ac:dyDescent="0.25">
      <c r="A6290" t="s">
        <v>2490</v>
      </c>
    </row>
    <row r="6291" spans="1:1" x14ac:dyDescent="0.25">
      <c r="A6291" t="s">
        <v>2491</v>
      </c>
    </row>
    <row r="6292" spans="1:1" x14ac:dyDescent="0.25">
      <c r="A6292" t="s">
        <v>1893</v>
      </c>
    </row>
    <row r="6293" spans="1:1" x14ac:dyDescent="0.25">
      <c r="A6293" t="s">
        <v>4816</v>
      </c>
    </row>
    <row r="6294" spans="1:1" x14ac:dyDescent="0.25">
      <c r="A6294" t="s">
        <v>2493</v>
      </c>
    </row>
    <row r="6295" spans="1:1" x14ac:dyDescent="0.25">
      <c r="A6295" t="s">
        <v>2488</v>
      </c>
    </row>
    <row r="6296" spans="1:1" x14ac:dyDescent="0.25">
      <c r="A6296" t="s">
        <v>2489</v>
      </c>
    </row>
    <row r="6297" spans="1:1" x14ac:dyDescent="0.25">
      <c r="A6297" t="s">
        <v>2490</v>
      </c>
    </row>
    <row r="6298" spans="1:1" x14ac:dyDescent="0.25">
      <c r="A6298" t="s">
        <v>2491</v>
      </c>
    </row>
    <row r="6299" spans="1:1" x14ac:dyDescent="0.25">
      <c r="A6299" t="s">
        <v>1893</v>
      </c>
    </row>
    <row r="6300" spans="1:1" x14ac:dyDescent="0.25">
      <c r="A6300" t="s">
        <v>4817</v>
      </c>
    </row>
    <row r="6301" spans="1:1" x14ac:dyDescent="0.25">
      <c r="A6301" t="s">
        <v>1892</v>
      </c>
    </row>
    <row r="6302" spans="1:1" x14ac:dyDescent="0.25">
      <c r="A6302" t="s">
        <v>2488</v>
      </c>
    </row>
    <row r="6303" spans="1:1" x14ac:dyDescent="0.25">
      <c r="A6303" t="s">
        <v>2489</v>
      </c>
    </row>
    <row r="6304" spans="1:1" x14ac:dyDescent="0.25">
      <c r="A6304" t="s">
        <v>2490</v>
      </c>
    </row>
    <row r="6305" spans="1:1" x14ac:dyDescent="0.25">
      <c r="A6305" t="s">
        <v>2491</v>
      </c>
    </row>
    <row r="6306" spans="1:1" x14ac:dyDescent="0.25">
      <c r="A6306" t="s">
        <v>2495</v>
      </c>
    </row>
    <row r="6307" spans="1:1" x14ac:dyDescent="0.25">
      <c r="A6307" t="s">
        <v>1893</v>
      </c>
    </row>
    <row r="6308" spans="1:1" x14ac:dyDescent="0.25">
      <c r="A6308" t="s">
        <v>4818</v>
      </c>
    </row>
    <row r="6309" spans="1:1" x14ac:dyDescent="0.25">
      <c r="A6309" t="s">
        <v>2493</v>
      </c>
    </row>
    <row r="6310" spans="1:1" x14ac:dyDescent="0.25">
      <c r="A6310" t="s">
        <v>1892</v>
      </c>
    </row>
    <row r="6311" spans="1:1" x14ac:dyDescent="0.25">
      <c r="A6311" t="s">
        <v>2488</v>
      </c>
    </row>
    <row r="6312" spans="1:1" x14ac:dyDescent="0.25">
      <c r="A6312" t="s">
        <v>2489</v>
      </c>
    </row>
    <row r="6313" spans="1:1" x14ac:dyDescent="0.25">
      <c r="A6313" t="s">
        <v>2490</v>
      </c>
    </row>
    <row r="6314" spans="1:1" x14ac:dyDescent="0.25">
      <c r="A6314" t="s">
        <v>2491</v>
      </c>
    </row>
    <row r="6315" spans="1:1" x14ac:dyDescent="0.25">
      <c r="A6315" t="s">
        <v>2497</v>
      </c>
    </row>
    <row r="6316" spans="1:1" x14ac:dyDescent="0.25">
      <c r="A6316" t="s">
        <v>1893</v>
      </c>
    </row>
    <row r="6317" spans="1:1" x14ac:dyDescent="0.25">
      <c r="A6317" t="s">
        <v>2498</v>
      </c>
    </row>
    <row r="6318" spans="1:1" x14ac:dyDescent="0.25">
      <c r="A6318" t="s">
        <v>1904</v>
      </c>
    </row>
    <row r="6319" spans="1:1" x14ac:dyDescent="0.25">
      <c r="A6319" t="s">
        <v>4098</v>
      </c>
    </row>
    <row r="6320" spans="1:1" x14ac:dyDescent="0.25">
      <c r="A6320" t="s">
        <v>2500</v>
      </c>
    </row>
    <row r="6321" spans="1:1" x14ac:dyDescent="0.25">
      <c r="A6321" t="s">
        <v>2501</v>
      </c>
    </row>
    <row r="6322" spans="1:1" x14ac:dyDescent="0.25">
      <c r="A6322" t="s">
        <v>2502</v>
      </c>
    </row>
    <row r="6323" spans="1:1" x14ac:dyDescent="0.25">
      <c r="A6323" t="s">
        <v>2503</v>
      </c>
    </row>
    <row r="6324" spans="1:1" x14ac:dyDescent="0.25">
      <c r="A6324" t="s">
        <v>2504</v>
      </c>
    </row>
    <row r="6325" spans="1:1" x14ac:dyDescent="0.25">
      <c r="A6325" t="s">
        <v>2505</v>
      </c>
    </row>
    <row r="6326" spans="1:1" x14ac:dyDescent="0.25">
      <c r="A6326" t="s">
        <v>2506</v>
      </c>
    </row>
    <row r="6327" spans="1:1" x14ac:dyDescent="0.25">
      <c r="A6327" t="s">
        <v>2507</v>
      </c>
    </row>
    <row r="6328" spans="1:1" x14ac:dyDescent="0.25">
      <c r="A6328" t="s">
        <v>2508</v>
      </c>
    </row>
    <row r="6329" spans="1:1" x14ac:dyDescent="0.25">
      <c r="A6329" t="s">
        <v>2509</v>
      </c>
    </row>
    <row r="6330" spans="1:1" x14ac:dyDescent="0.25">
      <c r="A6330" t="s">
        <v>2510</v>
      </c>
    </row>
    <row r="6331" spans="1:1" x14ac:dyDescent="0.25">
      <c r="A6331" t="s">
        <v>2511</v>
      </c>
    </row>
    <row r="6332" spans="1:1" x14ac:dyDescent="0.25">
      <c r="A6332" t="s">
        <v>2512</v>
      </c>
    </row>
    <row r="6333" spans="1:1" x14ac:dyDescent="0.25">
      <c r="A6333" t="s">
        <v>1904</v>
      </c>
    </row>
    <row r="6334" spans="1:1" x14ac:dyDescent="0.25">
      <c r="A6334" t="s">
        <v>4099</v>
      </c>
    </row>
    <row r="6335" spans="1:1" x14ac:dyDescent="0.25">
      <c r="A6335" t="s">
        <v>2500</v>
      </c>
    </row>
    <row r="6336" spans="1:1" x14ac:dyDescent="0.25">
      <c r="A6336" t="s">
        <v>2514</v>
      </c>
    </row>
    <row r="6337" spans="1:1" x14ac:dyDescent="0.25">
      <c r="A6337" t="s">
        <v>2502</v>
      </c>
    </row>
    <row r="6338" spans="1:1" x14ac:dyDescent="0.25">
      <c r="A6338" t="s">
        <v>2515</v>
      </c>
    </row>
    <row r="6339" spans="1:1" x14ac:dyDescent="0.25">
      <c r="A6339" t="s">
        <v>2516</v>
      </c>
    </row>
    <row r="6340" spans="1:1" x14ac:dyDescent="0.25">
      <c r="A6340" t="s">
        <v>2517</v>
      </c>
    </row>
    <row r="6341" spans="1:1" x14ac:dyDescent="0.25">
      <c r="A6341" t="s">
        <v>2518</v>
      </c>
    </row>
    <row r="6342" spans="1:1" x14ac:dyDescent="0.25">
      <c r="A6342" t="s">
        <v>2507</v>
      </c>
    </row>
    <row r="6343" spans="1:1" x14ac:dyDescent="0.25">
      <c r="A6343" t="s">
        <v>2512</v>
      </c>
    </row>
    <row r="6344" spans="1:1" x14ac:dyDescent="0.25">
      <c r="A6344" t="s">
        <v>1904</v>
      </c>
    </row>
    <row r="6345" spans="1:1" x14ac:dyDescent="0.25">
      <c r="A6345" t="s">
        <v>4100</v>
      </c>
    </row>
    <row r="6347" spans="1:1" x14ac:dyDescent="0.25">
      <c r="A6347" t="s">
        <v>4819</v>
      </c>
    </row>
    <row r="6348" spans="1:1" x14ac:dyDescent="0.25">
      <c r="A6348" t="s">
        <v>4101</v>
      </c>
    </row>
    <row r="6350" spans="1:1" x14ac:dyDescent="0.25">
      <c r="A6350" t="s">
        <v>4102</v>
      </c>
    </row>
    <row r="6351" spans="1:1" x14ac:dyDescent="0.25">
      <c r="A6351" t="s">
        <v>4103</v>
      </c>
    </row>
    <row r="6352" spans="1:1" x14ac:dyDescent="0.25">
      <c r="A6352" t="s">
        <v>4104</v>
      </c>
    </row>
    <row r="6354" spans="1:1" x14ac:dyDescent="0.25">
      <c r="A6354" t="s">
        <v>4105</v>
      </c>
    </row>
    <row r="6355" spans="1:1" x14ac:dyDescent="0.25">
      <c r="A6355" t="s">
        <v>4106</v>
      </c>
    </row>
    <row r="6356" spans="1:1" x14ac:dyDescent="0.25">
      <c r="A6356" t="s">
        <v>4104</v>
      </c>
    </row>
    <row r="6358" spans="1:1" x14ac:dyDescent="0.25">
      <c r="A6358" t="s">
        <v>4107</v>
      </c>
    </row>
    <row r="6359" spans="1:1" x14ac:dyDescent="0.25">
      <c r="A6359" t="s">
        <v>4108</v>
      </c>
    </row>
    <row r="6360" spans="1:1" x14ac:dyDescent="0.25">
      <c r="A6360" t="s">
        <v>4104</v>
      </c>
    </row>
    <row r="6362" spans="1:1" x14ac:dyDescent="0.25">
      <c r="A6362" t="s">
        <v>4109</v>
      </c>
    </row>
    <row r="6363" spans="1:1" x14ac:dyDescent="0.25">
      <c r="A6363" t="s">
        <v>4110</v>
      </c>
    </row>
    <row r="6364" spans="1:1" x14ac:dyDescent="0.25">
      <c r="A6364" t="s">
        <v>4104</v>
      </c>
    </row>
    <row r="6366" spans="1:1" x14ac:dyDescent="0.25">
      <c r="A6366" t="s">
        <v>4111</v>
      </c>
    </row>
    <row r="6367" spans="1:1" x14ac:dyDescent="0.25">
      <c r="A6367" t="s">
        <v>4112</v>
      </c>
    </row>
    <row r="6368" spans="1:1" x14ac:dyDescent="0.25">
      <c r="A6368" t="s">
        <v>4104</v>
      </c>
    </row>
    <row r="6370" spans="1:1" x14ac:dyDescent="0.25">
      <c r="A6370" t="s">
        <v>4113</v>
      </c>
    </row>
    <row r="6371" spans="1:1" x14ac:dyDescent="0.25">
      <c r="A6371" t="s">
        <v>4114</v>
      </c>
    </row>
    <row r="6372" spans="1:1" x14ac:dyDescent="0.25">
      <c r="A6372" t="s">
        <v>4104</v>
      </c>
    </row>
    <row r="6374" spans="1:1" x14ac:dyDescent="0.25">
      <c r="A6374" t="s">
        <v>4115</v>
      </c>
    </row>
    <row r="6375" spans="1:1" x14ac:dyDescent="0.25">
      <c r="A6375" t="s">
        <v>4116</v>
      </c>
    </row>
    <row r="6376" spans="1:1" x14ac:dyDescent="0.25">
      <c r="A6376" t="s">
        <v>4104</v>
      </c>
    </row>
    <row r="6378" spans="1:1" x14ac:dyDescent="0.25">
      <c r="A6378" t="s">
        <v>4117</v>
      </c>
    </row>
    <row r="6379" spans="1:1" x14ac:dyDescent="0.25">
      <c r="A6379" t="s">
        <v>4118</v>
      </c>
    </row>
    <row r="6380" spans="1:1" x14ac:dyDescent="0.25">
      <c r="A6380" t="s">
        <v>4104</v>
      </c>
    </row>
    <row r="6382" spans="1:1" x14ac:dyDescent="0.25">
      <c r="A6382" t="s">
        <v>4119</v>
      </c>
    </row>
    <row r="6383" spans="1:1" x14ac:dyDescent="0.25">
      <c r="A6383" t="s">
        <v>4120</v>
      </c>
    </row>
    <row r="6384" spans="1:1" x14ac:dyDescent="0.25">
      <c r="A6384" t="s">
        <v>4104</v>
      </c>
    </row>
    <row r="6386" spans="1:1" x14ac:dyDescent="0.25">
      <c r="A6386" t="s">
        <v>4121</v>
      </c>
    </row>
    <row r="6387" spans="1:1" x14ac:dyDescent="0.25">
      <c r="A6387" t="s">
        <v>4122</v>
      </c>
    </row>
    <row r="6388" spans="1:1" x14ac:dyDescent="0.25">
      <c r="A6388" t="s">
        <v>4104</v>
      </c>
    </row>
    <row r="6390" spans="1:1" x14ac:dyDescent="0.25">
      <c r="A6390" t="s">
        <v>4123</v>
      </c>
    </row>
    <row r="6391" spans="1:1" x14ac:dyDescent="0.25">
      <c r="A6391" t="s">
        <v>4124</v>
      </c>
    </row>
    <row r="6392" spans="1:1" x14ac:dyDescent="0.25">
      <c r="A6392" t="s">
        <v>4104</v>
      </c>
    </row>
    <row r="6393" spans="1:1" x14ac:dyDescent="0.25">
      <c r="A6393" t="s">
        <v>4133</v>
      </c>
    </row>
    <row r="6395" spans="1:1" x14ac:dyDescent="0.25">
      <c r="A6395" t="s">
        <v>4134</v>
      </c>
    </row>
    <row r="6396" spans="1:1" x14ac:dyDescent="0.25">
      <c r="A6396" t="s">
        <v>4820</v>
      </c>
    </row>
    <row r="6397" spans="1:1" x14ac:dyDescent="0.25">
      <c r="A6397" t="s">
        <v>4136</v>
      </c>
    </row>
    <row r="6398" spans="1:1" x14ac:dyDescent="0.25">
      <c r="A6398" t="s">
        <v>4033</v>
      </c>
    </row>
    <row r="6399" spans="1:1" x14ac:dyDescent="0.25">
      <c r="A6399" t="s">
        <v>4821</v>
      </c>
    </row>
    <row r="6400" spans="1:1" x14ac:dyDescent="0.25">
      <c r="A6400" t="s">
        <v>2468</v>
      </c>
    </row>
    <row r="6401" spans="1:1" x14ac:dyDescent="0.25">
      <c r="A6401" t="s">
        <v>4822</v>
      </c>
    </row>
    <row r="6402" spans="1:1" x14ac:dyDescent="0.25">
      <c r="A6402" t="s">
        <v>2471</v>
      </c>
    </row>
    <row r="6404" spans="1:1" x14ac:dyDescent="0.25">
      <c r="A6404" t="s">
        <v>4139</v>
      </c>
    </row>
    <row r="6406" spans="1:1" x14ac:dyDescent="0.25">
      <c r="A6406" t="s">
        <v>2520</v>
      </c>
    </row>
    <row r="6408" spans="1:1" x14ac:dyDescent="0.25">
      <c r="A6408" t="s">
        <v>4823</v>
      </c>
    </row>
    <row r="6409" spans="1:1" x14ac:dyDescent="0.25">
      <c r="A6409" t="s">
        <v>2520</v>
      </c>
    </row>
    <row r="6410" spans="1:1" x14ac:dyDescent="0.25">
      <c r="A6410" t="s">
        <v>2521</v>
      </c>
    </row>
    <row r="6412" spans="1:1" x14ac:dyDescent="0.25">
      <c r="A6412" t="s">
        <v>3899</v>
      </c>
    </row>
    <row r="6414" spans="1:1" x14ac:dyDescent="0.25">
      <c r="A6414" t="s">
        <v>4824</v>
      </c>
    </row>
    <row r="6415" spans="1:1" x14ac:dyDescent="0.25">
      <c r="A6415" t="s">
        <v>2459</v>
      </c>
    </row>
    <row r="6416" spans="1:1" x14ac:dyDescent="0.25">
      <c r="A6416" t="s">
        <v>4825</v>
      </c>
    </row>
    <row r="6417" spans="1:1" x14ac:dyDescent="0.25">
      <c r="A6417" t="s">
        <v>4420</v>
      </c>
    </row>
    <row r="6418" spans="1:1" x14ac:dyDescent="0.25">
      <c r="A6418" t="s">
        <v>4421</v>
      </c>
    </row>
    <row r="6419" spans="1:1" x14ac:dyDescent="0.25">
      <c r="A6419" t="s">
        <v>4172</v>
      </c>
    </row>
    <row r="6420" spans="1:1" x14ac:dyDescent="0.25">
      <c r="A6420" t="s">
        <v>2463</v>
      </c>
    </row>
    <row r="6421" spans="1:1" x14ac:dyDescent="0.25">
      <c r="A6421" t="s">
        <v>3580</v>
      </c>
    </row>
    <row r="6422" spans="1:1" x14ac:dyDescent="0.25">
      <c r="A6422" t="s">
        <v>4826</v>
      </c>
    </row>
    <row r="6423" spans="1:1" x14ac:dyDescent="0.25">
      <c r="A6423" t="s">
        <v>4498</v>
      </c>
    </row>
    <row r="6424" spans="1:1" x14ac:dyDescent="0.25">
      <c r="A6424" t="s">
        <v>4462</v>
      </c>
    </row>
    <row r="6425" spans="1:1" x14ac:dyDescent="0.25">
      <c r="A6425" t="s">
        <v>1790</v>
      </c>
    </row>
    <row r="6426" spans="1:1" x14ac:dyDescent="0.25">
      <c r="A6426" t="s">
        <v>1873</v>
      </c>
    </row>
    <row r="6427" spans="1:1" x14ac:dyDescent="0.25">
      <c r="A6427" t="s">
        <v>4499</v>
      </c>
    </row>
    <row r="6428" spans="1:1" x14ac:dyDescent="0.25">
      <c r="A6428" t="s">
        <v>1875</v>
      </c>
    </row>
    <row r="6429" spans="1:1" x14ac:dyDescent="0.25">
      <c r="A6429" t="s">
        <v>1794</v>
      </c>
    </row>
    <row r="6430" spans="1:1" x14ac:dyDescent="0.25">
      <c r="A6430" t="s">
        <v>4500</v>
      </c>
    </row>
    <row r="6431" spans="1:1" x14ac:dyDescent="0.25">
      <c r="A6431" t="s">
        <v>4501</v>
      </c>
    </row>
    <row r="6432" spans="1:1" x14ac:dyDescent="0.25">
      <c r="A6432" t="s">
        <v>1904</v>
      </c>
    </row>
    <row r="6433" spans="1:1" x14ac:dyDescent="0.25">
      <c r="A6433" t="s">
        <v>4502</v>
      </c>
    </row>
    <row r="6434" spans="1:1" x14ac:dyDescent="0.25">
      <c r="A6434" t="s">
        <v>4503</v>
      </c>
    </row>
    <row r="6435" spans="1:1" x14ac:dyDescent="0.25">
      <c r="A6435" t="s">
        <v>4504</v>
      </c>
    </row>
    <row r="6436" spans="1:1" x14ac:dyDescent="0.25">
      <c r="A6436" t="s">
        <v>4505</v>
      </c>
    </row>
    <row r="6437" spans="1:1" x14ac:dyDescent="0.25">
      <c r="A6437" t="s">
        <v>4506</v>
      </c>
    </row>
    <row r="6438" spans="1:1" x14ac:dyDescent="0.25">
      <c r="A6438" t="s">
        <v>4507</v>
      </c>
    </row>
    <row r="6439" spans="1:1" x14ac:dyDescent="0.25">
      <c r="A6439" t="s">
        <v>4508</v>
      </c>
    </row>
    <row r="6440" spans="1:1" x14ac:dyDescent="0.25">
      <c r="A6440" t="s">
        <v>4827</v>
      </c>
    </row>
    <row r="6441" spans="1:1" x14ac:dyDescent="0.25">
      <c r="A6441" t="s">
        <v>4510</v>
      </c>
    </row>
    <row r="6442" spans="1:1" x14ac:dyDescent="0.25">
      <c r="A6442" t="s">
        <v>2519</v>
      </c>
    </row>
    <row r="6444" spans="1:1" x14ac:dyDescent="0.25">
      <c r="A6444" t="s">
        <v>2520</v>
      </c>
    </row>
    <row r="6446" spans="1:1" x14ac:dyDescent="0.25">
      <c r="A6446" t="s">
        <v>4142</v>
      </c>
    </row>
    <row r="6447" spans="1:1" x14ac:dyDescent="0.25">
      <c r="A6447" t="s">
        <v>4828</v>
      </c>
    </row>
    <row r="6448" spans="1:1" x14ac:dyDescent="0.25">
      <c r="A6448" t="s">
        <v>4481</v>
      </c>
    </row>
    <row r="6449" spans="1:1" x14ac:dyDescent="0.25">
      <c r="A6449" t="s">
        <v>4145</v>
      </c>
    </row>
    <row r="6450" spans="1:1" x14ac:dyDescent="0.25">
      <c r="A6450" t="s">
        <v>4172</v>
      </c>
    </row>
    <row r="6451" spans="1:1" x14ac:dyDescent="0.25">
      <c r="A6451" t="s">
        <v>2463</v>
      </c>
    </row>
    <row r="6452" spans="1:1" x14ac:dyDescent="0.25">
      <c r="A6452" t="s">
        <v>4150</v>
      </c>
    </row>
    <row r="6453" spans="1:1" x14ac:dyDescent="0.25">
      <c r="A6453" t="s">
        <v>4482</v>
      </c>
    </row>
    <row r="6454" spans="1:1" x14ac:dyDescent="0.25">
      <c r="A6454" t="s">
        <v>4483</v>
      </c>
    </row>
    <row r="6455" spans="1:1" x14ac:dyDescent="0.25">
      <c r="A6455" t="s">
        <v>4484</v>
      </c>
    </row>
    <row r="6456" spans="1:1" x14ac:dyDescent="0.25">
      <c r="A6456" t="s">
        <v>4485</v>
      </c>
    </row>
    <row r="6457" spans="1:1" x14ac:dyDescent="0.25">
      <c r="A6457" t="s">
        <v>4486</v>
      </c>
    </row>
    <row r="6458" spans="1:1" x14ac:dyDescent="0.25">
      <c r="A6458" t="s">
        <v>4487</v>
      </c>
    </row>
    <row r="6459" spans="1:1" x14ac:dyDescent="0.25">
      <c r="A6459" t="s">
        <v>4488</v>
      </c>
    </row>
    <row r="6460" spans="1:1" x14ac:dyDescent="0.25">
      <c r="A6460" t="s">
        <v>4489</v>
      </c>
    </row>
    <row r="6461" spans="1:1" x14ac:dyDescent="0.25">
      <c r="A6461" t="s">
        <v>4490</v>
      </c>
    </row>
    <row r="6462" spans="1:1" x14ac:dyDescent="0.25">
      <c r="A6462" t="s">
        <v>4491</v>
      </c>
    </row>
    <row r="6463" spans="1:1" x14ac:dyDescent="0.25">
      <c r="A6463" t="s">
        <v>4492</v>
      </c>
    </row>
    <row r="6464" spans="1:1" x14ac:dyDescent="0.25">
      <c r="A6464" t="s">
        <v>4493</v>
      </c>
    </row>
    <row r="6465" spans="1:1" x14ac:dyDescent="0.25">
      <c r="A6465" t="s">
        <v>4494</v>
      </c>
    </row>
    <row r="6466" spans="1:1" x14ac:dyDescent="0.25">
      <c r="A6466" t="s">
        <v>4495</v>
      </c>
    </row>
    <row r="6467" spans="1:1" x14ac:dyDescent="0.25">
      <c r="A6467" t="s">
        <v>4163</v>
      </c>
    </row>
    <row r="6469" spans="1:1" x14ac:dyDescent="0.25">
      <c r="A6469" t="s">
        <v>2520</v>
      </c>
    </row>
    <row r="6471" spans="1:1" x14ac:dyDescent="0.25">
      <c r="A6471" t="s">
        <v>2459</v>
      </c>
    </row>
    <row r="6472" spans="1:1" x14ac:dyDescent="0.25">
      <c r="A6472" t="s">
        <v>4829</v>
      </c>
    </row>
    <row r="6473" spans="1:1" x14ac:dyDescent="0.25">
      <c r="A6473" t="s">
        <v>4339</v>
      </c>
    </row>
    <row r="6474" spans="1:1" x14ac:dyDescent="0.25">
      <c r="A6474" t="s">
        <v>4172</v>
      </c>
    </row>
    <row r="6475" spans="1:1" x14ac:dyDescent="0.25">
      <c r="A6475" t="s">
        <v>4340</v>
      </c>
    </row>
    <row r="6476" spans="1:1" x14ac:dyDescent="0.25">
      <c r="A6476" t="s">
        <v>4341</v>
      </c>
    </row>
    <row r="6477" spans="1:1" x14ac:dyDescent="0.25">
      <c r="A6477" t="s">
        <v>2463</v>
      </c>
    </row>
    <row r="6478" spans="1:1" x14ac:dyDescent="0.25">
      <c r="A6478" t="s">
        <v>4342</v>
      </c>
    </row>
    <row r="6479" spans="1:1" x14ac:dyDescent="0.25">
      <c r="A6479" t="s">
        <v>3414</v>
      </c>
    </row>
    <row r="6480" spans="1:1" x14ac:dyDescent="0.25">
      <c r="A6480" t="s">
        <v>4830</v>
      </c>
    </row>
    <row r="6481" spans="1:1" x14ac:dyDescent="0.25">
      <c r="A6481" t="s">
        <v>4831</v>
      </c>
    </row>
    <row r="6482" spans="1:1" x14ac:dyDescent="0.25">
      <c r="A6482" t="s">
        <v>4345</v>
      </c>
    </row>
    <row r="6483" spans="1:1" x14ac:dyDescent="0.25">
      <c r="A6483" t="s">
        <v>4346</v>
      </c>
    </row>
    <row r="6484" spans="1:1" x14ac:dyDescent="0.25">
      <c r="A6484" t="s">
        <v>4347</v>
      </c>
    </row>
    <row r="6485" spans="1:1" x14ac:dyDescent="0.25">
      <c r="A6485" t="s">
        <v>4348</v>
      </c>
    </row>
    <row r="6486" spans="1:1" x14ac:dyDescent="0.25">
      <c r="A6486" t="s">
        <v>4349</v>
      </c>
    </row>
    <row r="6487" spans="1:1" x14ac:dyDescent="0.25">
      <c r="A6487" t="s">
        <v>4350</v>
      </c>
    </row>
    <row r="6488" spans="1:1" x14ac:dyDescent="0.25">
      <c r="A6488" t="s">
        <v>4351</v>
      </c>
    </row>
    <row r="6489" spans="1:1" x14ac:dyDescent="0.25">
      <c r="A6489" t="s">
        <v>4352</v>
      </c>
    </row>
    <row r="6490" spans="1:1" x14ac:dyDescent="0.25">
      <c r="A6490" t="s">
        <v>4353</v>
      </c>
    </row>
    <row r="6491" spans="1:1" x14ac:dyDescent="0.25">
      <c r="A6491" t="s">
        <v>4354</v>
      </c>
    </row>
    <row r="6492" spans="1:1" x14ac:dyDescent="0.25">
      <c r="A6492" t="s">
        <v>4355</v>
      </c>
    </row>
    <row r="6493" spans="1:1" x14ac:dyDescent="0.25">
      <c r="A6493" t="s">
        <v>4356</v>
      </c>
    </row>
    <row r="6494" spans="1:1" x14ac:dyDescent="0.25">
      <c r="A6494" t="s">
        <v>4832</v>
      </c>
    </row>
    <row r="6495" spans="1:1" x14ac:dyDescent="0.25">
      <c r="A6495" t="s">
        <v>4833</v>
      </c>
    </row>
    <row r="6496" spans="1:1" x14ac:dyDescent="0.25">
      <c r="A6496" t="s">
        <v>4834</v>
      </c>
    </row>
    <row r="6497" spans="1:1" x14ac:dyDescent="0.25">
      <c r="A6497" t="s">
        <v>4835</v>
      </c>
    </row>
    <row r="6498" spans="1:1" x14ac:dyDescent="0.25">
      <c r="A6498" t="s">
        <v>4836</v>
      </c>
    </row>
    <row r="6499" spans="1:1" x14ac:dyDescent="0.25">
      <c r="A6499" t="s">
        <v>4837</v>
      </c>
    </row>
    <row r="6500" spans="1:1" x14ac:dyDescent="0.25">
      <c r="A6500" t="s">
        <v>4838</v>
      </c>
    </row>
    <row r="6501" spans="1:1" x14ac:dyDescent="0.25">
      <c r="A6501" t="s">
        <v>4839</v>
      </c>
    </row>
    <row r="6502" spans="1:1" x14ac:dyDescent="0.25">
      <c r="A6502" t="s">
        <v>4840</v>
      </c>
    </row>
    <row r="6503" spans="1:1" x14ac:dyDescent="0.25">
      <c r="A6503" t="s">
        <v>4841</v>
      </c>
    </row>
    <row r="6504" spans="1:1" x14ac:dyDescent="0.25">
      <c r="A6504" t="s">
        <v>4842</v>
      </c>
    </row>
    <row r="6505" spans="1:1" x14ac:dyDescent="0.25">
      <c r="A6505" t="s">
        <v>2519</v>
      </c>
    </row>
    <row r="6507" spans="1:1" x14ac:dyDescent="0.25">
      <c r="A6507" t="s">
        <v>2520</v>
      </c>
    </row>
    <row r="6509" spans="1:1" x14ac:dyDescent="0.25">
      <c r="A6509" t="s">
        <v>2459</v>
      </c>
    </row>
    <row r="6510" spans="1:1" x14ac:dyDescent="0.25">
      <c r="A6510" t="s">
        <v>4843</v>
      </c>
    </row>
    <row r="6511" spans="1:1" x14ac:dyDescent="0.25">
      <c r="A6511" t="s">
        <v>3422</v>
      </c>
    </row>
    <row r="6512" spans="1:1" x14ac:dyDescent="0.25">
      <c r="A6512" t="s">
        <v>4844</v>
      </c>
    </row>
    <row r="6513" spans="1:1" x14ac:dyDescent="0.25">
      <c r="A6513" t="s">
        <v>4172</v>
      </c>
    </row>
    <row r="6514" spans="1:1" x14ac:dyDescent="0.25">
      <c r="A6514" t="s">
        <v>2463</v>
      </c>
    </row>
    <row r="6515" spans="1:1" x14ac:dyDescent="0.25">
      <c r="A6515" t="s">
        <v>3424</v>
      </c>
    </row>
    <row r="6516" spans="1:1" x14ac:dyDescent="0.25">
      <c r="A6516" t="s">
        <v>3414</v>
      </c>
    </row>
    <row r="6517" spans="1:1" x14ac:dyDescent="0.25">
      <c r="A6517" t="s">
        <v>4845</v>
      </c>
    </row>
    <row r="6518" spans="1:1" x14ac:dyDescent="0.25">
      <c r="A6518" t="s">
        <v>4462</v>
      </c>
    </row>
    <row r="6519" spans="1:1" x14ac:dyDescent="0.25">
      <c r="A6519" t="s">
        <v>1790</v>
      </c>
    </row>
    <row r="6520" spans="1:1" x14ac:dyDescent="0.25">
      <c r="A6520" t="s">
        <v>1873</v>
      </c>
    </row>
    <row r="6521" spans="1:1" x14ac:dyDescent="0.25">
      <c r="A6521" t="s">
        <v>4499</v>
      </c>
    </row>
    <row r="6522" spans="1:1" x14ac:dyDescent="0.25">
      <c r="A6522" t="s">
        <v>1875</v>
      </c>
    </row>
    <row r="6523" spans="1:1" x14ac:dyDescent="0.25">
      <c r="A6523" t="s">
        <v>1794</v>
      </c>
    </row>
    <row r="6524" spans="1:1" x14ac:dyDescent="0.25">
      <c r="A6524" t="s">
        <v>4500</v>
      </c>
    </row>
    <row r="6525" spans="1:1" x14ac:dyDescent="0.25">
      <c r="A6525" t="s">
        <v>4501</v>
      </c>
    </row>
    <row r="6526" spans="1:1" x14ac:dyDescent="0.25">
      <c r="A6526" t="s">
        <v>1904</v>
      </c>
    </row>
    <row r="6527" spans="1:1" x14ac:dyDescent="0.25">
      <c r="A6527" t="s">
        <v>4846</v>
      </c>
    </row>
    <row r="6528" spans="1:1" x14ac:dyDescent="0.25">
      <c r="A6528" t="s">
        <v>4847</v>
      </c>
    </row>
    <row r="6529" spans="1:1" x14ac:dyDescent="0.25">
      <c r="A6529" t="s">
        <v>4848</v>
      </c>
    </row>
    <row r="6530" spans="1:1" x14ac:dyDescent="0.25">
      <c r="A6530" t="s">
        <v>4849</v>
      </c>
    </row>
    <row r="6531" spans="1:1" x14ac:dyDescent="0.25">
      <c r="A6531" t="s">
        <v>4850</v>
      </c>
    </row>
    <row r="6532" spans="1:1" x14ac:dyDescent="0.25">
      <c r="A6532" t="s">
        <v>4851</v>
      </c>
    </row>
    <row r="6533" spans="1:1" x14ac:dyDescent="0.25">
      <c r="A6533" t="s">
        <v>4852</v>
      </c>
    </row>
    <row r="6534" spans="1:1" x14ac:dyDescent="0.25">
      <c r="A6534" t="s">
        <v>4853</v>
      </c>
    </row>
    <row r="6535" spans="1:1" x14ac:dyDescent="0.25">
      <c r="A6535" t="s">
        <v>4854</v>
      </c>
    </row>
    <row r="6536" spans="1:1" x14ac:dyDescent="0.25">
      <c r="A6536" t="s">
        <v>4855</v>
      </c>
    </row>
    <row r="6537" spans="1:1" x14ac:dyDescent="0.25">
      <c r="A6537" t="s">
        <v>4856</v>
      </c>
    </row>
    <row r="6538" spans="1:1" x14ac:dyDescent="0.25">
      <c r="A6538" t="s">
        <v>4857</v>
      </c>
    </row>
    <row r="6539" spans="1:1" x14ac:dyDescent="0.25">
      <c r="A6539" t="s">
        <v>2519</v>
      </c>
    </row>
    <row r="6541" spans="1:1" x14ac:dyDescent="0.25">
      <c r="A6541" t="s">
        <v>2520</v>
      </c>
    </row>
    <row r="6543" spans="1:1" x14ac:dyDescent="0.25">
      <c r="A6543" t="s">
        <v>2459</v>
      </c>
    </row>
    <row r="6544" spans="1:1" x14ac:dyDescent="0.25">
      <c r="A6544" t="s">
        <v>4858</v>
      </c>
    </row>
    <row r="6545" spans="1:1" x14ac:dyDescent="0.25">
      <c r="A6545" t="s">
        <v>4388</v>
      </c>
    </row>
    <row r="6546" spans="1:1" x14ac:dyDescent="0.25">
      <c r="A6546" t="s">
        <v>4859</v>
      </c>
    </row>
    <row r="6547" spans="1:1" x14ac:dyDescent="0.25">
      <c r="A6547" t="s">
        <v>4390</v>
      </c>
    </row>
    <row r="6548" spans="1:1" x14ac:dyDescent="0.25">
      <c r="A6548" t="s">
        <v>4860</v>
      </c>
    </row>
    <row r="6549" spans="1:1" x14ac:dyDescent="0.25">
      <c r="A6549" t="s">
        <v>4861</v>
      </c>
    </row>
    <row r="6550" spans="1:1" x14ac:dyDescent="0.25">
      <c r="A6550" t="s">
        <v>4862</v>
      </c>
    </row>
    <row r="6551" spans="1:1" x14ac:dyDescent="0.25">
      <c r="A6551" t="s">
        <v>4863</v>
      </c>
    </row>
    <row r="6552" spans="1:1" x14ac:dyDescent="0.25">
      <c r="A6552" t="s">
        <v>4864</v>
      </c>
    </row>
    <row r="6553" spans="1:1" x14ac:dyDescent="0.25">
      <c r="A6553" t="s">
        <v>2519</v>
      </c>
    </row>
    <row r="6555" spans="1:1" x14ac:dyDescent="0.25">
      <c r="A6555" t="s">
        <v>2520</v>
      </c>
    </row>
    <row r="6557" spans="1:1" x14ac:dyDescent="0.25">
      <c r="A6557" t="s">
        <v>2459</v>
      </c>
    </row>
    <row r="6558" spans="1:1" x14ac:dyDescent="0.25">
      <c r="A6558" t="s">
        <v>4865</v>
      </c>
    </row>
    <row r="6559" spans="1:1" x14ac:dyDescent="0.25">
      <c r="A6559" t="s">
        <v>4388</v>
      </c>
    </row>
    <row r="6560" spans="1:1" x14ac:dyDescent="0.25">
      <c r="A6560" t="s">
        <v>4866</v>
      </c>
    </row>
    <row r="6561" spans="1:1" x14ac:dyDescent="0.25">
      <c r="A6561" t="s">
        <v>4390</v>
      </c>
    </row>
    <row r="6562" spans="1:1" x14ac:dyDescent="0.25">
      <c r="A6562" t="s">
        <v>4867</v>
      </c>
    </row>
    <row r="6563" spans="1:1" x14ac:dyDescent="0.25">
      <c r="A6563" t="s">
        <v>4868</v>
      </c>
    </row>
    <row r="6564" spans="1:1" x14ac:dyDescent="0.25">
      <c r="A6564" t="s">
        <v>4869</v>
      </c>
    </row>
    <row r="6565" spans="1:1" x14ac:dyDescent="0.25">
      <c r="A6565" t="s">
        <v>4870</v>
      </c>
    </row>
    <row r="6566" spans="1:1" x14ac:dyDescent="0.25">
      <c r="A6566" t="s">
        <v>4871</v>
      </c>
    </row>
    <row r="6567" spans="1:1" x14ac:dyDescent="0.25">
      <c r="A6567" t="s">
        <v>2519</v>
      </c>
    </row>
    <row r="6569" spans="1:1" x14ac:dyDescent="0.25">
      <c r="A6569" t="s">
        <v>2520</v>
      </c>
    </row>
    <row r="6571" spans="1:1" x14ac:dyDescent="0.25">
      <c r="A6571" t="s">
        <v>2459</v>
      </c>
    </row>
    <row r="6572" spans="1:1" x14ac:dyDescent="0.25">
      <c r="A6572" t="s">
        <v>4872</v>
      </c>
    </row>
    <row r="6573" spans="1:1" x14ac:dyDescent="0.25">
      <c r="A6573" t="s">
        <v>4388</v>
      </c>
    </row>
    <row r="6574" spans="1:1" x14ac:dyDescent="0.25">
      <c r="A6574" t="s">
        <v>4873</v>
      </c>
    </row>
    <row r="6575" spans="1:1" x14ac:dyDescent="0.25">
      <c r="A6575" t="s">
        <v>4390</v>
      </c>
    </row>
    <row r="6576" spans="1:1" x14ac:dyDescent="0.25">
      <c r="A6576" t="s">
        <v>4874</v>
      </c>
    </row>
    <row r="6577" spans="1:1" x14ac:dyDescent="0.25">
      <c r="A6577" t="s">
        <v>4875</v>
      </c>
    </row>
    <row r="6578" spans="1:1" x14ac:dyDescent="0.25">
      <c r="A6578" t="s">
        <v>4876</v>
      </c>
    </row>
    <row r="6579" spans="1:1" x14ac:dyDescent="0.25">
      <c r="A6579" t="s">
        <v>4877</v>
      </c>
    </row>
    <row r="6580" spans="1:1" x14ac:dyDescent="0.25">
      <c r="A6580" t="s">
        <v>4878</v>
      </c>
    </row>
    <row r="6581" spans="1:1" x14ac:dyDescent="0.25">
      <c r="A6581" t="s">
        <v>2519</v>
      </c>
    </row>
    <row r="6583" spans="1:1" x14ac:dyDescent="0.25">
      <c r="A6583" t="s">
        <v>2520</v>
      </c>
    </row>
    <row r="6584" spans="1:1" x14ac:dyDescent="0.25">
      <c r="A6584" t="s">
        <v>2521</v>
      </c>
    </row>
    <row r="6586" spans="1:1" x14ac:dyDescent="0.25">
      <c r="A6586" t="s">
        <v>4879</v>
      </c>
    </row>
    <row r="6587" spans="1:1" x14ac:dyDescent="0.25">
      <c r="A6587" t="s">
        <v>2459</v>
      </c>
    </row>
    <row r="6588" spans="1:1" x14ac:dyDescent="0.25">
      <c r="A6588" t="s">
        <v>4880</v>
      </c>
    </row>
    <row r="6589" spans="1:1" x14ac:dyDescent="0.25">
      <c r="A6589" t="s">
        <v>4172</v>
      </c>
    </row>
    <row r="6590" spans="1:1" x14ac:dyDescent="0.25">
      <c r="A6590" t="s">
        <v>4435</v>
      </c>
    </row>
    <row r="6591" spans="1:1" x14ac:dyDescent="0.25">
      <c r="A6591" t="s">
        <v>4881</v>
      </c>
    </row>
    <row r="6592" spans="1:1" x14ac:dyDescent="0.25">
      <c r="A6592" t="s">
        <v>4390</v>
      </c>
    </row>
    <row r="6593" spans="1:1" x14ac:dyDescent="0.25">
      <c r="A6593" t="s">
        <v>4882</v>
      </c>
    </row>
    <row r="6594" spans="1:1" x14ac:dyDescent="0.25">
      <c r="A6594" t="s">
        <v>4883</v>
      </c>
    </row>
    <row r="6595" spans="1:1" x14ac:dyDescent="0.25">
      <c r="A6595" t="s">
        <v>2519</v>
      </c>
    </row>
    <row r="6597" spans="1:1" x14ac:dyDescent="0.25">
      <c r="A6597" t="s">
        <v>2459</v>
      </c>
    </row>
    <row r="6598" spans="1:1" x14ac:dyDescent="0.25">
      <c r="A6598" t="s">
        <v>4884</v>
      </c>
    </row>
    <row r="6599" spans="1:1" x14ac:dyDescent="0.25">
      <c r="A6599" t="s">
        <v>4172</v>
      </c>
    </row>
    <row r="6600" spans="1:1" x14ac:dyDescent="0.25">
      <c r="A6600" t="s">
        <v>4435</v>
      </c>
    </row>
    <row r="6601" spans="1:1" x14ac:dyDescent="0.25">
      <c r="A6601" t="s">
        <v>4885</v>
      </c>
    </row>
    <row r="6602" spans="1:1" x14ac:dyDescent="0.25">
      <c r="A6602" t="s">
        <v>4390</v>
      </c>
    </row>
    <row r="6603" spans="1:1" x14ac:dyDescent="0.25">
      <c r="A6603" t="s">
        <v>4886</v>
      </c>
    </row>
    <row r="6604" spans="1:1" x14ac:dyDescent="0.25">
      <c r="A6604" t="s">
        <v>4887</v>
      </c>
    </row>
    <row r="6605" spans="1:1" x14ac:dyDescent="0.25">
      <c r="A6605" t="s">
        <v>2519</v>
      </c>
    </row>
    <row r="6607" spans="1:1" x14ac:dyDescent="0.25">
      <c r="A6607" t="s">
        <v>2459</v>
      </c>
    </row>
    <row r="6608" spans="1:1" x14ac:dyDescent="0.25">
      <c r="A6608" t="s">
        <v>4888</v>
      </c>
    </row>
    <row r="6609" spans="1:1" x14ac:dyDescent="0.25">
      <c r="A6609" t="s">
        <v>4172</v>
      </c>
    </row>
    <row r="6610" spans="1:1" x14ac:dyDescent="0.25">
      <c r="A6610" t="s">
        <v>4435</v>
      </c>
    </row>
    <row r="6611" spans="1:1" x14ac:dyDescent="0.25">
      <c r="A6611" t="s">
        <v>4889</v>
      </c>
    </row>
    <row r="6612" spans="1:1" x14ac:dyDescent="0.25">
      <c r="A6612" t="s">
        <v>4390</v>
      </c>
    </row>
    <row r="6613" spans="1:1" x14ac:dyDescent="0.25">
      <c r="A6613" t="s">
        <v>4890</v>
      </c>
    </row>
    <row r="6614" spans="1:1" x14ac:dyDescent="0.25">
      <c r="A6614" t="s">
        <v>4891</v>
      </c>
    </row>
    <row r="6615" spans="1:1" x14ac:dyDescent="0.25">
      <c r="A6615" t="s">
        <v>2519</v>
      </c>
    </row>
    <row r="6617" spans="1:1" x14ac:dyDescent="0.25">
      <c r="A6617" t="s">
        <v>2459</v>
      </c>
    </row>
    <row r="6618" spans="1:1" x14ac:dyDescent="0.25">
      <c r="A6618" t="s">
        <v>4892</v>
      </c>
    </row>
    <row r="6619" spans="1:1" x14ac:dyDescent="0.25">
      <c r="A6619" t="s">
        <v>4172</v>
      </c>
    </row>
    <row r="6620" spans="1:1" x14ac:dyDescent="0.25">
      <c r="A6620" t="s">
        <v>4435</v>
      </c>
    </row>
    <row r="6621" spans="1:1" x14ac:dyDescent="0.25">
      <c r="A6621" t="s">
        <v>4893</v>
      </c>
    </row>
    <row r="6622" spans="1:1" x14ac:dyDescent="0.25">
      <c r="A6622" t="s">
        <v>4390</v>
      </c>
    </row>
    <row r="6623" spans="1:1" x14ac:dyDescent="0.25">
      <c r="A6623" t="s">
        <v>4894</v>
      </c>
    </row>
    <row r="6624" spans="1:1" x14ac:dyDescent="0.25">
      <c r="A6624" t="s">
        <v>4895</v>
      </c>
    </row>
    <row r="6625" spans="1:1" x14ac:dyDescent="0.25">
      <c r="A6625" t="s">
        <v>2519</v>
      </c>
    </row>
    <row r="6626" spans="1:1" x14ac:dyDescent="0.25">
      <c r="A6626" t="s">
        <v>2521</v>
      </c>
    </row>
    <row r="6627" spans="1:1" x14ac:dyDescent="0.25">
      <c r="A6627" t="s">
        <v>3717</v>
      </c>
    </row>
    <row r="6629" spans="1:1" x14ac:dyDescent="0.25">
      <c r="A6629" t="s">
        <v>4896</v>
      </c>
    </row>
    <row r="6630" spans="1:1" x14ac:dyDescent="0.25">
      <c r="A6630" t="s">
        <v>4897</v>
      </c>
    </row>
    <row r="6631" spans="1:1" x14ac:dyDescent="0.25">
      <c r="A6631" t="s">
        <v>2459</v>
      </c>
    </row>
    <row r="6632" spans="1:1" x14ac:dyDescent="0.25">
      <c r="A6632" t="s">
        <v>4898</v>
      </c>
    </row>
    <row r="6633" spans="1:1" x14ac:dyDescent="0.25">
      <c r="A6633" t="s">
        <v>4388</v>
      </c>
    </row>
    <row r="6634" spans="1:1" x14ac:dyDescent="0.25">
      <c r="A6634" t="s">
        <v>4899</v>
      </c>
    </row>
    <row r="6635" spans="1:1" x14ac:dyDescent="0.25">
      <c r="A6635" t="s">
        <v>4390</v>
      </c>
    </row>
    <row r="6636" spans="1:1" x14ac:dyDescent="0.25">
      <c r="A6636" t="s">
        <v>4900</v>
      </c>
    </row>
    <row r="6637" spans="1:1" x14ac:dyDescent="0.25">
      <c r="A6637" t="s">
        <v>4901</v>
      </c>
    </row>
    <row r="6638" spans="1:1" x14ac:dyDescent="0.25">
      <c r="A6638" t="s">
        <v>4902</v>
      </c>
    </row>
    <row r="6639" spans="1:1" x14ac:dyDescent="0.25">
      <c r="A6639" t="s">
        <v>4903</v>
      </c>
    </row>
    <row r="6640" spans="1:1" x14ac:dyDescent="0.25">
      <c r="A6640" t="s">
        <v>2519</v>
      </c>
    </row>
    <row r="6642" spans="1:1" x14ac:dyDescent="0.25">
      <c r="A6642" t="s">
        <v>2520</v>
      </c>
    </row>
    <row r="6644" spans="1:1" x14ac:dyDescent="0.25">
      <c r="A6644" t="s">
        <v>2459</v>
      </c>
    </row>
    <row r="6645" spans="1:1" x14ac:dyDescent="0.25">
      <c r="A6645" t="s">
        <v>4904</v>
      </c>
    </row>
    <row r="6646" spans="1:1" x14ac:dyDescent="0.25">
      <c r="A6646" t="s">
        <v>4388</v>
      </c>
    </row>
    <row r="6647" spans="1:1" x14ac:dyDescent="0.25">
      <c r="A6647" t="s">
        <v>4905</v>
      </c>
    </row>
    <row r="6648" spans="1:1" x14ac:dyDescent="0.25">
      <c r="A6648" t="s">
        <v>4390</v>
      </c>
    </row>
    <row r="6649" spans="1:1" x14ac:dyDescent="0.25">
      <c r="A6649" t="s">
        <v>4906</v>
      </c>
    </row>
    <row r="6650" spans="1:1" x14ac:dyDescent="0.25">
      <c r="A6650" t="s">
        <v>4907</v>
      </c>
    </row>
    <row r="6651" spans="1:1" x14ac:dyDescent="0.25">
      <c r="A6651" t="s">
        <v>4908</v>
      </c>
    </row>
    <row r="6652" spans="1:1" x14ac:dyDescent="0.25">
      <c r="A6652" t="s">
        <v>4909</v>
      </c>
    </row>
    <row r="6653" spans="1:1" x14ac:dyDescent="0.25">
      <c r="A6653" t="s">
        <v>2519</v>
      </c>
    </row>
    <row r="6655" spans="1:1" x14ac:dyDescent="0.25">
      <c r="A6655" t="s">
        <v>2520</v>
      </c>
    </row>
    <row r="6657" spans="1:1" x14ac:dyDescent="0.25">
      <c r="A6657" t="s">
        <v>2459</v>
      </c>
    </row>
    <row r="6658" spans="1:1" x14ac:dyDescent="0.25">
      <c r="A6658" t="s">
        <v>4910</v>
      </c>
    </row>
    <row r="6659" spans="1:1" x14ac:dyDescent="0.25">
      <c r="A6659" t="s">
        <v>4339</v>
      </c>
    </row>
    <row r="6660" spans="1:1" x14ac:dyDescent="0.25">
      <c r="A6660" t="s">
        <v>4172</v>
      </c>
    </row>
    <row r="6661" spans="1:1" x14ac:dyDescent="0.25">
      <c r="A6661" t="s">
        <v>4911</v>
      </c>
    </row>
    <row r="6662" spans="1:1" x14ac:dyDescent="0.25">
      <c r="A6662" t="s">
        <v>4912</v>
      </c>
    </row>
    <row r="6663" spans="1:1" x14ac:dyDescent="0.25">
      <c r="A6663" t="s">
        <v>4913</v>
      </c>
    </row>
    <row r="6664" spans="1:1" x14ac:dyDescent="0.25">
      <c r="A6664" t="s">
        <v>4914</v>
      </c>
    </row>
    <row r="6665" spans="1:1" x14ac:dyDescent="0.25">
      <c r="A6665" t="s">
        <v>4915</v>
      </c>
    </row>
    <row r="6666" spans="1:1" x14ac:dyDescent="0.25">
      <c r="A6666" t="s">
        <v>4916</v>
      </c>
    </row>
    <row r="6667" spans="1:1" x14ac:dyDescent="0.25">
      <c r="A6667" t="s">
        <v>4917</v>
      </c>
    </row>
    <row r="6668" spans="1:1" x14ac:dyDescent="0.25">
      <c r="A6668" t="s">
        <v>4918</v>
      </c>
    </row>
    <row r="6669" spans="1:1" x14ac:dyDescent="0.25">
      <c r="A6669" t="s">
        <v>4919</v>
      </c>
    </row>
    <row r="6670" spans="1:1" x14ac:dyDescent="0.25">
      <c r="A6670" t="s">
        <v>4920</v>
      </c>
    </row>
    <row r="6671" spans="1:1" x14ac:dyDescent="0.25">
      <c r="A6671" t="s">
        <v>2519</v>
      </c>
    </row>
    <row r="6673" spans="1:1" x14ac:dyDescent="0.25">
      <c r="A6673" t="s">
        <v>2520</v>
      </c>
    </row>
    <row r="6675" spans="1:1" x14ac:dyDescent="0.25">
      <c r="A6675" t="s">
        <v>2459</v>
      </c>
    </row>
    <row r="6676" spans="1:1" x14ac:dyDescent="0.25">
      <c r="A6676" t="s">
        <v>4921</v>
      </c>
    </row>
    <row r="6677" spans="1:1" x14ac:dyDescent="0.25">
      <c r="A6677" t="s">
        <v>4388</v>
      </c>
    </row>
    <row r="6678" spans="1:1" x14ac:dyDescent="0.25">
      <c r="A6678" t="s">
        <v>4922</v>
      </c>
    </row>
    <row r="6679" spans="1:1" x14ac:dyDescent="0.25">
      <c r="A6679" t="s">
        <v>4390</v>
      </c>
    </row>
    <row r="6680" spans="1:1" x14ac:dyDescent="0.25">
      <c r="A6680" t="s">
        <v>4923</v>
      </c>
    </row>
    <row r="6681" spans="1:1" x14ac:dyDescent="0.25">
      <c r="A6681" t="s">
        <v>4924</v>
      </c>
    </row>
    <row r="6682" spans="1:1" x14ac:dyDescent="0.25">
      <c r="A6682" t="s">
        <v>4925</v>
      </c>
    </row>
    <row r="6683" spans="1:1" x14ac:dyDescent="0.25">
      <c r="A6683" t="s">
        <v>2519</v>
      </c>
    </row>
    <row r="6685" spans="1:1" x14ac:dyDescent="0.25">
      <c r="A6685" t="s">
        <v>2520</v>
      </c>
    </row>
    <row r="6687" spans="1:1" x14ac:dyDescent="0.25">
      <c r="A6687" t="s">
        <v>2459</v>
      </c>
    </row>
    <row r="6688" spans="1:1" x14ac:dyDescent="0.25">
      <c r="A6688" t="s">
        <v>4926</v>
      </c>
    </row>
    <row r="6689" spans="1:1" x14ac:dyDescent="0.25">
      <c r="A6689" t="s">
        <v>4388</v>
      </c>
    </row>
    <row r="6690" spans="1:1" x14ac:dyDescent="0.25">
      <c r="A6690" t="s">
        <v>4927</v>
      </c>
    </row>
    <row r="6691" spans="1:1" x14ac:dyDescent="0.25">
      <c r="A6691" t="s">
        <v>4390</v>
      </c>
    </row>
    <row r="6692" spans="1:1" x14ac:dyDescent="0.25">
      <c r="A6692" t="s">
        <v>4928</v>
      </c>
    </row>
    <row r="6693" spans="1:1" x14ac:dyDescent="0.25">
      <c r="A6693" t="s">
        <v>4929</v>
      </c>
    </row>
    <row r="6694" spans="1:1" x14ac:dyDescent="0.25">
      <c r="A6694" t="s">
        <v>4930</v>
      </c>
    </row>
    <row r="6695" spans="1:1" x14ac:dyDescent="0.25">
      <c r="A6695" t="s">
        <v>4903</v>
      </c>
    </row>
    <row r="6696" spans="1:1" x14ac:dyDescent="0.25">
      <c r="A6696" t="s">
        <v>2519</v>
      </c>
    </row>
    <row r="6698" spans="1:1" x14ac:dyDescent="0.25">
      <c r="A6698" t="s">
        <v>2520</v>
      </c>
    </row>
    <row r="6700" spans="1:1" x14ac:dyDescent="0.25">
      <c r="A6700" t="s">
        <v>2459</v>
      </c>
    </row>
    <row r="6701" spans="1:1" x14ac:dyDescent="0.25">
      <c r="A6701" t="s">
        <v>4931</v>
      </c>
    </row>
    <row r="6702" spans="1:1" x14ac:dyDescent="0.25">
      <c r="A6702" t="s">
        <v>4388</v>
      </c>
    </row>
    <row r="6703" spans="1:1" x14ac:dyDescent="0.25">
      <c r="A6703" t="s">
        <v>4932</v>
      </c>
    </row>
    <row r="6704" spans="1:1" x14ac:dyDescent="0.25">
      <c r="A6704" t="s">
        <v>4390</v>
      </c>
    </row>
    <row r="6705" spans="1:1" x14ac:dyDescent="0.25">
      <c r="A6705" t="s">
        <v>4933</v>
      </c>
    </row>
    <row r="6706" spans="1:1" x14ac:dyDescent="0.25">
      <c r="A6706" t="s">
        <v>4934</v>
      </c>
    </row>
    <row r="6707" spans="1:1" x14ac:dyDescent="0.25">
      <c r="A6707" t="s">
        <v>4935</v>
      </c>
    </row>
    <row r="6708" spans="1:1" x14ac:dyDescent="0.25">
      <c r="A6708" t="s">
        <v>4903</v>
      </c>
    </row>
    <row r="6709" spans="1:1" x14ac:dyDescent="0.25">
      <c r="A6709" t="s">
        <v>2519</v>
      </c>
    </row>
    <row r="6711" spans="1:1" x14ac:dyDescent="0.25">
      <c r="A6711" t="s">
        <v>2520</v>
      </c>
    </row>
    <row r="6713" spans="1:1" x14ac:dyDescent="0.25">
      <c r="A6713" t="s">
        <v>2459</v>
      </c>
    </row>
    <row r="6714" spans="1:1" x14ac:dyDescent="0.25">
      <c r="A6714" t="s">
        <v>4936</v>
      </c>
    </row>
    <row r="6715" spans="1:1" x14ac:dyDescent="0.25">
      <c r="A6715" t="s">
        <v>4388</v>
      </c>
    </row>
    <row r="6716" spans="1:1" x14ac:dyDescent="0.25">
      <c r="A6716" t="s">
        <v>4937</v>
      </c>
    </row>
    <row r="6717" spans="1:1" x14ac:dyDescent="0.25">
      <c r="A6717" t="s">
        <v>4390</v>
      </c>
    </row>
    <row r="6718" spans="1:1" x14ac:dyDescent="0.25">
      <c r="A6718" t="s">
        <v>4938</v>
      </c>
    </row>
    <row r="6719" spans="1:1" x14ac:dyDescent="0.25">
      <c r="A6719" t="s">
        <v>4939</v>
      </c>
    </row>
    <row r="6720" spans="1:1" x14ac:dyDescent="0.25">
      <c r="A6720" t="s">
        <v>4940</v>
      </c>
    </row>
    <row r="6721" spans="1:1" x14ac:dyDescent="0.25">
      <c r="A6721" t="s">
        <v>4903</v>
      </c>
    </row>
    <row r="6722" spans="1:1" x14ac:dyDescent="0.25">
      <c r="A6722" t="s">
        <v>2519</v>
      </c>
    </row>
    <row r="6724" spans="1:1" x14ac:dyDescent="0.25">
      <c r="A6724" t="s">
        <v>2520</v>
      </c>
    </row>
    <row r="6726" spans="1:1" x14ac:dyDescent="0.25">
      <c r="A6726" t="s">
        <v>2459</v>
      </c>
    </row>
    <row r="6727" spans="1:1" x14ac:dyDescent="0.25">
      <c r="A6727" t="s">
        <v>4941</v>
      </c>
    </row>
    <row r="6728" spans="1:1" x14ac:dyDescent="0.25">
      <c r="A6728" t="s">
        <v>4388</v>
      </c>
    </row>
    <row r="6729" spans="1:1" x14ac:dyDescent="0.25">
      <c r="A6729" t="s">
        <v>4942</v>
      </c>
    </row>
    <row r="6730" spans="1:1" x14ac:dyDescent="0.25">
      <c r="A6730" t="s">
        <v>4390</v>
      </c>
    </row>
    <row r="6731" spans="1:1" x14ac:dyDescent="0.25">
      <c r="A6731" t="s">
        <v>4943</v>
      </c>
    </row>
    <row r="6732" spans="1:1" x14ac:dyDescent="0.25">
      <c r="A6732" t="s">
        <v>4944</v>
      </c>
    </row>
    <row r="6733" spans="1:1" x14ac:dyDescent="0.25">
      <c r="A6733" t="s">
        <v>4925</v>
      </c>
    </row>
    <row r="6734" spans="1:1" x14ac:dyDescent="0.25">
      <c r="A6734" t="s">
        <v>2519</v>
      </c>
    </row>
    <row r="6736" spans="1:1" x14ac:dyDescent="0.25">
      <c r="A6736" t="s">
        <v>2520</v>
      </c>
    </row>
    <row r="6737" spans="1:1" x14ac:dyDescent="0.25">
      <c r="A6737" t="s">
        <v>2521</v>
      </c>
    </row>
    <row r="6739" spans="1:1" x14ac:dyDescent="0.25">
      <c r="A6739" t="s">
        <v>4945</v>
      </c>
    </row>
    <row r="6740" spans="1:1" x14ac:dyDescent="0.25">
      <c r="A6740" t="s">
        <v>4946</v>
      </c>
    </row>
    <row r="6741" spans="1:1" x14ac:dyDescent="0.25">
      <c r="A6741" t="s">
        <v>4947</v>
      </c>
    </row>
    <row r="6742" spans="1:1" x14ac:dyDescent="0.25">
      <c r="A6742" t="s">
        <v>4948</v>
      </c>
    </row>
    <row r="6743" spans="1:1" x14ac:dyDescent="0.25">
      <c r="A6743" t="s">
        <v>4949</v>
      </c>
    </row>
    <row r="6744" spans="1:1" x14ac:dyDescent="0.25">
      <c r="A6744" t="s">
        <v>4950</v>
      </c>
    </row>
    <row r="6745" spans="1:1" x14ac:dyDescent="0.25">
      <c r="A6745" t="s">
        <v>4951</v>
      </c>
    </row>
    <row r="6746" spans="1:1" x14ac:dyDescent="0.25">
      <c r="A6746" t="s">
        <v>4952</v>
      </c>
    </row>
    <row r="6747" spans="1:1" x14ac:dyDescent="0.25">
      <c r="A6747" t="s">
        <v>4953</v>
      </c>
    </row>
    <row r="6748" spans="1:1" x14ac:dyDescent="0.25">
      <c r="A6748" t="s">
        <v>4954</v>
      </c>
    </row>
    <row r="6749" spans="1:1" x14ac:dyDescent="0.25">
      <c r="A6749" t="s">
        <v>4955</v>
      </c>
    </row>
    <row r="6750" spans="1:1" x14ac:dyDescent="0.25">
      <c r="A6750" t="s">
        <v>4956</v>
      </c>
    </row>
    <row r="6751" spans="1:1" x14ac:dyDescent="0.25">
      <c r="A6751" t="s">
        <v>4957</v>
      </c>
    </row>
    <row r="6752" spans="1:1" x14ac:dyDescent="0.25">
      <c r="A6752" t="s">
        <v>4958</v>
      </c>
    </row>
    <row r="6753" spans="1:1" x14ac:dyDescent="0.25">
      <c r="A6753" t="s">
        <v>4959</v>
      </c>
    </row>
    <row r="6754" spans="1:1" x14ac:dyDescent="0.25">
      <c r="A6754" t="s">
        <v>4960</v>
      </c>
    </row>
    <row r="6755" spans="1:1" x14ac:dyDescent="0.25">
      <c r="A6755" t="s">
        <v>4961</v>
      </c>
    </row>
    <row r="6757" spans="1:1" x14ac:dyDescent="0.25">
      <c r="A6757" t="s">
        <v>3476</v>
      </c>
    </row>
    <row r="6759" spans="1:1" x14ac:dyDescent="0.25">
      <c r="A6759" t="s">
        <v>4947</v>
      </c>
    </row>
    <row r="6760" spans="1:1" x14ac:dyDescent="0.25">
      <c r="A6760" t="s">
        <v>4962</v>
      </c>
    </row>
    <row r="6761" spans="1:1" x14ac:dyDescent="0.25">
      <c r="A6761" t="s">
        <v>4963</v>
      </c>
    </row>
    <row r="6762" spans="1:1" x14ac:dyDescent="0.25">
      <c r="A6762" t="s">
        <v>4949</v>
      </c>
    </row>
    <row r="6763" spans="1:1" x14ac:dyDescent="0.25">
      <c r="A6763" t="s">
        <v>4950</v>
      </c>
    </row>
    <row r="6764" spans="1:1" x14ac:dyDescent="0.25">
      <c r="A6764" t="s">
        <v>4951</v>
      </c>
    </row>
    <row r="6765" spans="1:1" x14ac:dyDescent="0.25">
      <c r="A6765" t="s">
        <v>4952</v>
      </c>
    </row>
    <row r="6766" spans="1:1" x14ac:dyDescent="0.25">
      <c r="A6766" t="s">
        <v>4964</v>
      </c>
    </row>
    <row r="6767" spans="1:1" x14ac:dyDescent="0.25">
      <c r="A6767" t="s">
        <v>4954</v>
      </c>
    </row>
    <row r="6768" spans="1:1" x14ac:dyDescent="0.25">
      <c r="A6768" t="s">
        <v>4965</v>
      </c>
    </row>
    <row r="6769" spans="1:1" x14ac:dyDescent="0.25">
      <c r="A6769" t="s">
        <v>4966</v>
      </c>
    </row>
    <row r="6770" spans="1:1" x14ac:dyDescent="0.25">
      <c r="A6770" t="s">
        <v>4967</v>
      </c>
    </row>
    <row r="6771" spans="1:1" x14ac:dyDescent="0.25">
      <c r="A6771" t="s">
        <v>4968</v>
      </c>
    </row>
    <row r="6772" spans="1:1" x14ac:dyDescent="0.25">
      <c r="A6772" t="s">
        <v>4969</v>
      </c>
    </row>
    <row r="6773" spans="1:1" x14ac:dyDescent="0.25">
      <c r="A6773" t="s">
        <v>4960</v>
      </c>
    </row>
    <row r="6774" spans="1:1" x14ac:dyDescent="0.25">
      <c r="A6774" t="s">
        <v>4961</v>
      </c>
    </row>
    <row r="6776" spans="1:1" x14ac:dyDescent="0.25">
      <c r="A6776" t="s">
        <v>3476</v>
      </c>
    </row>
    <row r="6778" spans="1:1" x14ac:dyDescent="0.25">
      <c r="A6778" t="s">
        <v>4947</v>
      </c>
    </row>
    <row r="6779" spans="1:1" x14ac:dyDescent="0.25">
      <c r="A6779" t="s">
        <v>4970</v>
      </c>
    </row>
    <row r="6780" spans="1:1" x14ac:dyDescent="0.25">
      <c r="A6780" t="s">
        <v>4950</v>
      </c>
    </row>
    <row r="6781" spans="1:1" x14ac:dyDescent="0.25">
      <c r="A6781" t="s">
        <v>4952</v>
      </c>
    </row>
    <row r="6782" spans="1:1" x14ac:dyDescent="0.25">
      <c r="A6782" t="s">
        <v>4971</v>
      </c>
    </row>
    <row r="6783" spans="1:1" x14ac:dyDescent="0.25">
      <c r="A6783" t="s">
        <v>4954</v>
      </c>
    </row>
    <row r="6784" spans="1:1" x14ac:dyDescent="0.25">
      <c r="A6784" t="s">
        <v>4972</v>
      </c>
    </row>
    <row r="6785" spans="1:1" x14ac:dyDescent="0.25">
      <c r="A6785" t="s">
        <v>4973</v>
      </c>
    </row>
    <row r="6786" spans="1:1" x14ac:dyDescent="0.25">
      <c r="A6786" t="s">
        <v>4974</v>
      </c>
    </row>
    <row r="6787" spans="1:1" x14ac:dyDescent="0.25">
      <c r="A6787" t="s">
        <v>4975</v>
      </c>
    </row>
    <row r="6788" spans="1:1" x14ac:dyDescent="0.25">
      <c r="A6788" t="s">
        <v>4961</v>
      </c>
    </row>
    <row r="6790" spans="1:1" x14ac:dyDescent="0.25">
      <c r="A6790" t="s">
        <v>3476</v>
      </c>
    </row>
    <row r="6792" spans="1:1" x14ac:dyDescent="0.25">
      <c r="A6792" t="s">
        <v>4976</v>
      </c>
    </row>
    <row r="6793" spans="1:1" x14ac:dyDescent="0.25">
      <c r="A6793" t="s">
        <v>4977</v>
      </c>
    </row>
    <row r="6794" spans="1:1" x14ac:dyDescent="0.25">
      <c r="A6794" t="s">
        <v>4978</v>
      </c>
    </row>
    <row r="6795" spans="1:1" x14ac:dyDescent="0.25">
      <c r="A6795" t="s">
        <v>4979</v>
      </c>
    </row>
    <row r="6796" spans="1:1" x14ac:dyDescent="0.25">
      <c r="A6796" t="s">
        <v>4950</v>
      </c>
    </row>
    <row r="6797" spans="1:1" x14ac:dyDescent="0.25">
      <c r="A6797" t="s">
        <v>4952</v>
      </c>
    </row>
    <row r="6798" spans="1:1" x14ac:dyDescent="0.25">
      <c r="A6798" t="s">
        <v>4980</v>
      </c>
    </row>
    <row r="6799" spans="1:1" x14ac:dyDescent="0.25">
      <c r="A6799" t="s">
        <v>4981</v>
      </c>
    </row>
    <row r="6800" spans="1:1" x14ac:dyDescent="0.25">
      <c r="A6800" t="s">
        <v>4982</v>
      </c>
    </row>
    <row r="6801" spans="1:1" x14ac:dyDescent="0.25">
      <c r="A6801" t="s">
        <v>4983</v>
      </c>
    </row>
    <row r="6802" spans="1:1" x14ac:dyDescent="0.25">
      <c r="A6802" t="s">
        <v>4984</v>
      </c>
    </row>
    <row r="6803" spans="1:1" x14ac:dyDescent="0.25">
      <c r="A6803" t="s">
        <v>4985</v>
      </c>
    </row>
    <row r="6804" spans="1:1" x14ac:dyDescent="0.25">
      <c r="A6804" t="s">
        <v>4986</v>
      </c>
    </row>
    <row r="6805" spans="1:1" x14ac:dyDescent="0.25">
      <c r="A6805" t="s">
        <v>4987</v>
      </c>
    </row>
    <row r="6806" spans="1:1" x14ac:dyDescent="0.25">
      <c r="A6806" t="s">
        <v>4988</v>
      </c>
    </row>
    <row r="6807" spans="1:1" x14ac:dyDescent="0.25">
      <c r="A6807" t="s">
        <v>4989</v>
      </c>
    </row>
    <row r="6809" spans="1:1" x14ac:dyDescent="0.25">
      <c r="A6809" t="s">
        <v>3476</v>
      </c>
    </row>
    <row r="6811" spans="1:1" x14ac:dyDescent="0.25">
      <c r="A6811" t="s">
        <v>4947</v>
      </c>
    </row>
    <row r="6812" spans="1:1" x14ac:dyDescent="0.25">
      <c r="A6812" t="s">
        <v>4990</v>
      </c>
    </row>
    <row r="6813" spans="1:1" x14ac:dyDescent="0.25">
      <c r="A6813" t="s">
        <v>4991</v>
      </c>
    </row>
    <row r="6814" spans="1:1" x14ac:dyDescent="0.25">
      <c r="A6814" t="s">
        <v>4992</v>
      </c>
    </row>
    <row r="6815" spans="1:1" x14ac:dyDescent="0.25">
      <c r="A6815" t="s">
        <v>4950</v>
      </c>
    </row>
    <row r="6816" spans="1:1" x14ac:dyDescent="0.25">
      <c r="A6816" t="s">
        <v>4993</v>
      </c>
    </row>
    <row r="6817" spans="1:1" x14ac:dyDescent="0.25">
      <c r="A6817" t="s">
        <v>4994</v>
      </c>
    </row>
    <row r="6818" spans="1:1" x14ac:dyDescent="0.25">
      <c r="A6818" t="s">
        <v>4952</v>
      </c>
    </row>
    <row r="6819" spans="1:1" x14ac:dyDescent="0.25">
      <c r="A6819" t="s">
        <v>4995</v>
      </c>
    </row>
    <row r="6820" spans="1:1" x14ac:dyDescent="0.25">
      <c r="A6820" t="s">
        <v>4996</v>
      </c>
    </row>
    <row r="6821" spans="1:1" x14ac:dyDescent="0.25">
      <c r="A6821" t="s">
        <v>1790</v>
      </c>
    </row>
    <row r="6822" spans="1:1" x14ac:dyDescent="0.25">
      <c r="A6822" t="s">
        <v>1873</v>
      </c>
    </row>
    <row r="6823" spans="1:1" x14ac:dyDescent="0.25">
      <c r="A6823" t="s">
        <v>4499</v>
      </c>
    </row>
    <row r="6824" spans="1:1" x14ac:dyDescent="0.25">
      <c r="A6824" t="s">
        <v>1875</v>
      </c>
    </row>
    <row r="6825" spans="1:1" x14ac:dyDescent="0.25">
      <c r="A6825" t="s">
        <v>1794</v>
      </c>
    </row>
    <row r="6826" spans="1:1" x14ac:dyDescent="0.25">
      <c r="A6826" t="s">
        <v>4500</v>
      </c>
    </row>
    <row r="6827" spans="1:1" x14ac:dyDescent="0.25">
      <c r="A6827" t="s">
        <v>4501</v>
      </c>
    </row>
    <row r="6828" spans="1:1" x14ac:dyDescent="0.25">
      <c r="A6828" t="s">
        <v>1904</v>
      </c>
    </row>
    <row r="6829" spans="1:1" x14ac:dyDescent="0.25">
      <c r="A6829" t="s">
        <v>4997</v>
      </c>
    </row>
    <row r="6830" spans="1:1" x14ac:dyDescent="0.25">
      <c r="A6830" t="s">
        <v>4998</v>
      </c>
    </row>
    <row r="6831" spans="1:1" x14ac:dyDescent="0.25">
      <c r="A6831" t="s">
        <v>4999</v>
      </c>
    </row>
    <row r="6832" spans="1:1" x14ac:dyDescent="0.25">
      <c r="A6832" t="s">
        <v>5000</v>
      </c>
    </row>
    <row r="6833" spans="1:1" x14ac:dyDescent="0.25">
      <c r="A6833" t="s">
        <v>5001</v>
      </c>
    </row>
    <row r="6834" spans="1:1" x14ac:dyDescent="0.25">
      <c r="A6834" t="s">
        <v>5002</v>
      </c>
    </row>
    <row r="6835" spans="1:1" x14ac:dyDescent="0.25">
      <c r="A6835" t="s">
        <v>5003</v>
      </c>
    </row>
    <row r="6836" spans="1:1" x14ac:dyDescent="0.25">
      <c r="A6836" t="s">
        <v>5004</v>
      </c>
    </row>
    <row r="6837" spans="1:1" x14ac:dyDescent="0.25">
      <c r="A6837" t="s">
        <v>5005</v>
      </c>
    </row>
    <row r="6838" spans="1:1" x14ac:dyDescent="0.25">
      <c r="A6838" t="s">
        <v>5006</v>
      </c>
    </row>
    <row r="6839" spans="1:1" x14ac:dyDescent="0.25">
      <c r="A6839" t="s">
        <v>5007</v>
      </c>
    </row>
    <row r="6840" spans="1:1" x14ac:dyDescent="0.25">
      <c r="A6840" t="s">
        <v>4961</v>
      </c>
    </row>
    <row r="6841" spans="1:1" x14ac:dyDescent="0.25">
      <c r="A6841" t="s">
        <v>3565</v>
      </c>
    </row>
    <row r="6843" spans="1:1" x14ac:dyDescent="0.25">
      <c r="A6843" t="s">
        <v>2520</v>
      </c>
    </row>
    <row r="6845" spans="1:1" x14ac:dyDescent="0.25">
      <c r="A6845" t="s">
        <v>5008</v>
      </c>
    </row>
    <row r="6846" spans="1:1" x14ac:dyDescent="0.25">
      <c r="A6846" t="s">
        <v>3476</v>
      </c>
    </row>
    <row r="6848" spans="1:1" x14ac:dyDescent="0.25">
      <c r="A6848" t="s">
        <v>5009</v>
      </c>
    </row>
    <row r="6850" spans="1:1" x14ac:dyDescent="0.25">
      <c r="A6850" t="s">
        <v>3476</v>
      </c>
    </row>
    <row r="6852" spans="1:1" x14ac:dyDescent="0.25">
      <c r="A6852" t="s">
        <v>5010</v>
      </c>
    </row>
    <row r="6854" spans="1:1" x14ac:dyDescent="0.25">
      <c r="A6854" t="s">
        <v>3476</v>
      </c>
    </row>
    <row r="6856" spans="1:1" x14ac:dyDescent="0.25">
      <c r="A6856" t="s">
        <v>4947</v>
      </c>
    </row>
    <row r="6857" spans="1:1" x14ac:dyDescent="0.25">
      <c r="A6857" t="s">
        <v>5011</v>
      </c>
    </row>
    <row r="6858" spans="1:1" x14ac:dyDescent="0.25">
      <c r="A6858" t="s">
        <v>3482</v>
      </c>
    </row>
    <row r="6859" spans="1:1" x14ac:dyDescent="0.25">
      <c r="A6859" t="s">
        <v>5012</v>
      </c>
    </row>
    <row r="6860" spans="1:1" x14ac:dyDescent="0.25">
      <c r="A6860" t="s">
        <v>3484</v>
      </c>
    </row>
    <row r="6861" spans="1:1" x14ac:dyDescent="0.25">
      <c r="A6861" t="s">
        <v>3356</v>
      </c>
    </row>
    <row r="6862" spans="1:1" x14ac:dyDescent="0.25">
      <c r="A6862" t="s">
        <v>5013</v>
      </c>
    </row>
    <row r="6863" spans="1:1" x14ac:dyDescent="0.25">
      <c r="A6863" t="s">
        <v>5014</v>
      </c>
    </row>
    <row r="6864" spans="1:1" x14ac:dyDescent="0.25">
      <c r="A6864" t="s">
        <v>3487</v>
      </c>
    </row>
    <row r="6866" spans="1:1" x14ac:dyDescent="0.25">
      <c r="A6866" t="s">
        <v>5015</v>
      </c>
    </row>
    <row r="6867" spans="1:1" x14ac:dyDescent="0.25">
      <c r="A6867" t="s">
        <v>5016</v>
      </c>
    </row>
    <row r="6868" spans="1:1" x14ac:dyDescent="0.25">
      <c r="A6868" t="s">
        <v>4961</v>
      </c>
    </row>
    <row r="6870" spans="1:1" x14ac:dyDescent="0.25">
      <c r="A6870" t="s">
        <v>4947</v>
      </c>
    </row>
    <row r="6871" spans="1:1" x14ac:dyDescent="0.25">
      <c r="A6871" t="s">
        <v>5017</v>
      </c>
    </row>
    <row r="6872" spans="1:1" x14ac:dyDescent="0.25">
      <c r="A6872" t="s">
        <v>3482</v>
      </c>
    </row>
    <row r="6873" spans="1:1" x14ac:dyDescent="0.25">
      <c r="A6873" t="s">
        <v>5018</v>
      </c>
    </row>
    <row r="6874" spans="1:1" x14ac:dyDescent="0.25">
      <c r="A6874" t="s">
        <v>3484</v>
      </c>
    </row>
    <row r="6875" spans="1:1" x14ac:dyDescent="0.25">
      <c r="A6875" t="s">
        <v>3356</v>
      </c>
    </row>
    <row r="6876" spans="1:1" x14ac:dyDescent="0.25">
      <c r="A6876" t="s">
        <v>5019</v>
      </c>
    </row>
    <row r="6877" spans="1:1" x14ac:dyDescent="0.25">
      <c r="A6877" t="s">
        <v>5020</v>
      </c>
    </row>
    <row r="6878" spans="1:1" x14ac:dyDescent="0.25">
      <c r="A6878" t="s">
        <v>3487</v>
      </c>
    </row>
    <row r="6880" spans="1:1" x14ac:dyDescent="0.25">
      <c r="A6880" t="s">
        <v>5021</v>
      </c>
    </row>
    <row r="6881" spans="1:1" x14ac:dyDescent="0.25">
      <c r="A6881" t="s">
        <v>5022</v>
      </c>
    </row>
    <row r="6882" spans="1:1" x14ac:dyDescent="0.25">
      <c r="A6882" t="s">
        <v>4961</v>
      </c>
    </row>
    <row r="6884" spans="1:1" x14ac:dyDescent="0.25">
      <c r="A6884" t="s">
        <v>3476</v>
      </c>
    </row>
    <row r="6886" spans="1:1" x14ac:dyDescent="0.25">
      <c r="A6886" t="s">
        <v>5023</v>
      </c>
    </row>
    <row r="6887" spans="1:1" x14ac:dyDescent="0.25">
      <c r="A6887" t="s">
        <v>3474</v>
      </c>
    </row>
    <row r="6888" spans="1:1" x14ac:dyDescent="0.25">
      <c r="A6888" t="s">
        <v>5024</v>
      </c>
    </row>
    <row r="6889" spans="1:1" x14ac:dyDescent="0.25">
      <c r="A6889" t="s">
        <v>2471</v>
      </c>
    </row>
    <row r="6891" spans="1:1" x14ac:dyDescent="0.25">
      <c r="A6891" t="s">
        <v>3476</v>
      </c>
    </row>
    <row r="6893" spans="1:1" x14ac:dyDescent="0.25">
      <c r="A6893" t="s">
        <v>5025</v>
      </c>
    </row>
    <row r="6895" spans="1:1" x14ac:dyDescent="0.25">
      <c r="A6895" t="s">
        <v>3476</v>
      </c>
    </row>
    <row r="6897" spans="1:1" x14ac:dyDescent="0.25">
      <c r="A6897" t="s">
        <v>3478</v>
      </c>
    </row>
    <row r="6898" spans="1:1" x14ac:dyDescent="0.25">
      <c r="A6898" t="s">
        <v>5026</v>
      </c>
    </row>
    <row r="6899" spans="1:1" x14ac:dyDescent="0.25">
      <c r="A6899" t="s">
        <v>3480</v>
      </c>
    </row>
    <row r="6900" spans="1:1" x14ac:dyDescent="0.25">
      <c r="A6900" t="s">
        <v>3481</v>
      </c>
    </row>
    <row r="6901" spans="1:1" x14ac:dyDescent="0.25">
      <c r="A6901" t="s">
        <v>3482</v>
      </c>
    </row>
    <row r="6902" spans="1:1" x14ac:dyDescent="0.25">
      <c r="A6902" t="s">
        <v>5027</v>
      </c>
    </row>
    <row r="6903" spans="1:1" x14ac:dyDescent="0.25">
      <c r="A6903" t="s">
        <v>3484</v>
      </c>
    </row>
    <row r="6904" spans="1:1" x14ac:dyDescent="0.25">
      <c r="A6904" t="s">
        <v>2449</v>
      </c>
    </row>
    <row r="6905" spans="1:1" x14ac:dyDescent="0.25">
      <c r="A6905" t="s">
        <v>2450</v>
      </c>
    </row>
    <row r="6906" spans="1:1" x14ac:dyDescent="0.25">
      <c r="A6906" t="s">
        <v>5028</v>
      </c>
    </row>
    <row r="6907" spans="1:1" x14ac:dyDescent="0.25">
      <c r="A6907" t="s">
        <v>5029</v>
      </c>
    </row>
    <row r="6908" spans="1:1" x14ac:dyDescent="0.25">
      <c r="A6908" t="s">
        <v>2257</v>
      </c>
    </row>
    <row r="6909" spans="1:1" x14ac:dyDescent="0.25">
      <c r="A6909" t="s">
        <v>3487</v>
      </c>
    </row>
    <row r="6911" spans="1:1" x14ac:dyDescent="0.25">
      <c r="A6911" t="s">
        <v>3488</v>
      </c>
    </row>
    <row r="6913" spans="1:1" x14ac:dyDescent="0.25">
      <c r="A6913" t="s">
        <v>3476</v>
      </c>
    </row>
    <row r="6915" spans="1:1" x14ac:dyDescent="0.25">
      <c r="A6915" t="s">
        <v>2468</v>
      </c>
    </row>
    <row r="6916" spans="1:1" x14ac:dyDescent="0.25">
      <c r="A6916" t="s">
        <v>2455</v>
      </c>
    </row>
    <row r="6917" spans="1:1" x14ac:dyDescent="0.25">
      <c r="A6917" t="s">
        <v>2471</v>
      </c>
    </row>
    <row r="6919" spans="1:1" x14ac:dyDescent="0.25">
      <c r="A6919" t="s">
        <v>5030</v>
      </c>
    </row>
    <row r="6921" spans="1:1" x14ac:dyDescent="0.25">
      <c r="A6921" t="s">
        <v>3476</v>
      </c>
    </row>
    <row r="6923" spans="1:1" x14ac:dyDescent="0.25">
      <c r="A6923" t="s">
        <v>5031</v>
      </c>
    </row>
    <row r="6924" spans="1:1" x14ac:dyDescent="0.25">
      <c r="A6924" t="s">
        <v>5032</v>
      </c>
    </row>
    <row r="6925" spans="1:1" x14ac:dyDescent="0.25">
      <c r="A6925" t="s">
        <v>5033</v>
      </c>
    </row>
    <row r="6926" spans="1:1" x14ac:dyDescent="0.25">
      <c r="A6926" t="s">
        <v>3493</v>
      </c>
    </row>
    <row r="6927" spans="1:1" x14ac:dyDescent="0.25">
      <c r="A6927" t="s">
        <v>5034</v>
      </c>
    </row>
    <row r="6928" spans="1:1" x14ac:dyDescent="0.25">
      <c r="A6928" t="s">
        <v>3495</v>
      </c>
    </row>
    <row r="6929" spans="1:1" x14ac:dyDescent="0.25">
      <c r="A6929" t="s">
        <v>3496</v>
      </c>
    </row>
    <row r="6930" spans="1:1" x14ac:dyDescent="0.25">
      <c r="A6930" t="s">
        <v>3497</v>
      </c>
    </row>
    <row r="6931" spans="1:1" x14ac:dyDescent="0.25">
      <c r="A6931" t="s">
        <v>3498</v>
      </c>
    </row>
    <row r="6932" spans="1:1" x14ac:dyDescent="0.25">
      <c r="A6932" t="s">
        <v>5035</v>
      </c>
    </row>
    <row r="6933" spans="1:1" x14ac:dyDescent="0.25">
      <c r="A6933" t="s">
        <v>3500</v>
      </c>
    </row>
    <row r="6934" spans="1:1" x14ac:dyDescent="0.25">
      <c r="A6934" t="s">
        <v>3501</v>
      </c>
    </row>
    <row r="6935" spans="1:1" x14ac:dyDescent="0.25">
      <c r="A6935" t="s">
        <v>3502</v>
      </c>
    </row>
    <row r="6936" spans="1:1" x14ac:dyDescent="0.25">
      <c r="A6936" t="s">
        <v>5036</v>
      </c>
    </row>
    <row r="6937" spans="1:1" x14ac:dyDescent="0.25">
      <c r="A6937" t="s">
        <v>5037</v>
      </c>
    </row>
    <row r="6938" spans="1:1" x14ac:dyDescent="0.25">
      <c r="A6938" t="s">
        <v>3505</v>
      </c>
    </row>
    <row r="6940" spans="1:1" x14ac:dyDescent="0.25">
      <c r="A6940" t="s">
        <v>3506</v>
      </c>
    </row>
    <row r="6941" spans="1:1" x14ac:dyDescent="0.25">
      <c r="A6941" t="s">
        <v>3507</v>
      </c>
    </row>
    <row r="6942" spans="1:1" x14ac:dyDescent="0.25">
      <c r="A6942" t="s">
        <v>5038</v>
      </c>
    </row>
    <row r="6943" spans="1:1" x14ac:dyDescent="0.25">
      <c r="A6943" t="s">
        <v>5039</v>
      </c>
    </row>
    <row r="6944" spans="1:1" x14ac:dyDescent="0.25">
      <c r="A6944" t="s">
        <v>5040</v>
      </c>
    </row>
    <row r="6945" spans="1:1" x14ac:dyDescent="0.25">
      <c r="A6945" t="s">
        <v>5041</v>
      </c>
    </row>
    <row r="6946" spans="1:1" x14ac:dyDescent="0.25">
      <c r="A6946" t="s">
        <v>5042</v>
      </c>
    </row>
    <row r="6947" spans="1:1" x14ac:dyDescent="0.25">
      <c r="A6947" t="s">
        <v>5043</v>
      </c>
    </row>
    <row r="6948" spans="1:1" x14ac:dyDescent="0.25">
      <c r="A6948" t="s">
        <v>5044</v>
      </c>
    </row>
    <row r="6949" spans="1:1" x14ac:dyDescent="0.25">
      <c r="A6949" t="s">
        <v>5045</v>
      </c>
    </row>
    <row r="6950" spans="1:1" x14ac:dyDescent="0.25">
      <c r="A6950" t="s">
        <v>5046</v>
      </c>
    </row>
    <row r="6951" spans="1:1" x14ac:dyDescent="0.25">
      <c r="A6951" t="s">
        <v>5047</v>
      </c>
    </row>
    <row r="6952" spans="1:1" x14ac:dyDescent="0.25">
      <c r="A6952" t="s">
        <v>5048</v>
      </c>
    </row>
    <row r="6953" spans="1:1" x14ac:dyDescent="0.25">
      <c r="A6953" t="s">
        <v>5049</v>
      </c>
    </row>
    <row r="6954" spans="1:1" x14ac:dyDescent="0.25">
      <c r="A6954" t="s">
        <v>5050</v>
      </c>
    </row>
    <row r="6955" spans="1:1" x14ac:dyDescent="0.25">
      <c r="A6955" t="s">
        <v>3523</v>
      </c>
    </row>
    <row r="6956" spans="1:1" x14ac:dyDescent="0.25">
      <c r="A6956" t="s">
        <v>2485</v>
      </c>
    </row>
    <row r="6957" spans="1:1" x14ac:dyDescent="0.25">
      <c r="A6957" t="s">
        <v>5051</v>
      </c>
    </row>
    <row r="6958" spans="1:1" x14ac:dyDescent="0.25">
      <c r="A6958" t="s">
        <v>2487</v>
      </c>
    </row>
    <row r="6959" spans="1:1" x14ac:dyDescent="0.25">
      <c r="A6959" t="s">
        <v>2488</v>
      </c>
    </row>
    <row r="6960" spans="1:1" x14ac:dyDescent="0.25">
      <c r="A6960" t="s">
        <v>2489</v>
      </c>
    </row>
    <row r="6961" spans="1:1" x14ac:dyDescent="0.25">
      <c r="A6961" t="s">
        <v>2490</v>
      </c>
    </row>
    <row r="6962" spans="1:1" x14ac:dyDescent="0.25">
      <c r="A6962" t="s">
        <v>2491</v>
      </c>
    </row>
    <row r="6963" spans="1:1" x14ac:dyDescent="0.25">
      <c r="A6963" t="s">
        <v>1893</v>
      </c>
    </row>
    <row r="6964" spans="1:1" x14ac:dyDescent="0.25">
      <c r="A6964" t="s">
        <v>5052</v>
      </c>
    </row>
    <row r="6965" spans="1:1" x14ac:dyDescent="0.25">
      <c r="A6965" t="s">
        <v>2493</v>
      </c>
    </row>
    <row r="6966" spans="1:1" x14ac:dyDescent="0.25">
      <c r="A6966" t="s">
        <v>2488</v>
      </c>
    </row>
    <row r="6967" spans="1:1" x14ac:dyDescent="0.25">
      <c r="A6967" t="s">
        <v>2489</v>
      </c>
    </row>
    <row r="6968" spans="1:1" x14ac:dyDescent="0.25">
      <c r="A6968" t="s">
        <v>2490</v>
      </c>
    </row>
    <row r="6969" spans="1:1" x14ac:dyDescent="0.25">
      <c r="A6969" t="s">
        <v>2491</v>
      </c>
    </row>
    <row r="6970" spans="1:1" x14ac:dyDescent="0.25">
      <c r="A6970" t="s">
        <v>1893</v>
      </c>
    </row>
    <row r="6971" spans="1:1" x14ac:dyDescent="0.25">
      <c r="A6971" t="s">
        <v>5053</v>
      </c>
    </row>
    <row r="6972" spans="1:1" x14ac:dyDescent="0.25">
      <c r="A6972" t="s">
        <v>1892</v>
      </c>
    </row>
    <row r="6973" spans="1:1" x14ac:dyDescent="0.25">
      <c r="A6973" t="s">
        <v>2488</v>
      </c>
    </row>
    <row r="6974" spans="1:1" x14ac:dyDescent="0.25">
      <c r="A6974" t="s">
        <v>2489</v>
      </c>
    </row>
    <row r="6975" spans="1:1" x14ac:dyDescent="0.25">
      <c r="A6975" t="s">
        <v>2490</v>
      </c>
    </row>
    <row r="6976" spans="1:1" x14ac:dyDescent="0.25">
      <c r="A6976" t="s">
        <v>2491</v>
      </c>
    </row>
    <row r="6977" spans="1:1" x14ac:dyDescent="0.25">
      <c r="A6977" t="s">
        <v>2495</v>
      </c>
    </row>
    <row r="6978" spans="1:1" x14ac:dyDescent="0.25">
      <c r="A6978" t="s">
        <v>1893</v>
      </c>
    </row>
    <row r="6979" spans="1:1" x14ac:dyDescent="0.25">
      <c r="A6979" t="s">
        <v>5054</v>
      </c>
    </row>
    <row r="6980" spans="1:1" x14ac:dyDescent="0.25">
      <c r="A6980" t="s">
        <v>2493</v>
      </c>
    </row>
    <row r="6981" spans="1:1" x14ac:dyDescent="0.25">
      <c r="A6981" t="s">
        <v>1892</v>
      </c>
    </row>
    <row r="6982" spans="1:1" x14ac:dyDescent="0.25">
      <c r="A6982" t="s">
        <v>2488</v>
      </c>
    </row>
    <row r="6983" spans="1:1" x14ac:dyDescent="0.25">
      <c r="A6983" t="s">
        <v>2489</v>
      </c>
    </row>
    <row r="6984" spans="1:1" x14ac:dyDescent="0.25">
      <c r="A6984" t="s">
        <v>2490</v>
      </c>
    </row>
    <row r="6985" spans="1:1" x14ac:dyDescent="0.25">
      <c r="A6985" t="s">
        <v>2491</v>
      </c>
    </row>
    <row r="6986" spans="1:1" x14ac:dyDescent="0.25">
      <c r="A6986" t="s">
        <v>2497</v>
      </c>
    </row>
    <row r="6987" spans="1:1" x14ac:dyDescent="0.25">
      <c r="A6987" t="s">
        <v>1893</v>
      </c>
    </row>
    <row r="6988" spans="1:1" x14ac:dyDescent="0.25">
      <c r="A6988" t="s">
        <v>2498</v>
      </c>
    </row>
    <row r="6989" spans="1:1" x14ac:dyDescent="0.25">
      <c r="A6989" t="s">
        <v>1904</v>
      </c>
    </row>
    <row r="6990" spans="1:1" x14ac:dyDescent="0.25">
      <c r="A6990" t="s">
        <v>3528</v>
      </c>
    </row>
    <row r="6991" spans="1:1" x14ac:dyDescent="0.25">
      <c r="A6991" t="s">
        <v>2500</v>
      </c>
    </row>
    <row r="6992" spans="1:1" x14ac:dyDescent="0.25">
      <c r="A6992" t="s">
        <v>2501</v>
      </c>
    </row>
    <row r="6993" spans="1:1" x14ac:dyDescent="0.25">
      <c r="A6993" t="s">
        <v>2502</v>
      </c>
    </row>
    <row r="6994" spans="1:1" x14ac:dyDescent="0.25">
      <c r="A6994" t="s">
        <v>2503</v>
      </c>
    </row>
    <row r="6995" spans="1:1" x14ac:dyDescent="0.25">
      <c r="A6995" t="s">
        <v>2504</v>
      </c>
    </row>
    <row r="6996" spans="1:1" x14ac:dyDescent="0.25">
      <c r="A6996" t="s">
        <v>2505</v>
      </c>
    </row>
    <row r="6997" spans="1:1" x14ac:dyDescent="0.25">
      <c r="A6997" t="s">
        <v>2506</v>
      </c>
    </row>
    <row r="6998" spans="1:1" x14ac:dyDescent="0.25">
      <c r="A6998" t="s">
        <v>2507</v>
      </c>
    </row>
    <row r="6999" spans="1:1" x14ac:dyDescent="0.25">
      <c r="A6999" t="s">
        <v>2508</v>
      </c>
    </row>
    <row r="7000" spans="1:1" x14ac:dyDescent="0.25">
      <c r="A7000" t="s">
        <v>2509</v>
      </c>
    </row>
    <row r="7001" spans="1:1" x14ac:dyDescent="0.25">
      <c r="A7001" t="s">
        <v>2510</v>
      </c>
    </row>
    <row r="7002" spans="1:1" x14ac:dyDescent="0.25">
      <c r="A7002" t="s">
        <v>2511</v>
      </c>
    </row>
    <row r="7003" spans="1:1" x14ac:dyDescent="0.25">
      <c r="A7003" t="s">
        <v>2512</v>
      </c>
    </row>
    <row r="7004" spans="1:1" x14ac:dyDescent="0.25">
      <c r="A7004" t="s">
        <v>1904</v>
      </c>
    </row>
    <row r="7005" spans="1:1" x14ac:dyDescent="0.25">
      <c r="A7005" t="s">
        <v>3529</v>
      </c>
    </row>
    <row r="7006" spans="1:1" x14ac:dyDescent="0.25">
      <c r="A7006" t="s">
        <v>2500</v>
      </c>
    </row>
    <row r="7007" spans="1:1" x14ac:dyDescent="0.25">
      <c r="A7007" t="s">
        <v>2514</v>
      </c>
    </row>
    <row r="7008" spans="1:1" x14ac:dyDescent="0.25">
      <c r="A7008" t="s">
        <v>2502</v>
      </c>
    </row>
    <row r="7009" spans="1:1" x14ac:dyDescent="0.25">
      <c r="A7009" t="s">
        <v>2515</v>
      </c>
    </row>
    <row r="7010" spans="1:1" x14ac:dyDescent="0.25">
      <c r="A7010" t="s">
        <v>2516</v>
      </c>
    </row>
    <row r="7011" spans="1:1" x14ac:dyDescent="0.25">
      <c r="A7011" t="s">
        <v>2517</v>
      </c>
    </row>
    <row r="7012" spans="1:1" x14ac:dyDescent="0.25">
      <c r="A7012" t="s">
        <v>2518</v>
      </c>
    </row>
    <row r="7013" spans="1:1" x14ac:dyDescent="0.25">
      <c r="A7013" t="s">
        <v>2507</v>
      </c>
    </row>
    <row r="7014" spans="1:1" x14ac:dyDescent="0.25">
      <c r="A7014" t="s">
        <v>2512</v>
      </c>
    </row>
    <row r="7015" spans="1:1" x14ac:dyDescent="0.25">
      <c r="A7015" t="s">
        <v>1904</v>
      </c>
    </row>
    <row r="7016" spans="1:1" x14ac:dyDescent="0.25">
      <c r="A7016" t="s">
        <v>3530</v>
      </c>
    </row>
    <row r="7018" spans="1:1" x14ac:dyDescent="0.25">
      <c r="A7018" t="s">
        <v>3531</v>
      </c>
    </row>
    <row r="7019" spans="1:1" x14ac:dyDescent="0.25">
      <c r="A7019" t="s">
        <v>3532</v>
      </c>
    </row>
    <row r="7021" spans="1:1" x14ac:dyDescent="0.25">
      <c r="A7021" t="s">
        <v>3533</v>
      </c>
    </row>
    <row r="7022" spans="1:1" x14ac:dyDescent="0.25">
      <c r="A7022" t="s">
        <v>3534</v>
      </c>
    </row>
    <row r="7023" spans="1:1" x14ac:dyDescent="0.25">
      <c r="A7023" t="s">
        <v>3535</v>
      </c>
    </row>
    <row r="7025" spans="1:1" x14ac:dyDescent="0.25">
      <c r="A7025" t="s">
        <v>3536</v>
      </c>
    </row>
    <row r="7026" spans="1:1" x14ac:dyDescent="0.25">
      <c r="A7026" t="s">
        <v>3537</v>
      </c>
    </row>
    <row r="7027" spans="1:1" x14ac:dyDescent="0.25">
      <c r="A7027" t="s">
        <v>3535</v>
      </c>
    </row>
    <row r="7029" spans="1:1" x14ac:dyDescent="0.25">
      <c r="A7029" t="s">
        <v>3538</v>
      </c>
    </row>
    <row r="7030" spans="1:1" x14ac:dyDescent="0.25">
      <c r="A7030" t="s">
        <v>3539</v>
      </c>
    </row>
    <row r="7031" spans="1:1" x14ac:dyDescent="0.25">
      <c r="A7031" t="s">
        <v>3535</v>
      </c>
    </row>
    <row r="7033" spans="1:1" x14ac:dyDescent="0.25">
      <c r="A7033" t="s">
        <v>3540</v>
      </c>
    </row>
    <row r="7034" spans="1:1" x14ac:dyDescent="0.25">
      <c r="A7034" t="s">
        <v>3541</v>
      </c>
    </row>
    <row r="7035" spans="1:1" x14ac:dyDescent="0.25">
      <c r="A7035" t="s">
        <v>3535</v>
      </c>
    </row>
    <row r="7037" spans="1:1" x14ac:dyDescent="0.25">
      <c r="A7037" t="s">
        <v>3542</v>
      </c>
    </row>
    <row r="7038" spans="1:1" x14ac:dyDescent="0.25">
      <c r="A7038" t="s">
        <v>3543</v>
      </c>
    </row>
    <row r="7039" spans="1:1" x14ac:dyDescent="0.25">
      <c r="A7039" t="s">
        <v>3535</v>
      </c>
    </row>
    <row r="7041" spans="1:1" x14ac:dyDescent="0.25">
      <c r="A7041" t="s">
        <v>3544</v>
      </c>
    </row>
    <row r="7042" spans="1:1" x14ac:dyDescent="0.25">
      <c r="A7042" t="s">
        <v>3545</v>
      </c>
    </row>
    <row r="7043" spans="1:1" x14ac:dyDescent="0.25">
      <c r="A7043" t="s">
        <v>3535</v>
      </c>
    </row>
    <row r="7045" spans="1:1" x14ac:dyDescent="0.25">
      <c r="A7045" t="s">
        <v>3546</v>
      </c>
    </row>
    <row r="7046" spans="1:1" x14ac:dyDescent="0.25">
      <c r="A7046" t="s">
        <v>3547</v>
      </c>
    </row>
    <row r="7047" spans="1:1" x14ac:dyDescent="0.25">
      <c r="A7047" t="s">
        <v>3535</v>
      </c>
    </row>
    <row r="7049" spans="1:1" x14ac:dyDescent="0.25">
      <c r="A7049" t="s">
        <v>3548</v>
      </c>
    </row>
    <row r="7050" spans="1:1" x14ac:dyDescent="0.25">
      <c r="A7050" t="s">
        <v>3549</v>
      </c>
    </row>
    <row r="7051" spans="1:1" x14ac:dyDescent="0.25">
      <c r="A7051" t="s">
        <v>3535</v>
      </c>
    </row>
    <row r="7053" spans="1:1" x14ac:dyDescent="0.25">
      <c r="A7053" t="s">
        <v>3550</v>
      </c>
    </row>
    <row r="7054" spans="1:1" x14ac:dyDescent="0.25">
      <c r="A7054" t="s">
        <v>3551</v>
      </c>
    </row>
    <row r="7055" spans="1:1" x14ac:dyDescent="0.25">
      <c r="A7055" t="s">
        <v>3535</v>
      </c>
    </row>
    <row r="7057" spans="1:1" x14ac:dyDescent="0.25">
      <c r="A7057" t="s">
        <v>3552</v>
      </c>
    </row>
    <row r="7058" spans="1:1" x14ac:dyDescent="0.25">
      <c r="A7058" t="s">
        <v>3553</v>
      </c>
    </row>
    <row r="7059" spans="1:1" x14ac:dyDescent="0.25">
      <c r="A7059" t="s">
        <v>3535</v>
      </c>
    </row>
    <row r="7061" spans="1:1" x14ac:dyDescent="0.25">
      <c r="A7061" t="s">
        <v>3554</v>
      </c>
    </row>
    <row r="7062" spans="1:1" x14ac:dyDescent="0.25">
      <c r="A7062" t="s">
        <v>3555</v>
      </c>
    </row>
    <row r="7063" spans="1:1" x14ac:dyDescent="0.25">
      <c r="A7063" t="s">
        <v>3535</v>
      </c>
    </row>
    <row r="7065" spans="1:1" x14ac:dyDescent="0.25">
      <c r="A7065" t="s">
        <v>3556</v>
      </c>
    </row>
    <row r="7066" spans="1:1" x14ac:dyDescent="0.25">
      <c r="A7066" t="s">
        <v>3557</v>
      </c>
    </row>
    <row r="7067" spans="1:1" x14ac:dyDescent="0.25">
      <c r="A7067" t="s">
        <v>3535</v>
      </c>
    </row>
    <row r="7068" spans="1:1" x14ac:dyDescent="0.25">
      <c r="A7068" t="s">
        <v>3558</v>
      </c>
    </row>
    <row r="7070" spans="1:1" x14ac:dyDescent="0.25">
      <c r="A7070" t="s">
        <v>3559</v>
      </c>
    </row>
    <row r="7071" spans="1:1" x14ac:dyDescent="0.25">
      <c r="A7071" t="s">
        <v>5055</v>
      </c>
    </row>
    <row r="7072" spans="1:1" x14ac:dyDescent="0.25">
      <c r="A7072" t="s">
        <v>3561</v>
      </c>
    </row>
    <row r="7073" spans="1:1" x14ac:dyDescent="0.25">
      <c r="A7073" t="s">
        <v>3482</v>
      </c>
    </row>
    <row r="7074" spans="1:1" x14ac:dyDescent="0.25">
      <c r="A7074" t="s">
        <v>5056</v>
      </c>
    </row>
    <row r="7075" spans="1:1" x14ac:dyDescent="0.25">
      <c r="A7075" t="s">
        <v>3484</v>
      </c>
    </row>
    <row r="7076" spans="1:1" x14ac:dyDescent="0.25">
      <c r="A7076" t="s">
        <v>5057</v>
      </c>
    </row>
    <row r="7077" spans="1:1" x14ac:dyDescent="0.25">
      <c r="A7077" t="s">
        <v>3487</v>
      </c>
    </row>
    <row r="7079" spans="1:1" x14ac:dyDescent="0.25">
      <c r="A7079" t="s">
        <v>3564</v>
      </c>
    </row>
    <row r="7081" spans="1:1" x14ac:dyDescent="0.25">
      <c r="A7081" t="s">
        <v>3476</v>
      </c>
    </row>
    <row r="7083" spans="1:1" x14ac:dyDescent="0.25">
      <c r="A7083" t="s">
        <v>5058</v>
      </c>
    </row>
    <row r="7084" spans="1:1" x14ac:dyDescent="0.25">
      <c r="A7084" t="s">
        <v>3476</v>
      </c>
    </row>
    <row r="7085" spans="1:1" x14ac:dyDescent="0.25">
      <c r="A7085" t="s">
        <v>3565</v>
      </c>
    </row>
    <row r="7087" spans="1:1" x14ac:dyDescent="0.25">
      <c r="A7087" t="s">
        <v>2520</v>
      </c>
    </row>
    <row r="7089" spans="1:1" x14ac:dyDescent="0.25">
      <c r="A7089" t="s">
        <v>2459</v>
      </c>
    </row>
    <row r="7090" spans="1:1" x14ac:dyDescent="0.25">
      <c r="A7090" t="s">
        <v>5059</v>
      </c>
    </row>
    <row r="7091" spans="1:1" x14ac:dyDescent="0.25">
      <c r="A7091" t="s">
        <v>3422</v>
      </c>
    </row>
    <row r="7092" spans="1:1" x14ac:dyDescent="0.25">
      <c r="A7092" t="s">
        <v>4844</v>
      </c>
    </row>
    <row r="7093" spans="1:1" x14ac:dyDescent="0.25">
      <c r="A7093" t="s">
        <v>4172</v>
      </c>
    </row>
    <row r="7094" spans="1:1" x14ac:dyDescent="0.25">
      <c r="A7094" t="s">
        <v>2463</v>
      </c>
    </row>
    <row r="7095" spans="1:1" x14ac:dyDescent="0.25">
      <c r="A7095" t="s">
        <v>3424</v>
      </c>
    </row>
    <row r="7096" spans="1:1" x14ac:dyDescent="0.25">
      <c r="A7096" t="s">
        <v>3414</v>
      </c>
    </row>
    <row r="7097" spans="1:1" x14ac:dyDescent="0.25">
      <c r="A7097" t="s">
        <v>5060</v>
      </c>
    </row>
    <row r="7098" spans="1:1" x14ac:dyDescent="0.25">
      <c r="A7098" t="s">
        <v>4462</v>
      </c>
    </row>
    <row r="7099" spans="1:1" x14ac:dyDescent="0.25">
      <c r="A7099" t="s">
        <v>1790</v>
      </c>
    </row>
    <row r="7100" spans="1:1" x14ac:dyDescent="0.25">
      <c r="A7100" t="s">
        <v>1873</v>
      </c>
    </row>
    <row r="7101" spans="1:1" x14ac:dyDescent="0.25">
      <c r="A7101" t="s">
        <v>1874</v>
      </c>
    </row>
    <row r="7102" spans="1:1" x14ac:dyDescent="0.25">
      <c r="A7102" t="s">
        <v>1875</v>
      </c>
    </row>
    <row r="7103" spans="1:1" x14ac:dyDescent="0.25">
      <c r="A7103" t="s">
        <v>1794</v>
      </c>
    </row>
    <row r="7104" spans="1:1" x14ac:dyDescent="0.25">
      <c r="A7104" t="s">
        <v>4500</v>
      </c>
    </row>
    <row r="7105" spans="1:1" x14ac:dyDescent="0.25">
      <c r="A7105" t="s">
        <v>4501</v>
      </c>
    </row>
    <row r="7106" spans="1:1" x14ac:dyDescent="0.25">
      <c r="A7106" t="s">
        <v>1904</v>
      </c>
    </row>
    <row r="7107" spans="1:1" x14ac:dyDescent="0.25">
      <c r="A7107" t="s">
        <v>4846</v>
      </c>
    </row>
    <row r="7108" spans="1:1" x14ac:dyDescent="0.25">
      <c r="A7108" t="s">
        <v>4847</v>
      </c>
    </row>
    <row r="7109" spans="1:1" x14ac:dyDescent="0.25">
      <c r="A7109" t="s">
        <v>4848</v>
      </c>
    </row>
    <row r="7110" spans="1:1" x14ac:dyDescent="0.25">
      <c r="A7110" t="s">
        <v>4849</v>
      </c>
    </row>
    <row r="7111" spans="1:1" x14ac:dyDescent="0.25">
      <c r="A7111" t="s">
        <v>4850</v>
      </c>
    </row>
    <row r="7112" spans="1:1" x14ac:dyDescent="0.25">
      <c r="A7112" t="s">
        <v>4851</v>
      </c>
    </row>
    <row r="7113" spans="1:1" x14ac:dyDescent="0.25">
      <c r="A7113" t="s">
        <v>4852</v>
      </c>
    </row>
    <row r="7114" spans="1:1" x14ac:dyDescent="0.25">
      <c r="A7114" t="s">
        <v>5061</v>
      </c>
    </row>
    <row r="7115" spans="1:1" x14ac:dyDescent="0.25">
      <c r="A7115" t="s">
        <v>5062</v>
      </c>
    </row>
    <row r="7116" spans="1:1" x14ac:dyDescent="0.25">
      <c r="A7116" t="s">
        <v>5063</v>
      </c>
    </row>
    <row r="7117" spans="1:1" x14ac:dyDescent="0.25">
      <c r="A7117" t="s">
        <v>5064</v>
      </c>
    </row>
    <row r="7118" spans="1:1" x14ac:dyDescent="0.25">
      <c r="A7118" t="s">
        <v>2519</v>
      </c>
    </row>
    <row r="7120" spans="1:1" x14ac:dyDescent="0.25">
      <c r="A7120" t="s">
        <v>2520</v>
      </c>
    </row>
    <row r="7122" spans="1:1" x14ac:dyDescent="0.25">
      <c r="A7122" t="s">
        <v>5065</v>
      </c>
    </row>
    <row r="7123" spans="1:1" x14ac:dyDescent="0.25">
      <c r="A7123" t="s">
        <v>4947</v>
      </c>
    </row>
    <row r="7124" spans="1:1" x14ac:dyDescent="0.25">
      <c r="A7124" t="s">
        <v>5066</v>
      </c>
    </row>
    <row r="7125" spans="1:1" x14ac:dyDescent="0.25">
      <c r="A7125" t="s">
        <v>4991</v>
      </c>
    </row>
    <row r="7126" spans="1:1" x14ac:dyDescent="0.25">
      <c r="A7126" t="s">
        <v>4992</v>
      </c>
    </row>
    <row r="7127" spans="1:1" x14ac:dyDescent="0.25">
      <c r="A7127" t="s">
        <v>4950</v>
      </c>
    </row>
    <row r="7128" spans="1:1" x14ac:dyDescent="0.25">
      <c r="A7128" t="s">
        <v>4993</v>
      </c>
    </row>
    <row r="7129" spans="1:1" x14ac:dyDescent="0.25">
      <c r="A7129" t="s">
        <v>4994</v>
      </c>
    </row>
    <row r="7130" spans="1:1" x14ac:dyDescent="0.25">
      <c r="A7130" t="s">
        <v>4952</v>
      </c>
    </row>
    <row r="7131" spans="1:1" x14ac:dyDescent="0.25">
      <c r="A7131" t="s">
        <v>5067</v>
      </c>
    </row>
    <row r="7132" spans="1:1" x14ac:dyDescent="0.25">
      <c r="A7132" t="s">
        <v>4996</v>
      </c>
    </row>
    <row r="7133" spans="1:1" x14ac:dyDescent="0.25">
      <c r="A7133" t="s">
        <v>1790</v>
      </c>
    </row>
    <row r="7134" spans="1:1" x14ac:dyDescent="0.25">
      <c r="A7134" t="s">
        <v>1873</v>
      </c>
    </row>
    <row r="7135" spans="1:1" x14ac:dyDescent="0.25">
      <c r="A7135" t="s">
        <v>1874</v>
      </c>
    </row>
    <row r="7136" spans="1:1" x14ac:dyDescent="0.25">
      <c r="A7136" t="s">
        <v>1875</v>
      </c>
    </row>
    <row r="7137" spans="1:1" x14ac:dyDescent="0.25">
      <c r="A7137" t="s">
        <v>1794</v>
      </c>
    </row>
    <row r="7138" spans="1:1" x14ac:dyDescent="0.25">
      <c r="A7138" t="s">
        <v>4500</v>
      </c>
    </row>
    <row r="7139" spans="1:1" x14ac:dyDescent="0.25">
      <c r="A7139" t="s">
        <v>4501</v>
      </c>
    </row>
    <row r="7140" spans="1:1" x14ac:dyDescent="0.25">
      <c r="A7140" t="s">
        <v>1904</v>
      </c>
    </row>
    <row r="7141" spans="1:1" x14ac:dyDescent="0.25">
      <c r="A7141" t="s">
        <v>4997</v>
      </c>
    </row>
    <row r="7142" spans="1:1" x14ac:dyDescent="0.25">
      <c r="A7142" t="s">
        <v>4998</v>
      </c>
    </row>
    <row r="7143" spans="1:1" x14ac:dyDescent="0.25">
      <c r="A7143" t="s">
        <v>4999</v>
      </c>
    </row>
    <row r="7144" spans="1:1" x14ac:dyDescent="0.25">
      <c r="A7144" t="s">
        <v>5000</v>
      </c>
    </row>
    <row r="7145" spans="1:1" x14ac:dyDescent="0.25">
      <c r="A7145" t="s">
        <v>5001</v>
      </c>
    </row>
    <row r="7146" spans="1:1" x14ac:dyDescent="0.25">
      <c r="A7146" t="s">
        <v>5002</v>
      </c>
    </row>
    <row r="7147" spans="1:1" x14ac:dyDescent="0.25">
      <c r="A7147" t="s">
        <v>5003</v>
      </c>
    </row>
    <row r="7148" spans="1:1" x14ac:dyDescent="0.25">
      <c r="A7148" t="s">
        <v>5068</v>
      </c>
    </row>
    <row r="7149" spans="1:1" x14ac:dyDescent="0.25">
      <c r="A7149" t="s">
        <v>5069</v>
      </c>
    </row>
    <row r="7150" spans="1:1" x14ac:dyDescent="0.25">
      <c r="A7150" t="s">
        <v>5070</v>
      </c>
    </row>
    <row r="7151" spans="1:1" x14ac:dyDescent="0.25">
      <c r="A7151" t="s">
        <v>5071</v>
      </c>
    </row>
    <row r="7152" spans="1:1" x14ac:dyDescent="0.25">
      <c r="A7152" t="s">
        <v>5072</v>
      </c>
    </row>
    <row r="7153" spans="1:1" x14ac:dyDescent="0.25">
      <c r="A7153" t="s">
        <v>4961</v>
      </c>
    </row>
    <row r="7155" spans="1:1" x14ac:dyDescent="0.25">
      <c r="A7155" t="s">
        <v>3476</v>
      </c>
    </row>
    <row r="7157" spans="1:1" x14ac:dyDescent="0.25">
      <c r="A7157" t="s">
        <v>4947</v>
      </c>
    </row>
    <row r="7158" spans="1:1" x14ac:dyDescent="0.25">
      <c r="A7158" t="s">
        <v>5073</v>
      </c>
    </row>
    <row r="7159" spans="1:1" x14ac:dyDescent="0.25">
      <c r="A7159" t="s">
        <v>5074</v>
      </c>
    </row>
    <row r="7160" spans="1:1" x14ac:dyDescent="0.25">
      <c r="A7160" t="s">
        <v>5075</v>
      </c>
    </row>
    <row r="7161" spans="1:1" x14ac:dyDescent="0.25">
      <c r="A7161" t="s">
        <v>4954</v>
      </c>
    </row>
    <row r="7162" spans="1:1" x14ac:dyDescent="0.25">
      <c r="A7162" t="s">
        <v>5076</v>
      </c>
    </row>
    <row r="7163" spans="1:1" x14ac:dyDescent="0.25">
      <c r="A7163" t="s">
        <v>5077</v>
      </c>
    </row>
    <row r="7164" spans="1:1" x14ac:dyDescent="0.25">
      <c r="A7164" t="s">
        <v>5078</v>
      </c>
    </row>
    <row r="7165" spans="1:1" x14ac:dyDescent="0.25">
      <c r="A7165" t="s">
        <v>5079</v>
      </c>
    </row>
    <row r="7166" spans="1:1" x14ac:dyDescent="0.25">
      <c r="A7166" t="s">
        <v>5080</v>
      </c>
    </row>
    <row r="7167" spans="1:1" x14ac:dyDescent="0.25">
      <c r="A7167" t="s">
        <v>4961</v>
      </c>
    </row>
    <row r="7169" spans="1:1" x14ac:dyDescent="0.25">
      <c r="A7169" t="s">
        <v>3476</v>
      </c>
    </row>
    <row r="7171" spans="1:1" x14ac:dyDescent="0.25">
      <c r="A7171" t="s">
        <v>4947</v>
      </c>
    </row>
    <row r="7172" spans="1:1" x14ac:dyDescent="0.25">
      <c r="A7172" t="s">
        <v>5081</v>
      </c>
    </row>
    <row r="7173" spans="1:1" x14ac:dyDescent="0.25">
      <c r="A7173" t="s">
        <v>5074</v>
      </c>
    </row>
    <row r="7174" spans="1:1" x14ac:dyDescent="0.25">
      <c r="A7174" t="s">
        <v>5082</v>
      </c>
    </row>
    <row r="7175" spans="1:1" x14ac:dyDescent="0.25">
      <c r="A7175" t="s">
        <v>4954</v>
      </c>
    </row>
    <row r="7176" spans="1:1" x14ac:dyDescent="0.25">
      <c r="A7176" t="s">
        <v>5083</v>
      </c>
    </row>
    <row r="7177" spans="1:1" x14ac:dyDescent="0.25">
      <c r="A7177" t="s">
        <v>5084</v>
      </c>
    </row>
    <row r="7178" spans="1:1" x14ac:dyDescent="0.25">
      <c r="A7178" t="s">
        <v>5085</v>
      </c>
    </row>
    <row r="7179" spans="1:1" x14ac:dyDescent="0.25">
      <c r="A7179" t="s">
        <v>5086</v>
      </c>
    </row>
    <row r="7180" spans="1:1" x14ac:dyDescent="0.25">
      <c r="A7180" t="s">
        <v>5087</v>
      </c>
    </row>
    <row r="7181" spans="1:1" x14ac:dyDescent="0.25">
      <c r="A7181" t="s">
        <v>4961</v>
      </c>
    </row>
    <row r="7183" spans="1:1" x14ac:dyDescent="0.25">
      <c r="A7183" t="s">
        <v>3476</v>
      </c>
    </row>
    <row r="7185" spans="1:1" x14ac:dyDescent="0.25">
      <c r="A7185" t="s">
        <v>4947</v>
      </c>
    </row>
    <row r="7186" spans="1:1" x14ac:dyDescent="0.25">
      <c r="A7186" t="s">
        <v>5088</v>
      </c>
    </row>
    <row r="7187" spans="1:1" x14ac:dyDescent="0.25">
      <c r="A7187" t="s">
        <v>5074</v>
      </c>
    </row>
    <row r="7188" spans="1:1" x14ac:dyDescent="0.25">
      <c r="A7188" t="s">
        <v>5089</v>
      </c>
    </row>
    <row r="7189" spans="1:1" x14ac:dyDescent="0.25">
      <c r="A7189" t="s">
        <v>4954</v>
      </c>
    </row>
    <row r="7190" spans="1:1" x14ac:dyDescent="0.25">
      <c r="A7190" t="s">
        <v>5076</v>
      </c>
    </row>
    <row r="7191" spans="1:1" x14ac:dyDescent="0.25">
      <c r="A7191" t="s">
        <v>5077</v>
      </c>
    </row>
    <row r="7192" spans="1:1" x14ac:dyDescent="0.25">
      <c r="A7192" t="s">
        <v>5078</v>
      </c>
    </row>
    <row r="7193" spans="1:1" x14ac:dyDescent="0.25">
      <c r="A7193" t="s">
        <v>5079</v>
      </c>
    </row>
    <row r="7194" spans="1:1" x14ac:dyDescent="0.25">
      <c r="A7194" t="s">
        <v>5080</v>
      </c>
    </row>
    <row r="7195" spans="1:1" x14ac:dyDescent="0.25">
      <c r="A7195" t="s">
        <v>4961</v>
      </c>
    </row>
    <row r="7197" spans="1:1" x14ac:dyDescent="0.25">
      <c r="A7197" t="s">
        <v>3476</v>
      </c>
    </row>
    <row r="7198" spans="1:1" x14ac:dyDescent="0.25">
      <c r="A7198" t="s">
        <v>3565</v>
      </c>
    </row>
    <row r="7199" spans="1:1" x14ac:dyDescent="0.25">
      <c r="A7199" t="s">
        <v>2521</v>
      </c>
    </row>
    <row r="7201" spans="1:1" x14ac:dyDescent="0.25">
      <c r="A7201" t="s">
        <v>5090</v>
      </c>
    </row>
    <row r="7202" spans="1:1" x14ac:dyDescent="0.25">
      <c r="A7202" t="s">
        <v>5091</v>
      </c>
    </row>
    <row r="7203" spans="1:1" x14ac:dyDescent="0.25">
      <c r="A7203" t="s">
        <v>4947</v>
      </c>
    </row>
    <row r="7204" spans="1:1" x14ac:dyDescent="0.25">
      <c r="A7204" t="s">
        <v>5092</v>
      </c>
    </row>
    <row r="7205" spans="1:1" x14ac:dyDescent="0.25">
      <c r="A7205" t="s">
        <v>5074</v>
      </c>
    </row>
    <row r="7206" spans="1:1" x14ac:dyDescent="0.25">
      <c r="A7206" t="s">
        <v>5093</v>
      </c>
    </row>
    <row r="7207" spans="1:1" x14ac:dyDescent="0.25">
      <c r="A7207" t="s">
        <v>4954</v>
      </c>
    </row>
    <row r="7208" spans="1:1" x14ac:dyDescent="0.25">
      <c r="A7208" t="s">
        <v>5094</v>
      </c>
    </row>
    <row r="7209" spans="1:1" x14ac:dyDescent="0.25">
      <c r="A7209" t="s">
        <v>5095</v>
      </c>
    </row>
    <row r="7210" spans="1:1" x14ac:dyDescent="0.25">
      <c r="A7210" t="s">
        <v>5096</v>
      </c>
    </row>
    <row r="7211" spans="1:1" x14ac:dyDescent="0.25">
      <c r="A7211" t="s">
        <v>5097</v>
      </c>
    </row>
    <row r="7212" spans="1:1" x14ac:dyDescent="0.25">
      <c r="A7212" t="s">
        <v>4961</v>
      </c>
    </row>
    <row r="7214" spans="1:1" x14ac:dyDescent="0.25">
      <c r="A7214" t="s">
        <v>3476</v>
      </c>
    </row>
    <row r="7216" spans="1:1" x14ac:dyDescent="0.25">
      <c r="A7216" t="s">
        <v>4947</v>
      </c>
    </row>
    <row r="7217" spans="1:1" x14ac:dyDescent="0.25">
      <c r="A7217" t="s">
        <v>5098</v>
      </c>
    </row>
    <row r="7218" spans="1:1" x14ac:dyDescent="0.25">
      <c r="A7218" t="s">
        <v>4991</v>
      </c>
    </row>
    <row r="7219" spans="1:1" x14ac:dyDescent="0.25">
      <c r="A7219" t="s">
        <v>4992</v>
      </c>
    </row>
    <row r="7220" spans="1:1" x14ac:dyDescent="0.25">
      <c r="A7220" t="s">
        <v>4950</v>
      </c>
    </row>
    <row r="7221" spans="1:1" x14ac:dyDescent="0.25">
      <c r="A7221" t="s">
        <v>4993</v>
      </c>
    </row>
    <row r="7222" spans="1:1" x14ac:dyDescent="0.25">
      <c r="A7222" t="s">
        <v>4994</v>
      </c>
    </row>
    <row r="7223" spans="1:1" x14ac:dyDescent="0.25">
      <c r="A7223" t="s">
        <v>4952</v>
      </c>
    </row>
    <row r="7224" spans="1:1" x14ac:dyDescent="0.25">
      <c r="A7224" t="s">
        <v>4995</v>
      </c>
    </row>
    <row r="7225" spans="1:1" x14ac:dyDescent="0.25">
      <c r="A7225" t="s">
        <v>4996</v>
      </c>
    </row>
    <row r="7226" spans="1:1" x14ac:dyDescent="0.25">
      <c r="A7226" t="s">
        <v>1790</v>
      </c>
    </row>
    <row r="7227" spans="1:1" x14ac:dyDescent="0.25">
      <c r="A7227" t="s">
        <v>1873</v>
      </c>
    </row>
    <row r="7228" spans="1:1" x14ac:dyDescent="0.25">
      <c r="A7228" t="s">
        <v>1874</v>
      </c>
    </row>
    <row r="7229" spans="1:1" x14ac:dyDescent="0.25">
      <c r="A7229" t="s">
        <v>5099</v>
      </c>
    </row>
    <row r="7230" spans="1:1" x14ac:dyDescent="0.25">
      <c r="A7230" t="s">
        <v>1794</v>
      </c>
    </row>
    <row r="7231" spans="1:1" x14ac:dyDescent="0.25">
      <c r="A7231" t="s">
        <v>4500</v>
      </c>
    </row>
    <row r="7232" spans="1:1" x14ac:dyDescent="0.25">
      <c r="A7232" t="s">
        <v>4501</v>
      </c>
    </row>
    <row r="7233" spans="1:1" x14ac:dyDescent="0.25">
      <c r="A7233" t="s">
        <v>1904</v>
      </c>
    </row>
    <row r="7234" spans="1:1" x14ac:dyDescent="0.25">
      <c r="A7234" t="s">
        <v>4997</v>
      </c>
    </row>
    <row r="7235" spans="1:1" x14ac:dyDescent="0.25">
      <c r="A7235" t="s">
        <v>4998</v>
      </c>
    </row>
    <row r="7236" spans="1:1" x14ac:dyDescent="0.25">
      <c r="A7236" t="s">
        <v>4999</v>
      </c>
    </row>
    <row r="7237" spans="1:1" x14ac:dyDescent="0.25">
      <c r="A7237" t="s">
        <v>5000</v>
      </c>
    </row>
    <row r="7238" spans="1:1" x14ac:dyDescent="0.25">
      <c r="A7238" t="s">
        <v>5001</v>
      </c>
    </row>
    <row r="7239" spans="1:1" x14ac:dyDescent="0.25">
      <c r="A7239" t="s">
        <v>5002</v>
      </c>
    </row>
    <row r="7240" spans="1:1" x14ac:dyDescent="0.25">
      <c r="A7240" t="s">
        <v>5003</v>
      </c>
    </row>
    <row r="7241" spans="1:1" x14ac:dyDescent="0.25">
      <c r="A7241" t="s">
        <v>5100</v>
      </c>
    </row>
    <row r="7242" spans="1:1" x14ac:dyDescent="0.25">
      <c r="A7242" t="s">
        <v>5101</v>
      </c>
    </row>
    <row r="7243" spans="1:1" x14ac:dyDescent="0.25">
      <c r="A7243" t="s">
        <v>5102</v>
      </c>
    </row>
    <row r="7244" spans="1:1" x14ac:dyDescent="0.25">
      <c r="A7244" t="s">
        <v>4961</v>
      </c>
    </row>
    <row r="7246" spans="1:1" x14ac:dyDescent="0.25">
      <c r="A7246" t="s">
        <v>3476</v>
      </c>
    </row>
    <row r="7248" spans="1:1" x14ac:dyDescent="0.25">
      <c r="A7248" t="s">
        <v>4947</v>
      </c>
    </row>
    <row r="7249" spans="1:1" x14ac:dyDescent="0.25">
      <c r="A7249" t="s">
        <v>5103</v>
      </c>
    </row>
    <row r="7250" spans="1:1" x14ac:dyDescent="0.25">
      <c r="A7250" t="s">
        <v>4949</v>
      </c>
    </row>
    <row r="7251" spans="1:1" x14ac:dyDescent="0.25">
      <c r="A7251" t="s">
        <v>4950</v>
      </c>
    </row>
    <row r="7252" spans="1:1" x14ac:dyDescent="0.25">
      <c r="A7252" t="s">
        <v>5104</v>
      </c>
    </row>
    <row r="7253" spans="1:1" x14ac:dyDescent="0.25">
      <c r="A7253" t="s">
        <v>4951</v>
      </c>
    </row>
    <row r="7254" spans="1:1" x14ac:dyDescent="0.25">
      <c r="A7254" t="s">
        <v>4952</v>
      </c>
    </row>
    <row r="7255" spans="1:1" x14ac:dyDescent="0.25">
      <c r="A7255" t="s">
        <v>5105</v>
      </c>
    </row>
    <row r="7256" spans="1:1" x14ac:dyDescent="0.25">
      <c r="A7256" t="s">
        <v>5106</v>
      </c>
    </row>
    <row r="7257" spans="1:1" x14ac:dyDescent="0.25">
      <c r="A7257" t="s">
        <v>5107</v>
      </c>
    </row>
    <row r="7258" spans="1:1" x14ac:dyDescent="0.25">
      <c r="A7258" t="s">
        <v>5108</v>
      </c>
    </row>
    <row r="7259" spans="1:1" x14ac:dyDescent="0.25">
      <c r="A7259" t="s">
        <v>5109</v>
      </c>
    </row>
    <row r="7260" spans="1:1" x14ac:dyDescent="0.25">
      <c r="A7260" t="s">
        <v>5110</v>
      </c>
    </row>
    <row r="7261" spans="1:1" x14ac:dyDescent="0.25">
      <c r="A7261" t="s">
        <v>5111</v>
      </c>
    </row>
    <row r="7262" spans="1:1" x14ac:dyDescent="0.25">
      <c r="A7262" t="s">
        <v>5112</v>
      </c>
    </row>
    <row r="7263" spans="1:1" x14ac:dyDescent="0.25">
      <c r="A7263" t="s">
        <v>5113</v>
      </c>
    </row>
    <row r="7264" spans="1:1" x14ac:dyDescent="0.25">
      <c r="A7264" t="s">
        <v>5114</v>
      </c>
    </row>
    <row r="7265" spans="1:1" x14ac:dyDescent="0.25">
      <c r="A7265" t="s">
        <v>4961</v>
      </c>
    </row>
    <row r="7266" spans="1:1" x14ac:dyDescent="0.25">
      <c r="A7266" t="s">
        <v>3565</v>
      </c>
    </row>
    <row r="7268" spans="1:1" x14ac:dyDescent="0.25">
      <c r="A7268" t="s">
        <v>2520</v>
      </c>
    </row>
    <row r="7270" spans="1:1" x14ac:dyDescent="0.25">
      <c r="A7270" t="s">
        <v>5115</v>
      </c>
    </row>
    <row r="7271" spans="1:1" x14ac:dyDescent="0.25">
      <c r="A7271" t="s">
        <v>3476</v>
      </c>
    </row>
    <row r="7273" spans="1:1" x14ac:dyDescent="0.25">
      <c r="A7273" t="s">
        <v>5116</v>
      </c>
    </row>
    <row r="7274" spans="1:1" x14ac:dyDescent="0.25">
      <c r="A7274" t="s">
        <v>3474</v>
      </c>
    </row>
    <row r="7275" spans="1:1" x14ac:dyDescent="0.25">
      <c r="A7275" t="s">
        <v>5117</v>
      </c>
    </row>
    <row r="7276" spans="1:1" x14ac:dyDescent="0.25">
      <c r="A7276" t="s">
        <v>2471</v>
      </c>
    </row>
    <row r="7278" spans="1:1" x14ac:dyDescent="0.25">
      <c r="A7278" t="s">
        <v>3476</v>
      </c>
    </row>
    <row r="7280" spans="1:1" x14ac:dyDescent="0.25">
      <c r="A7280" t="s">
        <v>5118</v>
      </c>
    </row>
    <row r="7282" spans="1:1" x14ac:dyDescent="0.25">
      <c r="A7282" t="s">
        <v>3476</v>
      </c>
    </row>
    <row r="7284" spans="1:1" x14ac:dyDescent="0.25">
      <c r="A7284" t="s">
        <v>3478</v>
      </c>
    </row>
    <row r="7285" spans="1:1" x14ac:dyDescent="0.25">
      <c r="A7285" t="s">
        <v>5119</v>
      </c>
    </row>
    <row r="7286" spans="1:1" x14ac:dyDescent="0.25">
      <c r="A7286" t="s">
        <v>3480</v>
      </c>
    </row>
    <row r="7287" spans="1:1" x14ac:dyDescent="0.25">
      <c r="A7287" t="s">
        <v>3481</v>
      </c>
    </row>
    <row r="7288" spans="1:1" x14ac:dyDescent="0.25">
      <c r="A7288" t="s">
        <v>3482</v>
      </c>
    </row>
    <row r="7289" spans="1:1" x14ac:dyDescent="0.25">
      <c r="A7289" t="s">
        <v>5120</v>
      </c>
    </row>
    <row r="7290" spans="1:1" x14ac:dyDescent="0.25">
      <c r="A7290" t="s">
        <v>3484</v>
      </c>
    </row>
    <row r="7291" spans="1:1" x14ac:dyDescent="0.25">
      <c r="A7291" t="s">
        <v>2449</v>
      </c>
    </row>
    <row r="7292" spans="1:1" x14ac:dyDescent="0.25">
      <c r="A7292" t="s">
        <v>2450</v>
      </c>
    </row>
    <row r="7293" spans="1:1" x14ac:dyDescent="0.25">
      <c r="A7293" t="s">
        <v>5121</v>
      </c>
    </row>
    <row r="7294" spans="1:1" x14ac:dyDescent="0.25">
      <c r="A7294" t="s">
        <v>5122</v>
      </c>
    </row>
    <row r="7295" spans="1:1" x14ac:dyDescent="0.25">
      <c r="A7295" t="s">
        <v>2257</v>
      </c>
    </row>
    <row r="7296" spans="1:1" x14ac:dyDescent="0.25">
      <c r="A7296" t="s">
        <v>3487</v>
      </c>
    </row>
    <row r="7298" spans="1:1" x14ac:dyDescent="0.25">
      <c r="A7298" t="s">
        <v>3488</v>
      </c>
    </row>
    <row r="7300" spans="1:1" x14ac:dyDescent="0.25">
      <c r="A7300" t="s">
        <v>3476</v>
      </c>
    </row>
    <row r="7302" spans="1:1" x14ac:dyDescent="0.25">
      <c r="A7302" t="s">
        <v>2468</v>
      </c>
    </row>
    <row r="7303" spans="1:1" x14ac:dyDescent="0.25">
      <c r="A7303" t="s">
        <v>2455</v>
      </c>
    </row>
    <row r="7304" spans="1:1" x14ac:dyDescent="0.25">
      <c r="A7304" t="s">
        <v>2471</v>
      </c>
    </row>
    <row r="7306" spans="1:1" x14ac:dyDescent="0.25">
      <c r="A7306" t="s">
        <v>5123</v>
      </c>
    </row>
    <row r="7307" spans="1:1" x14ac:dyDescent="0.25">
      <c r="A7307" t="s">
        <v>4792</v>
      </c>
    </row>
    <row r="7309" spans="1:1" x14ac:dyDescent="0.25">
      <c r="A7309" t="s">
        <v>3476</v>
      </c>
    </row>
    <row r="7311" spans="1:1" x14ac:dyDescent="0.25">
      <c r="A7311" t="s">
        <v>5124</v>
      </c>
    </row>
    <row r="7312" spans="1:1" x14ac:dyDescent="0.25">
      <c r="A7312" t="s">
        <v>5125</v>
      </c>
    </row>
    <row r="7313" spans="1:1" x14ac:dyDescent="0.25">
      <c r="A7313" t="s">
        <v>5126</v>
      </c>
    </row>
    <row r="7314" spans="1:1" x14ac:dyDescent="0.25">
      <c r="A7314" t="s">
        <v>3493</v>
      </c>
    </row>
    <row r="7315" spans="1:1" x14ac:dyDescent="0.25">
      <c r="A7315" t="s">
        <v>5127</v>
      </c>
    </row>
    <row r="7316" spans="1:1" x14ac:dyDescent="0.25">
      <c r="A7316" t="s">
        <v>3495</v>
      </c>
    </row>
    <row r="7317" spans="1:1" x14ac:dyDescent="0.25">
      <c r="A7317" t="s">
        <v>3496</v>
      </c>
    </row>
    <row r="7318" spans="1:1" x14ac:dyDescent="0.25">
      <c r="A7318" t="s">
        <v>3497</v>
      </c>
    </row>
    <row r="7319" spans="1:1" x14ac:dyDescent="0.25">
      <c r="A7319" t="s">
        <v>3498</v>
      </c>
    </row>
    <row r="7320" spans="1:1" x14ac:dyDescent="0.25">
      <c r="A7320" t="s">
        <v>5128</v>
      </c>
    </row>
    <row r="7321" spans="1:1" x14ac:dyDescent="0.25">
      <c r="A7321" t="s">
        <v>3500</v>
      </c>
    </row>
    <row r="7322" spans="1:1" x14ac:dyDescent="0.25">
      <c r="A7322" t="s">
        <v>3501</v>
      </c>
    </row>
    <row r="7323" spans="1:1" x14ac:dyDescent="0.25">
      <c r="A7323" t="s">
        <v>3502</v>
      </c>
    </row>
    <row r="7327" spans="1:1" x14ac:dyDescent="0.25">
      <c r="A7327" t="s">
        <v>5129</v>
      </c>
    </row>
    <row r="7328" spans="1:1" x14ac:dyDescent="0.25">
      <c r="A7328" t="s">
        <v>5130</v>
      </c>
    </row>
    <row r="7329" spans="1:1" x14ac:dyDescent="0.25">
      <c r="A7329" t="s">
        <v>3505</v>
      </c>
    </row>
    <row r="7331" spans="1:1" x14ac:dyDescent="0.25">
      <c r="A7331" t="s">
        <v>3506</v>
      </c>
    </row>
    <row r="7332" spans="1:1" x14ac:dyDescent="0.25">
      <c r="A7332" t="s">
        <v>3507</v>
      </c>
    </row>
    <row r="7333" spans="1:1" x14ac:dyDescent="0.25">
      <c r="A7333" t="s">
        <v>5131</v>
      </c>
    </row>
    <row r="7334" spans="1:1" x14ac:dyDescent="0.25">
      <c r="A7334" t="s">
        <v>5132</v>
      </c>
    </row>
    <row r="7335" spans="1:1" x14ac:dyDescent="0.25">
      <c r="A7335" t="s">
        <v>5133</v>
      </c>
    </row>
    <row r="7336" spans="1:1" x14ac:dyDescent="0.25">
      <c r="A7336" t="s">
        <v>5134</v>
      </c>
    </row>
    <row r="7337" spans="1:1" x14ac:dyDescent="0.25">
      <c r="A7337" t="s">
        <v>5135</v>
      </c>
    </row>
    <row r="7338" spans="1:1" x14ac:dyDescent="0.25">
      <c r="A7338" t="s">
        <v>5136</v>
      </c>
    </row>
    <row r="7339" spans="1:1" x14ac:dyDescent="0.25">
      <c r="A7339" t="s">
        <v>5137</v>
      </c>
    </row>
    <row r="7340" spans="1:1" x14ac:dyDescent="0.25">
      <c r="A7340" t="s">
        <v>5138</v>
      </c>
    </row>
    <row r="7341" spans="1:1" x14ac:dyDescent="0.25">
      <c r="A7341" t="s">
        <v>5139</v>
      </c>
    </row>
    <row r="7342" spans="1:1" x14ac:dyDescent="0.25">
      <c r="A7342" t="s">
        <v>5140</v>
      </c>
    </row>
    <row r="7343" spans="1:1" x14ac:dyDescent="0.25">
      <c r="A7343" t="s">
        <v>3523</v>
      </c>
    </row>
    <row r="7344" spans="1:1" x14ac:dyDescent="0.25">
      <c r="A7344" t="s">
        <v>2485</v>
      </c>
    </row>
    <row r="7345" spans="1:1" x14ac:dyDescent="0.25">
      <c r="A7345" t="s">
        <v>5141</v>
      </c>
    </row>
    <row r="7346" spans="1:1" x14ac:dyDescent="0.25">
      <c r="A7346" t="s">
        <v>2487</v>
      </c>
    </row>
    <row r="7347" spans="1:1" x14ac:dyDescent="0.25">
      <c r="A7347" t="s">
        <v>2488</v>
      </c>
    </row>
    <row r="7348" spans="1:1" x14ac:dyDescent="0.25">
      <c r="A7348" t="s">
        <v>2489</v>
      </c>
    </row>
    <row r="7349" spans="1:1" x14ac:dyDescent="0.25">
      <c r="A7349" t="s">
        <v>2490</v>
      </c>
    </row>
    <row r="7350" spans="1:1" x14ac:dyDescent="0.25">
      <c r="A7350" t="s">
        <v>2491</v>
      </c>
    </row>
    <row r="7351" spans="1:1" x14ac:dyDescent="0.25">
      <c r="A7351" t="s">
        <v>1893</v>
      </c>
    </row>
    <row r="7352" spans="1:1" x14ac:dyDescent="0.25">
      <c r="A7352" t="s">
        <v>5142</v>
      </c>
    </row>
    <row r="7353" spans="1:1" x14ac:dyDescent="0.25">
      <c r="A7353" t="s">
        <v>2493</v>
      </c>
    </row>
    <row r="7354" spans="1:1" x14ac:dyDescent="0.25">
      <c r="A7354" t="s">
        <v>2488</v>
      </c>
    </row>
    <row r="7355" spans="1:1" x14ac:dyDescent="0.25">
      <c r="A7355" t="s">
        <v>2489</v>
      </c>
    </row>
    <row r="7356" spans="1:1" x14ac:dyDescent="0.25">
      <c r="A7356" t="s">
        <v>2490</v>
      </c>
    </row>
    <row r="7357" spans="1:1" x14ac:dyDescent="0.25">
      <c r="A7357" t="s">
        <v>2491</v>
      </c>
    </row>
    <row r="7358" spans="1:1" x14ac:dyDescent="0.25">
      <c r="A7358" t="s">
        <v>1893</v>
      </c>
    </row>
    <row r="7359" spans="1:1" x14ac:dyDescent="0.25">
      <c r="A7359" t="s">
        <v>5143</v>
      </c>
    </row>
    <row r="7360" spans="1:1" x14ac:dyDescent="0.25">
      <c r="A7360" t="s">
        <v>1892</v>
      </c>
    </row>
    <row r="7361" spans="1:1" x14ac:dyDescent="0.25">
      <c r="A7361" t="s">
        <v>2488</v>
      </c>
    </row>
    <row r="7362" spans="1:1" x14ac:dyDescent="0.25">
      <c r="A7362" t="s">
        <v>2489</v>
      </c>
    </row>
    <row r="7363" spans="1:1" x14ac:dyDescent="0.25">
      <c r="A7363" t="s">
        <v>2490</v>
      </c>
    </row>
    <row r="7364" spans="1:1" x14ac:dyDescent="0.25">
      <c r="A7364" t="s">
        <v>2491</v>
      </c>
    </row>
    <row r="7365" spans="1:1" x14ac:dyDescent="0.25">
      <c r="A7365" t="s">
        <v>2495</v>
      </c>
    </row>
    <row r="7366" spans="1:1" x14ac:dyDescent="0.25">
      <c r="A7366" t="s">
        <v>1893</v>
      </c>
    </row>
    <row r="7367" spans="1:1" x14ac:dyDescent="0.25">
      <c r="A7367" t="s">
        <v>5144</v>
      </c>
    </row>
    <row r="7368" spans="1:1" x14ac:dyDescent="0.25">
      <c r="A7368" t="s">
        <v>2493</v>
      </c>
    </row>
    <row r="7369" spans="1:1" x14ac:dyDescent="0.25">
      <c r="A7369" t="s">
        <v>1892</v>
      </c>
    </row>
    <row r="7370" spans="1:1" x14ac:dyDescent="0.25">
      <c r="A7370" t="s">
        <v>2488</v>
      </c>
    </row>
    <row r="7371" spans="1:1" x14ac:dyDescent="0.25">
      <c r="A7371" t="s">
        <v>2489</v>
      </c>
    </row>
    <row r="7372" spans="1:1" x14ac:dyDescent="0.25">
      <c r="A7372" t="s">
        <v>2490</v>
      </c>
    </row>
    <row r="7373" spans="1:1" x14ac:dyDescent="0.25">
      <c r="A7373" t="s">
        <v>2491</v>
      </c>
    </row>
    <row r="7374" spans="1:1" x14ac:dyDescent="0.25">
      <c r="A7374" t="s">
        <v>2497</v>
      </c>
    </row>
    <row r="7375" spans="1:1" x14ac:dyDescent="0.25">
      <c r="A7375" t="s">
        <v>1893</v>
      </c>
    </row>
    <row r="7376" spans="1:1" x14ac:dyDescent="0.25">
      <c r="A7376" t="s">
        <v>2498</v>
      </c>
    </row>
    <row r="7377" spans="1:1" x14ac:dyDescent="0.25">
      <c r="A7377" t="s">
        <v>1904</v>
      </c>
    </row>
    <row r="7378" spans="1:1" x14ac:dyDescent="0.25">
      <c r="A7378" t="s">
        <v>3528</v>
      </c>
    </row>
    <row r="7379" spans="1:1" x14ac:dyDescent="0.25">
      <c r="A7379" t="s">
        <v>2500</v>
      </c>
    </row>
    <row r="7380" spans="1:1" x14ac:dyDescent="0.25">
      <c r="A7380" t="s">
        <v>2501</v>
      </c>
    </row>
    <row r="7381" spans="1:1" x14ac:dyDescent="0.25">
      <c r="A7381" t="s">
        <v>2502</v>
      </c>
    </row>
    <row r="7382" spans="1:1" x14ac:dyDescent="0.25">
      <c r="A7382" t="s">
        <v>2503</v>
      </c>
    </row>
    <row r="7383" spans="1:1" x14ac:dyDescent="0.25">
      <c r="A7383" t="s">
        <v>2504</v>
      </c>
    </row>
    <row r="7384" spans="1:1" x14ac:dyDescent="0.25">
      <c r="A7384" t="s">
        <v>2505</v>
      </c>
    </row>
    <row r="7385" spans="1:1" x14ac:dyDescent="0.25">
      <c r="A7385" t="s">
        <v>2506</v>
      </c>
    </row>
    <row r="7386" spans="1:1" x14ac:dyDescent="0.25">
      <c r="A7386" t="s">
        <v>2507</v>
      </c>
    </row>
    <row r="7387" spans="1:1" x14ac:dyDescent="0.25">
      <c r="A7387" t="s">
        <v>2508</v>
      </c>
    </row>
    <row r="7388" spans="1:1" x14ac:dyDescent="0.25">
      <c r="A7388" t="s">
        <v>2509</v>
      </c>
    </row>
    <row r="7389" spans="1:1" x14ac:dyDescent="0.25">
      <c r="A7389" t="s">
        <v>2510</v>
      </c>
    </row>
    <row r="7390" spans="1:1" x14ac:dyDescent="0.25">
      <c r="A7390" t="s">
        <v>2511</v>
      </c>
    </row>
    <row r="7391" spans="1:1" x14ac:dyDescent="0.25">
      <c r="A7391" t="s">
        <v>2512</v>
      </c>
    </row>
    <row r="7392" spans="1:1" x14ac:dyDescent="0.25">
      <c r="A7392" t="s">
        <v>1904</v>
      </c>
    </row>
    <row r="7393" spans="1:1" x14ac:dyDescent="0.25">
      <c r="A7393" t="s">
        <v>3529</v>
      </c>
    </row>
    <row r="7394" spans="1:1" x14ac:dyDescent="0.25">
      <c r="A7394" t="s">
        <v>2500</v>
      </c>
    </row>
    <row r="7395" spans="1:1" x14ac:dyDescent="0.25">
      <c r="A7395" t="s">
        <v>2514</v>
      </c>
    </row>
    <row r="7396" spans="1:1" x14ac:dyDescent="0.25">
      <c r="A7396" t="s">
        <v>2502</v>
      </c>
    </row>
    <row r="7397" spans="1:1" x14ac:dyDescent="0.25">
      <c r="A7397" t="s">
        <v>2515</v>
      </c>
    </row>
    <row r="7398" spans="1:1" x14ac:dyDescent="0.25">
      <c r="A7398" t="s">
        <v>2516</v>
      </c>
    </row>
    <row r="7399" spans="1:1" x14ac:dyDescent="0.25">
      <c r="A7399" t="s">
        <v>2517</v>
      </c>
    </row>
    <row r="7400" spans="1:1" x14ac:dyDescent="0.25">
      <c r="A7400" t="s">
        <v>2518</v>
      </c>
    </row>
    <row r="7401" spans="1:1" x14ac:dyDescent="0.25">
      <c r="A7401" t="s">
        <v>2507</v>
      </c>
    </row>
    <row r="7402" spans="1:1" x14ac:dyDescent="0.25">
      <c r="A7402" t="s">
        <v>2512</v>
      </c>
    </row>
    <row r="7403" spans="1:1" x14ac:dyDescent="0.25">
      <c r="A7403" t="s">
        <v>1904</v>
      </c>
    </row>
    <row r="7404" spans="1:1" x14ac:dyDescent="0.25">
      <c r="A7404" t="s">
        <v>3530</v>
      </c>
    </row>
    <row r="7406" spans="1:1" x14ac:dyDescent="0.25">
      <c r="A7406" t="s">
        <v>3531</v>
      </c>
    </row>
    <row r="7407" spans="1:1" x14ac:dyDescent="0.25">
      <c r="A7407" t="s">
        <v>3532</v>
      </c>
    </row>
    <row r="7409" spans="1:1" x14ac:dyDescent="0.25">
      <c r="A7409" t="s">
        <v>3533</v>
      </c>
    </row>
    <row r="7410" spans="1:1" x14ac:dyDescent="0.25">
      <c r="A7410" t="s">
        <v>3534</v>
      </c>
    </row>
    <row r="7411" spans="1:1" x14ac:dyDescent="0.25">
      <c r="A7411" t="s">
        <v>3535</v>
      </c>
    </row>
    <row r="7413" spans="1:1" x14ac:dyDescent="0.25">
      <c r="A7413" t="s">
        <v>3536</v>
      </c>
    </row>
    <row r="7414" spans="1:1" x14ac:dyDescent="0.25">
      <c r="A7414" t="s">
        <v>3537</v>
      </c>
    </row>
    <row r="7415" spans="1:1" x14ac:dyDescent="0.25">
      <c r="A7415" t="s">
        <v>3535</v>
      </c>
    </row>
    <row r="7417" spans="1:1" x14ac:dyDescent="0.25">
      <c r="A7417" t="s">
        <v>3538</v>
      </c>
    </row>
    <row r="7418" spans="1:1" x14ac:dyDescent="0.25">
      <c r="A7418" t="s">
        <v>3539</v>
      </c>
    </row>
    <row r="7419" spans="1:1" x14ac:dyDescent="0.25">
      <c r="A7419" t="s">
        <v>3535</v>
      </c>
    </row>
    <row r="7421" spans="1:1" x14ac:dyDescent="0.25">
      <c r="A7421" t="s">
        <v>3540</v>
      </c>
    </row>
    <row r="7422" spans="1:1" x14ac:dyDescent="0.25">
      <c r="A7422" t="s">
        <v>3541</v>
      </c>
    </row>
    <row r="7423" spans="1:1" x14ac:dyDescent="0.25">
      <c r="A7423" t="s">
        <v>3535</v>
      </c>
    </row>
    <row r="7425" spans="1:1" x14ac:dyDescent="0.25">
      <c r="A7425" t="s">
        <v>3542</v>
      </c>
    </row>
    <row r="7426" spans="1:1" x14ac:dyDescent="0.25">
      <c r="A7426" t="s">
        <v>3543</v>
      </c>
    </row>
    <row r="7427" spans="1:1" x14ac:dyDescent="0.25">
      <c r="A7427" t="s">
        <v>3535</v>
      </c>
    </row>
    <row r="7429" spans="1:1" x14ac:dyDescent="0.25">
      <c r="A7429" t="s">
        <v>3544</v>
      </c>
    </row>
    <row r="7430" spans="1:1" x14ac:dyDescent="0.25">
      <c r="A7430" t="s">
        <v>3545</v>
      </c>
    </row>
    <row r="7431" spans="1:1" x14ac:dyDescent="0.25">
      <c r="A7431" t="s">
        <v>3535</v>
      </c>
    </row>
    <row r="7433" spans="1:1" x14ac:dyDescent="0.25">
      <c r="A7433" t="s">
        <v>3546</v>
      </c>
    </row>
    <row r="7434" spans="1:1" x14ac:dyDescent="0.25">
      <c r="A7434" t="s">
        <v>3547</v>
      </c>
    </row>
    <row r="7435" spans="1:1" x14ac:dyDescent="0.25">
      <c r="A7435" t="s">
        <v>3535</v>
      </c>
    </row>
    <row r="7437" spans="1:1" x14ac:dyDescent="0.25">
      <c r="A7437" t="s">
        <v>3548</v>
      </c>
    </row>
    <row r="7438" spans="1:1" x14ac:dyDescent="0.25">
      <c r="A7438" t="s">
        <v>3549</v>
      </c>
    </row>
    <row r="7439" spans="1:1" x14ac:dyDescent="0.25">
      <c r="A7439" t="s">
        <v>3535</v>
      </c>
    </row>
    <row r="7441" spans="1:1" x14ac:dyDescent="0.25">
      <c r="A7441" t="s">
        <v>3550</v>
      </c>
    </row>
    <row r="7442" spans="1:1" x14ac:dyDescent="0.25">
      <c r="A7442" t="s">
        <v>3551</v>
      </c>
    </row>
    <row r="7443" spans="1:1" x14ac:dyDescent="0.25">
      <c r="A7443" t="s">
        <v>3535</v>
      </c>
    </row>
    <row r="7445" spans="1:1" x14ac:dyDescent="0.25">
      <c r="A7445" t="s">
        <v>3552</v>
      </c>
    </row>
    <row r="7446" spans="1:1" x14ac:dyDescent="0.25">
      <c r="A7446" t="s">
        <v>3553</v>
      </c>
    </row>
    <row r="7447" spans="1:1" x14ac:dyDescent="0.25">
      <c r="A7447" t="s">
        <v>3535</v>
      </c>
    </row>
    <row r="7448" spans="1:1" x14ac:dyDescent="0.25">
      <c r="A7448" t="s">
        <v>3558</v>
      </c>
    </row>
    <row r="7450" spans="1:1" x14ac:dyDescent="0.25">
      <c r="A7450" t="s">
        <v>3559</v>
      </c>
    </row>
    <row r="7451" spans="1:1" x14ac:dyDescent="0.25">
      <c r="A7451" t="s">
        <v>5145</v>
      </c>
    </row>
    <row r="7452" spans="1:1" x14ac:dyDescent="0.25">
      <c r="A7452" t="s">
        <v>3561</v>
      </c>
    </row>
    <row r="7453" spans="1:1" x14ac:dyDescent="0.25">
      <c r="A7453" t="s">
        <v>3482</v>
      </c>
    </row>
    <row r="7454" spans="1:1" x14ac:dyDescent="0.25">
      <c r="A7454" t="s">
        <v>5146</v>
      </c>
    </row>
    <row r="7455" spans="1:1" x14ac:dyDescent="0.25">
      <c r="A7455" t="s">
        <v>3484</v>
      </c>
    </row>
    <row r="7456" spans="1:1" x14ac:dyDescent="0.25">
      <c r="A7456" t="s">
        <v>5147</v>
      </c>
    </row>
    <row r="7457" spans="1:1" x14ac:dyDescent="0.25">
      <c r="A7457" t="s">
        <v>3487</v>
      </c>
    </row>
    <row r="7459" spans="1:1" x14ac:dyDescent="0.25">
      <c r="A7459" t="s">
        <v>3564</v>
      </c>
    </row>
    <row r="7461" spans="1:1" x14ac:dyDescent="0.25">
      <c r="A7461" t="s">
        <v>3476</v>
      </c>
    </row>
    <row r="7463" spans="1:1" x14ac:dyDescent="0.25">
      <c r="A7463" t="s">
        <v>5148</v>
      </c>
    </row>
    <row r="7464" spans="1:1" x14ac:dyDescent="0.25">
      <c r="A7464" t="s">
        <v>3476</v>
      </c>
    </row>
    <row r="7465" spans="1:1" x14ac:dyDescent="0.25">
      <c r="A7465" t="s">
        <v>3565</v>
      </c>
    </row>
    <row r="7467" spans="1:1" x14ac:dyDescent="0.25">
      <c r="A7467" t="s">
        <v>2520</v>
      </c>
    </row>
    <row r="7469" spans="1:1" x14ac:dyDescent="0.25">
      <c r="A7469" t="s">
        <v>5149</v>
      </c>
    </row>
    <row r="7470" spans="1:1" x14ac:dyDescent="0.25">
      <c r="A7470" t="s">
        <v>4947</v>
      </c>
    </row>
    <row r="7471" spans="1:1" x14ac:dyDescent="0.25">
      <c r="A7471" t="s">
        <v>5150</v>
      </c>
    </row>
    <row r="7472" spans="1:1" x14ac:dyDescent="0.25">
      <c r="A7472" t="s">
        <v>4991</v>
      </c>
    </row>
    <row r="7473" spans="1:1" x14ac:dyDescent="0.25">
      <c r="A7473" t="s">
        <v>4992</v>
      </c>
    </row>
    <row r="7474" spans="1:1" x14ac:dyDescent="0.25">
      <c r="A7474" t="s">
        <v>4950</v>
      </c>
    </row>
    <row r="7475" spans="1:1" x14ac:dyDescent="0.25">
      <c r="A7475" t="s">
        <v>4993</v>
      </c>
    </row>
    <row r="7476" spans="1:1" x14ac:dyDescent="0.25">
      <c r="A7476" t="s">
        <v>4994</v>
      </c>
    </row>
    <row r="7477" spans="1:1" x14ac:dyDescent="0.25">
      <c r="A7477" t="s">
        <v>4952</v>
      </c>
    </row>
    <row r="7478" spans="1:1" x14ac:dyDescent="0.25">
      <c r="A7478" t="s">
        <v>4995</v>
      </c>
    </row>
    <row r="7479" spans="1:1" x14ac:dyDescent="0.25">
      <c r="A7479" t="s">
        <v>4996</v>
      </c>
    </row>
    <row r="7480" spans="1:1" x14ac:dyDescent="0.25">
      <c r="A7480" t="s">
        <v>1790</v>
      </c>
    </row>
    <row r="7481" spans="1:1" x14ac:dyDescent="0.25">
      <c r="A7481" t="s">
        <v>1873</v>
      </c>
    </row>
    <row r="7482" spans="1:1" x14ac:dyDescent="0.25">
      <c r="A7482" t="s">
        <v>1874</v>
      </c>
    </row>
    <row r="7483" spans="1:1" x14ac:dyDescent="0.25">
      <c r="A7483" t="s">
        <v>5099</v>
      </c>
    </row>
    <row r="7484" spans="1:1" x14ac:dyDescent="0.25">
      <c r="A7484" t="s">
        <v>1794</v>
      </c>
    </row>
    <row r="7485" spans="1:1" x14ac:dyDescent="0.25">
      <c r="A7485" t="s">
        <v>4500</v>
      </c>
    </row>
    <row r="7486" spans="1:1" x14ac:dyDescent="0.25">
      <c r="A7486" t="s">
        <v>4501</v>
      </c>
    </row>
    <row r="7487" spans="1:1" x14ac:dyDescent="0.25">
      <c r="A7487" t="s">
        <v>1904</v>
      </c>
    </row>
    <row r="7488" spans="1:1" x14ac:dyDescent="0.25">
      <c r="A7488" t="s">
        <v>4997</v>
      </c>
    </row>
    <row r="7489" spans="1:1" x14ac:dyDescent="0.25">
      <c r="A7489" t="s">
        <v>4998</v>
      </c>
    </row>
    <row r="7490" spans="1:1" x14ac:dyDescent="0.25">
      <c r="A7490" t="s">
        <v>4999</v>
      </c>
    </row>
    <row r="7491" spans="1:1" x14ac:dyDescent="0.25">
      <c r="A7491" t="s">
        <v>5000</v>
      </c>
    </row>
    <row r="7492" spans="1:1" x14ac:dyDescent="0.25">
      <c r="A7492" t="s">
        <v>5001</v>
      </c>
    </row>
    <row r="7493" spans="1:1" x14ac:dyDescent="0.25">
      <c r="A7493" t="s">
        <v>5002</v>
      </c>
    </row>
    <row r="7494" spans="1:1" x14ac:dyDescent="0.25">
      <c r="A7494" t="s">
        <v>5003</v>
      </c>
    </row>
    <row r="7495" spans="1:1" x14ac:dyDescent="0.25">
      <c r="A7495" t="s">
        <v>5151</v>
      </c>
    </row>
    <row r="7496" spans="1:1" x14ac:dyDescent="0.25">
      <c r="A7496" t="s">
        <v>5152</v>
      </c>
    </row>
    <row r="7497" spans="1:1" x14ac:dyDescent="0.25">
      <c r="A7497" t="s">
        <v>5153</v>
      </c>
    </row>
    <row r="7498" spans="1:1" x14ac:dyDescent="0.25">
      <c r="A7498" t="s">
        <v>4961</v>
      </c>
    </row>
    <row r="7500" spans="1:1" x14ac:dyDescent="0.25">
      <c r="A7500" t="s">
        <v>3476</v>
      </c>
    </row>
    <row r="7502" spans="1:1" x14ac:dyDescent="0.25">
      <c r="A7502" t="s">
        <v>4947</v>
      </c>
    </row>
    <row r="7503" spans="1:1" x14ac:dyDescent="0.25">
      <c r="A7503" t="s">
        <v>5154</v>
      </c>
    </row>
    <row r="7504" spans="1:1" x14ac:dyDescent="0.25">
      <c r="A7504" t="s">
        <v>4949</v>
      </c>
    </row>
    <row r="7505" spans="1:1" x14ac:dyDescent="0.25">
      <c r="A7505" t="s">
        <v>4950</v>
      </c>
    </row>
    <row r="7506" spans="1:1" x14ac:dyDescent="0.25">
      <c r="A7506" t="s">
        <v>5104</v>
      </c>
    </row>
    <row r="7507" spans="1:1" x14ac:dyDescent="0.25">
      <c r="A7507" t="s">
        <v>4951</v>
      </c>
    </row>
    <row r="7508" spans="1:1" x14ac:dyDescent="0.25">
      <c r="A7508" t="s">
        <v>4952</v>
      </c>
    </row>
    <row r="7509" spans="1:1" x14ac:dyDescent="0.25">
      <c r="A7509" t="s">
        <v>5105</v>
      </c>
    </row>
    <row r="7510" spans="1:1" x14ac:dyDescent="0.25">
      <c r="A7510" t="s">
        <v>5106</v>
      </c>
    </row>
    <row r="7511" spans="1:1" x14ac:dyDescent="0.25">
      <c r="A7511" t="s">
        <v>5107</v>
      </c>
    </row>
    <row r="7512" spans="1:1" x14ac:dyDescent="0.25">
      <c r="A7512" t="s">
        <v>5108</v>
      </c>
    </row>
    <row r="7513" spans="1:1" x14ac:dyDescent="0.25">
      <c r="A7513" t="s">
        <v>5109</v>
      </c>
    </row>
    <row r="7514" spans="1:1" x14ac:dyDescent="0.25">
      <c r="A7514" t="s">
        <v>5110</v>
      </c>
    </row>
    <row r="7515" spans="1:1" x14ac:dyDescent="0.25">
      <c r="A7515" t="s">
        <v>5111</v>
      </c>
    </row>
    <row r="7516" spans="1:1" x14ac:dyDescent="0.25">
      <c r="A7516" t="s">
        <v>5112</v>
      </c>
    </row>
    <row r="7517" spans="1:1" x14ac:dyDescent="0.25">
      <c r="A7517" t="s">
        <v>5113</v>
      </c>
    </row>
    <row r="7518" spans="1:1" x14ac:dyDescent="0.25">
      <c r="A7518" t="s">
        <v>5114</v>
      </c>
    </row>
    <row r="7519" spans="1:1" x14ac:dyDescent="0.25">
      <c r="A7519" t="s">
        <v>4961</v>
      </c>
    </row>
    <row r="7520" spans="1:1" x14ac:dyDescent="0.25">
      <c r="A7520" t="s">
        <v>3565</v>
      </c>
    </row>
    <row r="7522" spans="1:1" x14ac:dyDescent="0.25">
      <c r="A7522" t="s">
        <v>2520</v>
      </c>
    </row>
    <row r="7524" spans="1:1" x14ac:dyDescent="0.25">
      <c r="A7524" t="s">
        <v>5155</v>
      </c>
    </row>
    <row r="7525" spans="1:1" x14ac:dyDescent="0.25">
      <c r="A7525" t="s">
        <v>4947</v>
      </c>
    </row>
    <row r="7526" spans="1:1" x14ac:dyDescent="0.25">
      <c r="A7526" t="s">
        <v>5156</v>
      </c>
    </row>
    <row r="7527" spans="1:1" x14ac:dyDescent="0.25">
      <c r="A7527" t="s">
        <v>4991</v>
      </c>
    </row>
    <row r="7528" spans="1:1" x14ac:dyDescent="0.25">
      <c r="A7528" t="s">
        <v>4992</v>
      </c>
    </row>
    <row r="7529" spans="1:1" x14ac:dyDescent="0.25">
      <c r="A7529" t="s">
        <v>4950</v>
      </c>
    </row>
    <row r="7530" spans="1:1" x14ac:dyDescent="0.25">
      <c r="A7530" t="s">
        <v>4993</v>
      </c>
    </row>
    <row r="7531" spans="1:1" x14ac:dyDescent="0.25">
      <c r="A7531" t="s">
        <v>4994</v>
      </c>
    </row>
    <row r="7532" spans="1:1" x14ac:dyDescent="0.25">
      <c r="A7532" t="s">
        <v>4952</v>
      </c>
    </row>
    <row r="7533" spans="1:1" x14ac:dyDescent="0.25">
      <c r="A7533" t="s">
        <v>5157</v>
      </c>
    </row>
    <row r="7534" spans="1:1" x14ac:dyDescent="0.25">
      <c r="A7534" t="s">
        <v>4996</v>
      </c>
    </row>
    <row r="7535" spans="1:1" x14ac:dyDescent="0.25">
      <c r="A7535" t="s">
        <v>1790</v>
      </c>
    </row>
    <row r="7536" spans="1:1" x14ac:dyDescent="0.25">
      <c r="A7536" t="s">
        <v>1873</v>
      </c>
    </row>
    <row r="7537" spans="1:1" x14ac:dyDescent="0.25">
      <c r="A7537" t="s">
        <v>1874</v>
      </c>
    </row>
    <row r="7538" spans="1:1" x14ac:dyDescent="0.25">
      <c r="A7538" t="s">
        <v>1875</v>
      </c>
    </row>
    <row r="7539" spans="1:1" x14ac:dyDescent="0.25">
      <c r="A7539" t="s">
        <v>1794</v>
      </c>
    </row>
    <row r="7540" spans="1:1" x14ac:dyDescent="0.25">
      <c r="A7540" t="s">
        <v>4500</v>
      </c>
    </row>
    <row r="7541" spans="1:1" x14ac:dyDescent="0.25">
      <c r="A7541" t="s">
        <v>4501</v>
      </c>
    </row>
    <row r="7542" spans="1:1" x14ac:dyDescent="0.25">
      <c r="A7542" t="s">
        <v>1904</v>
      </c>
    </row>
    <row r="7543" spans="1:1" x14ac:dyDescent="0.25">
      <c r="A7543" t="s">
        <v>4997</v>
      </c>
    </row>
    <row r="7544" spans="1:1" x14ac:dyDescent="0.25">
      <c r="A7544" t="s">
        <v>4998</v>
      </c>
    </row>
    <row r="7545" spans="1:1" x14ac:dyDescent="0.25">
      <c r="A7545" t="s">
        <v>4999</v>
      </c>
    </row>
    <row r="7546" spans="1:1" x14ac:dyDescent="0.25">
      <c r="A7546" t="s">
        <v>5000</v>
      </c>
    </row>
    <row r="7547" spans="1:1" x14ac:dyDescent="0.25">
      <c r="A7547" t="s">
        <v>5001</v>
      </c>
    </row>
    <row r="7548" spans="1:1" x14ac:dyDescent="0.25">
      <c r="A7548" t="s">
        <v>5002</v>
      </c>
    </row>
    <row r="7549" spans="1:1" x14ac:dyDescent="0.25">
      <c r="A7549" t="s">
        <v>5003</v>
      </c>
    </row>
    <row r="7550" spans="1:1" x14ac:dyDescent="0.25">
      <c r="A7550" t="s">
        <v>5158</v>
      </c>
    </row>
    <row r="7551" spans="1:1" x14ac:dyDescent="0.25">
      <c r="A7551" t="s">
        <v>5069</v>
      </c>
    </row>
    <row r="7552" spans="1:1" x14ac:dyDescent="0.25">
      <c r="A7552" t="s">
        <v>5070</v>
      </c>
    </row>
    <row r="7553" spans="1:1" x14ac:dyDescent="0.25">
      <c r="A7553" t="s">
        <v>5159</v>
      </c>
    </row>
    <row r="7554" spans="1:1" x14ac:dyDescent="0.25">
      <c r="A7554" t="s">
        <v>5160</v>
      </c>
    </row>
    <row r="7555" spans="1:1" x14ac:dyDescent="0.25">
      <c r="A7555" t="s">
        <v>4961</v>
      </c>
    </row>
    <row r="7557" spans="1:1" x14ac:dyDescent="0.25">
      <c r="A7557" t="s">
        <v>3476</v>
      </c>
    </row>
    <row r="7559" spans="1:1" x14ac:dyDescent="0.25">
      <c r="A7559" t="s">
        <v>4947</v>
      </c>
    </row>
    <row r="7560" spans="1:1" x14ac:dyDescent="0.25">
      <c r="A7560" t="s">
        <v>5161</v>
      </c>
    </row>
    <row r="7561" spans="1:1" x14ac:dyDescent="0.25">
      <c r="A7561" t="s">
        <v>5074</v>
      </c>
    </row>
    <row r="7562" spans="1:1" x14ac:dyDescent="0.25">
      <c r="A7562" t="s">
        <v>5162</v>
      </c>
    </row>
    <row r="7563" spans="1:1" x14ac:dyDescent="0.25">
      <c r="A7563" t="s">
        <v>4954</v>
      </c>
    </row>
    <row r="7564" spans="1:1" x14ac:dyDescent="0.25">
      <c r="A7564" t="s">
        <v>5076</v>
      </c>
    </row>
    <row r="7565" spans="1:1" x14ac:dyDescent="0.25">
      <c r="A7565" t="s">
        <v>5077</v>
      </c>
    </row>
    <row r="7566" spans="1:1" x14ac:dyDescent="0.25">
      <c r="A7566" t="s">
        <v>5078</v>
      </c>
    </row>
    <row r="7567" spans="1:1" x14ac:dyDescent="0.25">
      <c r="A7567" t="s">
        <v>5079</v>
      </c>
    </row>
    <row r="7568" spans="1:1" x14ac:dyDescent="0.25">
      <c r="A7568" t="s">
        <v>5080</v>
      </c>
    </row>
    <row r="7569" spans="1:1" x14ac:dyDescent="0.25">
      <c r="A7569" t="s">
        <v>4961</v>
      </c>
    </row>
    <row r="7571" spans="1:1" x14ac:dyDescent="0.25">
      <c r="A7571" t="s">
        <v>3476</v>
      </c>
    </row>
    <row r="7573" spans="1:1" x14ac:dyDescent="0.25">
      <c r="A7573" t="s">
        <v>4947</v>
      </c>
    </row>
    <row r="7574" spans="1:1" x14ac:dyDescent="0.25">
      <c r="A7574" t="s">
        <v>5163</v>
      </c>
    </row>
    <row r="7575" spans="1:1" x14ac:dyDescent="0.25">
      <c r="A7575" t="s">
        <v>5074</v>
      </c>
    </row>
    <row r="7576" spans="1:1" x14ac:dyDescent="0.25">
      <c r="A7576" t="s">
        <v>5082</v>
      </c>
    </row>
    <row r="7577" spans="1:1" x14ac:dyDescent="0.25">
      <c r="A7577" t="s">
        <v>4954</v>
      </c>
    </row>
    <row r="7578" spans="1:1" x14ac:dyDescent="0.25">
      <c r="A7578" t="s">
        <v>5083</v>
      </c>
    </row>
    <row r="7579" spans="1:1" x14ac:dyDescent="0.25">
      <c r="A7579" t="s">
        <v>5084</v>
      </c>
    </row>
    <row r="7580" spans="1:1" x14ac:dyDescent="0.25">
      <c r="A7580" t="s">
        <v>5085</v>
      </c>
    </row>
    <row r="7581" spans="1:1" x14ac:dyDescent="0.25">
      <c r="A7581" t="s">
        <v>5086</v>
      </c>
    </row>
    <row r="7582" spans="1:1" x14ac:dyDescent="0.25">
      <c r="A7582" t="s">
        <v>5087</v>
      </c>
    </row>
    <row r="7583" spans="1:1" x14ac:dyDescent="0.25">
      <c r="A7583" t="s">
        <v>4961</v>
      </c>
    </row>
    <row r="7585" spans="1:1" x14ac:dyDescent="0.25">
      <c r="A7585" t="s">
        <v>3476</v>
      </c>
    </row>
    <row r="7587" spans="1:1" x14ac:dyDescent="0.25">
      <c r="A7587" t="s">
        <v>4947</v>
      </c>
    </row>
    <row r="7588" spans="1:1" x14ac:dyDescent="0.25">
      <c r="A7588" t="s">
        <v>5164</v>
      </c>
    </row>
    <row r="7589" spans="1:1" x14ac:dyDescent="0.25">
      <c r="A7589" t="s">
        <v>5074</v>
      </c>
    </row>
    <row r="7590" spans="1:1" x14ac:dyDescent="0.25">
      <c r="A7590" t="s">
        <v>5089</v>
      </c>
    </row>
    <row r="7591" spans="1:1" x14ac:dyDescent="0.25">
      <c r="A7591" t="s">
        <v>4954</v>
      </c>
    </row>
    <row r="7592" spans="1:1" x14ac:dyDescent="0.25">
      <c r="A7592" t="s">
        <v>5076</v>
      </c>
    </row>
    <row r="7593" spans="1:1" x14ac:dyDescent="0.25">
      <c r="A7593" t="s">
        <v>5077</v>
      </c>
    </row>
    <row r="7594" spans="1:1" x14ac:dyDescent="0.25">
      <c r="A7594" t="s">
        <v>5078</v>
      </c>
    </row>
    <row r="7595" spans="1:1" x14ac:dyDescent="0.25">
      <c r="A7595" t="s">
        <v>5079</v>
      </c>
    </row>
    <row r="7596" spans="1:1" x14ac:dyDescent="0.25">
      <c r="A7596" t="s">
        <v>5080</v>
      </c>
    </row>
    <row r="7597" spans="1:1" x14ac:dyDescent="0.25">
      <c r="A7597" t="s">
        <v>4961</v>
      </c>
    </row>
    <row r="7599" spans="1:1" x14ac:dyDescent="0.25">
      <c r="A7599" t="s">
        <v>3476</v>
      </c>
    </row>
    <row r="7600" spans="1:1" x14ac:dyDescent="0.25">
      <c r="A7600" t="s">
        <v>3565</v>
      </c>
    </row>
    <row r="7601" spans="1:1" x14ac:dyDescent="0.25">
      <c r="A7601" t="s">
        <v>2521</v>
      </c>
    </row>
    <row r="7603" spans="1:1" x14ac:dyDescent="0.25">
      <c r="A7603" t="s">
        <v>5165</v>
      </c>
    </row>
    <row r="7604" spans="1:1" x14ac:dyDescent="0.25">
      <c r="A7604" t="s">
        <v>5166</v>
      </c>
    </row>
    <row r="7605" spans="1:1" x14ac:dyDescent="0.25">
      <c r="A7605" t="s">
        <v>5167</v>
      </c>
    </row>
    <row r="7606" spans="1:1" x14ac:dyDescent="0.25">
      <c r="A7606" t="s">
        <v>5168</v>
      </c>
    </row>
    <row r="7607" spans="1:1" x14ac:dyDescent="0.25">
      <c r="A7607" t="s">
        <v>4172</v>
      </c>
    </row>
    <row r="7608" spans="1:1" x14ac:dyDescent="0.25">
      <c r="A7608" t="s">
        <v>4435</v>
      </c>
    </row>
    <row r="7609" spans="1:1" x14ac:dyDescent="0.25">
      <c r="A7609" t="s">
        <v>5169</v>
      </c>
    </row>
    <row r="7610" spans="1:1" x14ac:dyDescent="0.25">
      <c r="A7610" t="s">
        <v>5170</v>
      </c>
    </row>
    <row r="7611" spans="1:1" x14ac:dyDescent="0.25">
      <c r="A7611" t="s">
        <v>5171</v>
      </c>
    </row>
    <row r="7612" spans="1:1" x14ac:dyDescent="0.25">
      <c r="A7612" t="s">
        <v>5172</v>
      </c>
    </row>
    <row r="7613" spans="1:1" x14ac:dyDescent="0.25">
      <c r="A7613" t="s">
        <v>5173</v>
      </c>
    </row>
    <row r="7614" spans="1:1" x14ac:dyDescent="0.25">
      <c r="A7614" t="s">
        <v>5174</v>
      </c>
    </row>
    <row r="7615" spans="1:1" x14ac:dyDescent="0.25">
      <c r="A7615" t="s">
        <v>5175</v>
      </c>
    </row>
    <row r="7616" spans="1:1" x14ac:dyDescent="0.25">
      <c r="A7616" t="s">
        <v>5176</v>
      </c>
    </row>
    <row r="7618" spans="1:1" x14ac:dyDescent="0.25">
      <c r="A7618" t="s">
        <v>2520</v>
      </c>
    </row>
    <row r="7620" spans="1:1" x14ac:dyDescent="0.25">
      <c r="A7620" t="s">
        <v>2459</v>
      </c>
    </row>
    <row r="7621" spans="1:1" x14ac:dyDescent="0.25">
      <c r="A7621" t="s">
        <v>5177</v>
      </c>
    </row>
    <row r="7622" spans="1:1" x14ac:dyDescent="0.25">
      <c r="A7622" t="s">
        <v>4388</v>
      </c>
    </row>
    <row r="7623" spans="1:1" x14ac:dyDescent="0.25">
      <c r="A7623" t="s">
        <v>5178</v>
      </c>
    </row>
    <row r="7624" spans="1:1" x14ac:dyDescent="0.25">
      <c r="A7624" t="s">
        <v>4390</v>
      </c>
    </row>
    <row r="7625" spans="1:1" x14ac:dyDescent="0.25">
      <c r="A7625" t="s">
        <v>5179</v>
      </c>
    </row>
    <row r="7626" spans="1:1" x14ac:dyDescent="0.25">
      <c r="A7626" t="s">
        <v>5180</v>
      </c>
    </row>
    <row r="7627" spans="1:1" x14ac:dyDescent="0.25">
      <c r="A7627" t="s">
        <v>5181</v>
      </c>
    </row>
    <row r="7628" spans="1:1" x14ac:dyDescent="0.25">
      <c r="A7628" t="s">
        <v>2519</v>
      </c>
    </row>
    <row r="7630" spans="1:1" x14ac:dyDescent="0.25">
      <c r="A7630" t="s">
        <v>2520</v>
      </c>
    </row>
    <row r="7632" spans="1:1" x14ac:dyDescent="0.25">
      <c r="A7632" t="s">
        <v>2459</v>
      </c>
    </row>
    <row r="7633" spans="1:1" x14ac:dyDescent="0.25">
      <c r="A7633" t="s">
        <v>5182</v>
      </c>
    </row>
    <row r="7634" spans="1:1" x14ac:dyDescent="0.25">
      <c r="A7634" t="s">
        <v>4339</v>
      </c>
    </row>
    <row r="7635" spans="1:1" x14ac:dyDescent="0.25">
      <c r="A7635" t="s">
        <v>4172</v>
      </c>
    </row>
    <row r="7636" spans="1:1" x14ac:dyDescent="0.25">
      <c r="A7636" t="s">
        <v>2463</v>
      </c>
    </row>
    <row r="7637" spans="1:1" x14ac:dyDescent="0.25">
      <c r="A7637" t="s">
        <v>4911</v>
      </c>
    </row>
    <row r="7638" spans="1:1" x14ac:dyDescent="0.25">
      <c r="A7638" t="s">
        <v>5183</v>
      </c>
    </row>
    <row r="7639" spans="1:1" x14ac:dyDescent="0.25">
      <c r="A7639" t="s">
        <v>5184</v>
      </c>
    </row>
    <row r="7640" spans="1:1" x14ac:dyDescent="0.25">
      <c r="A7640" t="s">
        <v>5185</v>
      </c>
    </row>
    <row r="7641" spans="1:1" x14ac:dyDescent="0.25">
      <c r="A7641" t="s">
        <v>5186</v>
      </c>
    </row>
    <row r="7642" spans="1:1" x14ac:dyDescent="0.25">
      <c r="A7642" t="s">
        <v>5187</v>
      </c>
    </row>
    <row r="7643" spans="1:1" x14ac:dyDescent="0.25">
      <c r="A7643" t="s">
        <v>5188</v>
      </c>
    </row>
    <row r="7644" spans="1:1" x14ac:dyDescent="0.25">
      <c r="A7644" t="s">
        <v>5189</v>
      </c>
    </row>
    <row r="7645" spans="1:1" x14ac:dyDescent="0.25">
      <c r="A7645" t="s">
        <v>5190</v>
      </c>
    </row>
    <row r="7646" spans="1:1" x14ac:dyDescent="0.25">
      <c r="A7646" t="s">
        <v>5191</v>
      </c>
    </row>
    <row r="7647" spans="1:1" x14ac:dyDescent="0.25">
      <c r="A7647" t="s">
        <v>5192</v>
      </c>
    </row>
    <row r="7648" spans="1:1" x14ac:dyDescent="0.25">
      <c r="A7648" t="s">
        <v>5193</v>
      </c>
    </row>
    <row r="7649" spans="1:1" x14ac:dyDescent="0.25">
      <c r="A7649" t="s">
        <v>5194</v>
      </c>
    </row>
    <row r="7650" spans="1:1" x14ac:dyDescent="0.25">
      <c r="A7650" t="s">
        <v>5195</v>
      </c>
    </row>
    <row r="7651" spans="1:1" x14ac:dyDescent="0.25">
      <c r="A7651" t="s">
        <v>5196</v>
      </c>
    </row>
    <row r="7652" spans="1:1" x14ac:dyDescent="0.25">
      <c r="A7652" t="s">
        <v>2519</v>
      </c>
    </row>
    <row r="7654" spans="1:1" x14ac:dyDescent="0.25">
      <c r="A7654" t="s">
        <v>2520</v>
      </c>
    </row>
    <row r="7656" spans="1:1" x14ac:dyDescent="0.25">
      <c r="A7656" t="s">
        <v>2459</v>
      </c>
    </row>
    <row r="7657" spans="1:1" x14ac:dyDescent="0.25">
      <c r="A7657" t="s">
        <v>5197</v>
      </c>
    </row>
    <row r="7658" spans="1:1" x14ac:dyDescent="0.25">
      <c r="A7658" t="s">
        <v>4339</v>
      </c>
    </row>
    <row r="7659" spans="1:1" x14ac:dyDescent="0.25">
      <c r="A7659" t="s">
        <v>4172</v>
      </c>
    </row>
    <row r="7660" spans="1:1" x14ac:dyDescent="0.25">
      <c r="A7660" t="s">
        <v>2463</v>
      </c>
    </row>
    <row r="7661" spans="1:1" x14ac:dyDescent="0.25">
      <c r="A7661" t="s">
        <v>4911</v>
      </c>
    </row>
    <row r="7662" spans="1:1" x14ac:dyDescent="0.25">
      <c r="A7662" t="s">
        <v>5198</v>
      </c>
    </row>
    <row r="7663" spans="1:1" x14ac:dyDescent="0.25">
      <c r="A7663" t="s">
        <v>5184</v>
      </c>
    </row>
    <row r="7664" spans="1:1" x14ac:dyDescent="0.25">
      <c r="A7664" t="s">
        <v>5190</v>
      </c>
    </row>
    <row r="7665" spans="1:1" x14ac:dyDescent="0.25">
      <c r="A7665" t="s">
        <v>5191</v>
      </c>
    </row>
    <row r="7666" spans="1:1" x14ac:dyDescent="0.25">
      <c r="A7666" t="s">
        <v>5192</v>
      </c>
    </row>
    <row r="7667" spans="1:1" x14ac:dyDescent="0.25">
      <c r="A7667" t="s">
        <v>5193</v>
      </c>
    </row>
    <row r="7668" spans="1:1" x14ac:dyDescent="0.25">
      <c r="A7668" t="s">
        <v>5194</v>
      </c>
    </row>
    <row r="7669" spans="1:1" x14ac:dyDescent="0.25">
      <c r="A7669" t="s">
        <v>5195</v>
      </c>
    </row>
    <row r="7670" spans="1:1" x14ac:dyDescent="0.25">
      <c r="A7670" t="s">
        <v>5196</v>
      </c>
    </row>
    <row r="7671" spans="1:1" x14ac:dyDescent="0.25">
      <c r="A7671" t="s">
        <v>5199</v>
      </c>
    </row>
    <row r="7672" spans="1:1" x14ac:dyDescent="0.25">
      <c r="A7672" t="s">
        <v>5200</v>
      </c>
    </row>
    <row r="7673" spans="1:1" x14ac:dyDescent="0.25">
      <c r="A7673" t="s">
        <v>5201</v>
      </c>
    </row>
    <row r="7674" spans="1:1" x14ac:dyDescent="0.25">
      <c r="A7674" t="s">
        <v>5202</v>
      </c>
    </row>
    <row r="7675" spans="1:1" x14ac:dyDescent="0.25">
      <c r="A7675" t="s">
        <v>5203</v>
      </c>
    </row>
    <row r="7676" spans="1:1" x14ac:dyDescent="0.25">
      <c r="A7676" t="s">
        <v>5204</v>
      </c>
    </row>
    <row r="7677" spans="1:1" x14ac:dyDescent="0.25">
      <c r="A7677" t="s">
        <v>5205</v>
      </c>
    </row>
    <row r="7678" spans="1:1" x14ac:dyDescent="0.25">
      <c r="A7678" t="s">
        <v>5206</v>
      </c>
    </row>
    <row r="7679" spans="1:1" x14ac:dyDescent="0.25">
      <c r="A7679" t="s">
        <v>2519</v>
      </c>
    </row>
    <row r="7680" spans="1:1" x14ac:dyDescent="0.25">
      <c r="A7680" t="s">
        <v>2521</v>
      </c>
    </row>
    <row r="7681" spans="1:1" x14ac:dyDescent="0.25">
      <c r="A7681" t="s">
        <v>3717</v>
      </c>
    </row>
    <row r="7682" spans="1:1" x14ac:dyDescent="0.25">
      <c r="A7682" t="s">
        <v>2749</v>
      </c>
    </row>
    <row r="7684" spans="1:1" x14ac:dyDescent="0.25">
      <c r="A7684" t="s">
        <v>1775</v>
      </c>
    </row>
    <row r="7686" spans="1:1" x14ac:dyDescent="0.25">
      <c r="A7686" t="s">
        <v>5207</v>
      </c>
    </row>
    <row r="7687" spans="1:1" x14ac:dyDescent="0.25">
      <c r="A7687" t="s">
        <v>2682</v>
      </c>
    </row>
    <row r="7688" spans="1:1" x14ac:dyDescent="0.25">
      <c r="A7688" t="s">
        <v>5208</v>
      </c>
    </row>
    <row r="7689" spans="1:1" x14ac:dyDescent="0.25">
      <c r="A7689" t="s">
        <v>5209</v>
      </c>
    </row>
    <row r="7690" spans="1:1" x14ac:dyDescent="0.25">
      <c r="A7690" t="s">
        <v>5210</v>
      </c>
    </row>
    <row r="7691" spans="1:1" x14ac:dyDescent="0.25">
      <c r="A7691" t="s">
        <v>5211</v>
      </c>
    </row>
    <row r="7692" spans="1:1" x14ac:dyDescent="0.25">
      <c r="A7692" t="s">
        <v>5212</v>
      </c>
    </row>
    <row r="7693" spans="1:1" x14ac:dyDescent="0.25">
      <c r="A7693" t="s">
        <v>5213</v>
      </c>
    </row>
    <row r="7694" spans="1:1" x14ac:dyDescent="0.25">
      <c r="A7694" t="s">
        <v>5214</v>
      </c>
    </row>
    <row r="7695" spans="1:1" x14ac:dyDescent="0.25">
      <c r="A7695" t="s">
        <v>2686</v>
      </c>
    </row>
    <row r="7697" spans="1:1" x14ac:dyDescent="0.25">
      <c r="A7697" t="s">
        <v>2440</v>
      </c>
    </row>
    <row r="7699" spans="1:1" x14ac:dyDescent="0.25">
      <c r="A7699" t="s">
        <v>2682</v>
      </c>
    </row>
    <row r="7700" spans="1:1" x14ac:dyDescent="0.25">
      <c r="A7700" t="s">
        <v>5215</v>
      </c>
    </row>
    <row r="7701" spans="1:1" x14ac:dyDescent="0.25">
      <c r="A7701" t="s">
        <v>5216</v>
      </c>
    </row>
    <row r="7702" spans="1:1" x14ac:dyDescent="0.25">
      <c r="A7702" t="s">
        <v>5217</v>
      </c>
    </row>
    <row r="7703" spans="1:1" x14ac:dyDescent="0.25">
      <c r="A7703" t="s">
        <v>5218</v>
      </c>
    </row>
    <row r="7704" spans="1:1" x14ac:dyDescent="0.25">
      <c r="A7704" t="s">
        <v>5219</v>
      </c>
    </row>
    <row r="7705" spans="1:1" x14ac:dyDescent="0.25">
      <c r="A7705" t="s">
        <v>5220</v>
      </c>
    </row>
    <row r="7706" spans="1:1" x14ac:dyDescent="0.25">
      <c r="A7706" t="s">
        <v>5221</v>
      </c>
    </row>
    <row r="7707" spans="1:1" x14ac:dyDescent="0.25">
      <c r="A7707" t="s">
        <v>5222</v>
      </c>
    </row>
    <row r="7708" spans="1:1" x14ac:dyDescent="0.25">
      <c r="A7708" t="s">
        <v>5223</v>
      </c>
    </row>
    <row r="7709" spans="1:1" x14ac:dyDescent="0.25">
      <c r="A7709" t="s">
        <v>5224</v>
      </c>
    </row>
    <row r="7710" spans="1:1" x14ac:dyDescent="0.25">
      <c r="A7710" t="s">
        <v>2686</v>
      </c>
    </row>
    <row r="7712" spans="1:1" x14ac:dyDescent="0.25">
      <c r="A7712" t="s">
        <v>2440</v>
      </c>
    </row>
    <row r="7714" spans="1:1" x14ac:dyDescent="0.25">
      <c r="A7714" t="s">
        <v>2682</v>
      </c>
    </row>
    <row r="7715" spans="1:1" x14ac:dyDescent="0.25">
      <c r="A7715" t="s">
        <v>5225</v>
      </c>
    </row>
    <row r="7716" spans="1:1" x14ac:dyDescent="0.25">
      <c r="A7716" t="s">
        <v>5226</v>
      </c>
    </row>
    <row r="7717" spans="1:1" x14ac:dyDescent="0.25">
      <c r="A7717" t="s">
        <v>5227</v>
      </c>
    </row>
    <row r="7718" spans="1:1" x14ac:dyDescent="0.25">
      <c r="A7718" t="s">
        <v>5228</v>
      </c>
    </row>
    <row r="7719" spans="1:1" x14ac:dyDescent="0.25">
      <c r="A7719" t="s">
        <v>5229</v>
      </c>
    </row>
    <row r="7720" spans="1:1" x14ac:dyDescent="0.25">
      <c r="A7720" t="s">
        <v>5230</v>
      </c>
    </row>
    <row r="7721" spans="1:1" x14ac:dyDescent="0.25">
      <c r="A7721" t="s">
        <v>2686</v>
      </c>
    </row>
    <row r="7723" spans="1:1" x14ac:dyDescent="0.25">
      <c r="A7723" t="s">
        <v>2440</v>
      </c>
    </row>
    <row r="7725" spans="1:1" x14ac:dyDescent="0.25">
      <c r="A7725" t="s">
        <v>4211</v>
      </c>
    </row>
    <row r="7726" spans="1:1" x14ac:dyDescent="0.25">
      <c r="A7726" t="s">
        <v>5231</v>
      </c>
    </row>
    <row r="7727" spans="1:1" x14ac:dyDescent="0.25">
      <c r="A7727" t="s">
        <v>5232</v>
      </c>
    </row>
    <row r="7728" spans="1:1" x14ac:dyDescent="0.25">
      <c r="A7728" t="s">
        <v>5233</v>
      </c>
    </row>
    <row r="7729" spans="1:1" x14ac:dyDescent="0.25">
      <c r="A7729" t="s">
        <v>2684</v>
      </c>
    </row>
    <row r="7730" spans="1:1" x14ac:dyDescent="0.25">
      <c r="A7730" t="s">
        <v>2664</v>
      </c>
    </row>
    <row r="7731" spans="1:1" x14ac:dyDescent="0.25">
      <c r="A7731" t="s">
        <v>4214</v>
      </c>
    </row>
    <row r="7732" spans="1:1" x14ac:dyDescent="0.25">
      <c r="A7732" t="s">
        <v>4215</v>
      </c>
    </row>
    <row r="7733" spans="1:1" x14ac:dyDescent="0.25">
      <c r="A7733" t="s">
        <v>4216</v>
      </c>
    </row>
    <row r="7734" spans="1:1" x14ac:dyDescent="0.25">
      <c r="A7734" t="s">
        <v>4217</v>
      </c>
    </row>
    <row r="7735" spans="1:1" x14ac:dyDescent="0.25">
      <c r="A7735" t="s">
        <v>4174</v>
      </c>
    </row>
    <row r="7736" spans="1:1" x14ac:dyDescent="0.25">
      <c r="A7736" t="s">
        <v>4218</v>
      </c>
    </row>
    <row r="7737" spans="1:1" x14ac:dyDescent="0.25">
      <c r="A7737" t="s">
        <v>4219</v>
      </c>
    </row>
    <row r="7738" spans="1:1" x14ac:dyDescent="0.25">
      <c r="A7738" t="s">
        <v>5234</v>
      </c>
    </row>
    <row r="7739" spans="1:1" x14ac:dyDescent="0.25">
      <c r="A7739" t="s">
        <v>5235</v>
      </c>
    </row>
    <row r="7740" spans="1:1" x14ac:dyDescent="0.25">
      <c r="A7740" t="s">
        <v>5236</v>
      </c>
    </row>
    <row r="7741" spans="1:1" x14ac:dyDescent="0.25">
      <c r="A7741" t="s">
        <v>5237</v>
      </c>
    </row>
    <row r="7742" spans="1:1" x14ac:dyDescent="0.25">
      <c r="A7742" t="s">
        <v>5238</v>
      </c>
    </row>
    <row r="7743" spans="1:1" x14ac:dyDescent="0.25">
      <c r="A7743" t="s">
        <v>5239</v>
      </c>
    </row>
    <row r="7744" spans="1:1" x14ac:dyDescent="0.25">
      <c r="A7744" t="s">
        <v>5240</v>
      </c>
    </row>
    <row r="7745" spans="1:1" x14ac:dyDescent="0.25">
      <c r="A7745" t="s">
        <v>5241</v>
      </c>
    </row>
    <row r="7746" spans="1:1" x14ac:dyDescent="0.25">
      <c r="A7746" t="s">
        <v>5242</v>
      </c>
    </row>
    <row r="7747" spans="1:1" x14ac:dyDescent="0.25">
      <c r="A7747" t="s">
        <v>5243</v>
      </c>
    </row>
    <row r="7748" spans="1:1" x14ac:dyDescent="0.25">
      <c r="A7748" t="s">
        <v>4231</v>
      </c>
    </row>
    <row r="7750" spans="1:1" x14ac:dyDescent="0.25">
      <c r="A7750" t="s">
        <v>2440</v>
      </c>
    </row>
    <row r="7752" spans="1:1" x14ac:dyDescent="0.25">
      <c r="A7752" t="s">
        <v>2682</v>
      </c>
    </row>
    <row r="7753" spans="1:1" x14ac:dyDescent="0.25">
      <c r="A7753" t="s">
        <v>5244</v>
      </c>
    </row>
    <row r="7754" spans="1:1" x14ac:dyDescent="0.25">
      <c r="A7754" t="s">
        <v>2446</v>
      </c>
    </row>
    <row r="7755" spans="1:1" x14ac:dyDescent="0.25">
      <c r="A7755" t="s">
        <v>5245</v>
      </c>
    </row>
    <row r="7756" spans="1:1" x14ac:dyDescent="0.25">
      <c r="A7756" t="s">
        <v>3361</v>
      </c>
    </row>
    <row r="7757" spans="1:1" x14ac:dyDescent="0.25">
      <c r="A7757" t="s">
        <v>2448</v>
      </c>
    </row>
    <row r="7758" spans="1:1" x14ac:dyDescent="0.25">
      <c r="A7758" t="s">
        <v>5246</v>
      </c>
    </row>
    <row r="7759" spans="1:1" x14ac:dyDescent="0.25">
      <c r="A7759" t="s">
        <v>2453</v>
      </c>
    </row>
    <row r="7761" spans="1:1" x14ac:dyDescent="0.25">
      <c r="A7761" t="s">
        <v>5247</v>
      </c>
    </row>
    <row r="7762" spans="1:1" x14ac:dyDescent="0.25">
      <c r="A7762" t="s">
        <v>5248</v>
      </c>
    </row>
    <row r="7763" spans="1:1" x14ac:dyDescent="0.25">
      <c r="A7763" t="s">
        <v>5249</v>
      </c>
    </row>
    <row r="7764" spans="1:1" x14ac:dyDescent="0.25">
      <c r="A7764" t="s">
        <v>2686</v>
      </c>
    </row>
    <row r="7766" spans="1:1" x14ac:dyDescent="0.25">
      <c r="A7766" t="s">
        <v>2440</v>
      </c>
    </row>
    <row r="7768" spans="1:1" x14ac:dyDescent="0.25">
      <c r="A7768" t="s">
        <v>2682</v>
      </c>
    </row>
    <row r="7769" spans="1:1" x14ac:dyDescent="0.25">
      <c r="A7769" t="s">
        <v>5250</v>
      </c>
    </row>
    <row r="7770" spans="1:1" x14ac:dyDescent="0.25">
      <c r="A7770" t="s">
        <v>5251</v>
      </c>
    </row>
    <row r="7771" spans="1:1" x14ac:dyDescent="0.25">
      <c r="A7771" t="s">
        <v>5252</v>
      </c>
    </row>
    <row r="7772" spans="1:1" x14ac:dyDescent="0.25">
      <c r="A7772" t="s">
        <v>5253</v>
      </c>
    </row>
    <row r="7773" spans="1:1" x14ac:dyDescent="0.25">
      <c r="A7773" t="s">
        <v>5254</v>
      </c>
    </row>
    <row r="7774" spans="1:1" x14ac:dyDescent="0.25">
      <c r="A7774" t="s">
        <v>5255</v>
      </c>
    </row>
    <row r="7775" spans="1:1" x14ac:dyDescent="0.25">
      <c r="A7775" t="s">
        <v>5256</v>
      </c>
    </row>
    <row r="7776" spans="1:1" x14ac:dyDescent="0.25">
      <c r="A7776" t="s">
        <v>5257</v>
      </c>
    </row>
    <row r="7777" spans="1:1" x14ac:dyDescent="0.25">
      <c r="A7777" t="s">
        <v>5258</v>
      </c>
    </row>
    <row r="7778" spans="1:1" x14ac:dyDescent="0.25">
      <c r="A7778" t="s">
        <v>5259</v>
      </c>
    </row>
    <row r="7779" spans="1:1" x14ac:dyDescent="0.25">
      <c r="A7779" t="s">
        <v>5260</v>
      </c>
    </row>
    <row r="7780" spans="1:1" x14ac:dyDescent="0.25">
      <c r="A7780" t="s">
        <v>5261</v>
      </c>
    </row>
    <row r="7781" spans="1:1" x14ac:dyDescent="0.25">
      <c r="A7781" t="s">
        <v>5262</v>
      </c>
    </row>
    <row r="7782" spans="1:1" x14ac:dyDescent="0.25">
      <c r="A7782" t="s">
        <v>5263</v>
      </c>
    </row>
    <row r="7783" spans="1:1" x14ac:dyDescent="0.25">
      <c r="A7783" t="s">
        <v>5264</v>
      </c>
    </row>
    <row r="7784" spans="1:1" x14ac:dyDescent="0.25">
      <c r="A7784" t="s">
        <v>5230</v>
      </c>
    </row>
    <row r="7785" spans="1:1" x14ac:dyDescent="0.25">
      <c r="A7785" t="s">
        <v>2686</v>
      </c>
    </row>
    <row r="7787" spans="1:1" x14ac:dyDescent="0.25">
      <c r="A7787" t="s">
        <v>2440</v>
      </c>
    </row>
    <row r="7789" spans="1:1" x14ac:dyDescent="0.25">
      <c r="A7789" t="s">
        <v>3789</v>
      </c>
    </row>
    <row r="7790" spans="1:1" x14ac:dyDescent="0.25">
      <c r="A7790" t="s">
        <v>5265</v>
      </c>
    </row>
    <row r="7791" spans="1:1" x14ac:dyDescent="0.25">
      <c r="A7791" t="s">
        <v>5266</v>
      </c>
    </row>
    <row r="7792" spans="1:1" x14ac:dyDescent="0.25">
      <c r="A7792" t="s">
        <v>5267</v>
      </c>
    </row>
    <row r="7793" spans="1:1" x14ac:dyDescent="0.25">
      <c r="A7793" t="s">
        <v>5268</v>
      </c>
    </row>
    <row r="7794" spans="1:1" x14ac:dyDescent="0.25">
      <c r="A7794" t="s">
        <v>5269</v>
      </c>
    </row>
    <row r="7795" spans="1:1" x14ac:dyDescent="0.25">
      <c r="A7795" t="s">
        <v>5270</v>
      </c>
    </row>
    <row r="7796" spans="1:1" x14ac:dyDescent="0.25">
      <c r="A7796" t="s">
        <v>5271</v>
      </c>
    </row>
    <row r="7797" spans="1:1" x14ac:dyDescent="0.25">
      <c r="A7797" t="s">
        <v>5272</v>
      </c>
    </row>
    <row r="7798" spans="1:1" x14ac:dyDescent="0.25">
      <c r="A7798" t="s">
        <v>5273</v>
      </c>
    </row>
    <row r="7799" spans="1:1" x14ac:dyDescent="0.25">
      <c r="A7799" t="s">
        <v>5274</v>
      </c>
    </row>
    <row r="7800" spans="1:1" x14ac:dyDescent="0.25">
      <c r="A7800" t="s">
        <v>5275</v>
      </c>
    </row>
    <row r="7801" spans="1:1" x14ac:dyDescent="0.25">
      <c r="A7801" t="s">
        <v>5276</v>
      </c>
    </row>
    <row r="7802" spans="1:1" x14ac:dyDescent="0.25">
      <c r="A7802" t="s">
        <v>5277</v>
      </c>
    </row>
    <row r="7803" spans="1:1" x14ac:dyDescent="0.25">
      <c r="A7803" t="s">
        <v>3951</v>
      </c>
    </row>
    <row r="7804" spans="1:1" x14ac:dyDescent="0.25">
      <c r="A7804" t="s">
        <v>5278</v>
      </c>
    </row>
    <row r="7805" spans="1:1" x14ac:dyDescent="0.25">
      <c r="A7805" t="s">
        <v>2664</v>
      </c>
    </row>
    <row r="7806" spans="1:1" x14ac:dyDescent="0.25">
      <c r="A7806" t="s">
        <v>4174</v>
      </c>
    </row>
    <row r="7807" spans="1:1" x14ac:dyDescent="0.25">
      <c r="A7807" t="s">
        <v>3952</v>
      </c>
    </row>
    <row r="7808" spans="1:1" x14ac:dyDescent="0.25">
      <c r="A7808" t="s">
        <v>5279</v>
      </c>
    </row>
    <row r="7809" spans="1:1" x14ac:dyDescent="0.25">
      <c r="A7809" t="s">
        <v>5280</v>
      </c>
    </row>
    <row r="7810" spans="1:1" x14ac:dyDescent="0.25">
      <c r="A7810" t="s">
        <v>5281</v>
      </c>
    </row>
    <row r="7811" spans="1:1" x14ac:dyDescent="0.25">
      <c r="A7811" t="s">
        <v>5282</v>
      </c>
    </row>
    <row r="7812" spans="1:1" x14ac:dyDescent="0.25">
      <c r="A7812" t="s">
        <v>1877</v>
      </c>
    </row>
    <row r="7813" spans="1:1" x14ac:dyDescent="0.25">
      <c r="A7813" t="s">
        <v>5283</v>
      </c>
    </row>
    <row r="7814" spans="1:1" x14ac:dyDescent="0.25">
      <c r="A7814" t="s">
        <v>5284</v>
      </c>
    </row>
    <row r="7815" spans="1:1" x14ac:dyDescent="0.25">
      <c r="A7815" t="s">
        <v>5285</v>
      </c>
    </row>
    <row r="7817" spans="1:1" x14ac:dyDescent="0.25">
      <c r="A7817" t="s">
        <v>5286</v>
      </c>
    </row>
    <row r="7818" spans="1:1" x14ac:dyDescent="0.25">
      <c r="A7818" t="s">
        <v>5287</v>
      </c>
    </row>
    <row r="7819" spans="1:1" x14ac:dyDescent="0.25">
      <c r="A7819" t="s">
        <v>5288</v>
      </c>
    </row>
    <row r="7821" spans="1:1" x14ac:dyDescent="0.25">
      <c r="A7821" t="s">
        <v>5289</v>
      </c>
    </row>
    <row r="7822" spans="1:1" x14ac:dyDescent="0.25">
      <c r="A7822" t="s">
        <v>5290</v>
      </c>
    </row>
    <row r="7823" spans="1:1" x14ac:dyDescent="0.25">
      <c r="A7823" t="s">
        <v>5291</v>
      </c>
    </row>
    <row r="7824" spans="1:1" x14ac:dyDescent="0.25">
      <c r="A7824" t="s">
        <v>5292</v>
      </c>
    </row>
    <row r="7825" spans="1:1" x14ac:dyDescent="0.25">
      <c r="A7825" t="s">
        <v>5293</v>
      </c>
    </row>
    <row r="7826" spans="1:1" x14ac:dyDescent="0.25">
      <c r="A7826" t="s">
        <v>1893</v>
      </c>
    </row>
    <row r="7828" spans="1:1" x14ac:dyDescent="0.25">
      <c r="A7828" t="s">
        <v>5294</v>
      </c>
    </row>
    <row r="7829" spans="1:1" x14ac:dyDescent="0.25">
      <c r="A7829" t="s">
        <v>5295</v>
      </c>
    </row>
    <row r="7831" spans="1:1" x14ac:dyDescent="0.25">
      <c r="A7831" t="s">
        <v>5296</v>
      </c>
    </row>
    <row r="7832" spans="1:1" x14ac:dyDescent="0.25">
      <c r="A7832" t="s">
        <v>5297</v>
      </c>
    </row>
    <row r="7833" spans="1:1" x14ac:dyDescent="0.25">
      <c r="A7833" t="s">
        <v>1788</v>
      </c>
    </row>
    <row r="7835" spans="1:1" x14ac:dyDescent="0.25">
      <c r="A7835" t="s">
        <v>1789</v>
      </c>
    </row>
    <row r="7836" spans="1:1" x14ac:dyDescent="0.25">
      <c r="A7836" t="s">
        <v>1904</v>
      </c>
    </row>
    <row r="7837" spans="1:1" x14ac:dyDescent="0.25">
      <c r="A7837" t="s">
        <v>5298</v>
      </c>
    </row>
    <row r="7838" spans="1:1" x14ac:dyDescent="0.25">
      <c r="A7838" t="s">
        <v>5299</v>
      </c>
    </row>
    <row r="7839" spans="1:1" x14ac:dyDescent="0.25">
      <c r="A7839" t="s">
        <v>5300</v>
      </c>
    </row>
    <row r="7840" spans="1:1" x14ac:dyDescent="0.25">
      <c r="A7840" t="s">
        <v>5301</v>
      </c>
    </row>
    <row r="7841" spans="1:1" x14ac:dyDescent="0.25">
      <c r="A7841" t="s">
        <v>5302</v>
      </c>
    </row>
    <row r="7842" spans="1:1" x14ac:dyDescent="0.25">
      <c r="A7842" t="s">
        <v>5303</v>
      </c>
    </row>
    <row r="7843" spans="1:1" x14ac:dyDescent="0.25">
      <c r="A7843" t="s">
        <v>5304</v>
      </c>
    </row>
    <row r="7844" spans="1:1" x14ac:dyDescent="0.25">
      <c r="A7844" t="s">
        <v>5305</v>
      </c>
    </row>
    <row r="7845" spans="1:1" x14ac:dyDescent="0.25">
      <c r="A7845" t="s">
        <v>5306</v>
      </c>
    </row>
    <row r="7846" spans="1:1" x14ac:dyDescent="0.25">
      <c r="A7846" t="s">
        <v>5307</v>
      </c>
    </row>
    <row r="7847" spans="1:1" x14ac:dyDescent="0.25">
      <c r="A7847" t="s">
        <v>5308</v>
      </c>
    </row>
    <row r="7848" spans="1:1" x14ac:dyDescent="0.25">
      <c r="A7848" t="s">
        <v>5309</v>
      </c>
    </row>
    <row r="7849" spans="1:1" x14ac:dyDescent="0.25">
      <c r="A7849" t="s">
        <v>5310</v>
      </c>
    </row>
    <row r="7850" spans="1:1" x14ac:dyDescent="0.25">
      <c r="A7850" t="s">
        <v>5311</v>
      </c>
    </row>
    <row r="7851" spans="1:1" x14ac:dyDescent="0.25">
      <c r="A7851" t="s">
        <v>5312</v>
      </c>
    </row>
    <row r="7852" spans="1:1" x14ac:dyDescent="0.25">
      <c r="A7852" t="s">
        <v>5313</v>
      </c>
    </row>
    <row r="7853" spans="1:1" x14ac:dyDescent="0.25">
      <c r="A7853" t="s">
        <v>5314</v>
      </c>
    </row>
    <row r="7854" spans="1:1" x14ac:dyDescent="0.25">
      <c r="A7854" t="s">
        <v>5315</v>
      </c>
    </row>
    <row r="7855" spans="1:1" x14ac:dyDescent="0.25">
      <c r="A7855" t="s">
        <v>5316</v>
      </c>
    </row>
    <row r="7856" spans="1:1" x14ac:dyDescent="0.25">
      <c r="A7856" t="s">
        <v>3801</v>
      </c>
    </row>
    <row r="7858" spans="1:1" x14ac:dyDescent="0.25">
      <c r="A7858" t="s">
        <v>2440</v>
      </c>
    </row>
    <row r="7860" spans="1:1" x14ac:dyDescent="0.25">
      <c r="A7860" t="s">
        <v>3789</v>
      </c>
    </row>
    <row r="7861" spans="1:1" x14ac:dyDescent="0.25">
      <c r="A7861" t="s">
        <v>5317</v>
      </c>
    </row>
    <row r="7862" spans="1:1" x14ac:dyDescent="0.25">
      <c r="A7862" t="s">
        <v>5266</v>
      </c>
    </row>
    <row r="7863" spans="1:1" x14ac:dyDescent="0.25">
      <c r="A7863" t="s">
        <v>5267</v>
      </c>
    </row>
    <row r="7864" spans="1:1" x14ac:dyDescent="0.25">
      <c r="A7864" t="s">
        <v>5318</v>
      </c>
    </row>
    <row r="7865" spans="1:1" x14ac:dyDescent="0.25">
      <c r="A7865" t="s">
        <v>5319</v>
      </c>
    </row>
    <row r="7866" spans="1:1" x14ac:dyDescent="0.25">
      <c r="A7866" t="s">
        <v>5270</v>
      </c>
    </row>
    <row r="7867" spans="1:1" x14ac:dyDescent="0.25">
      <c r="A7867" t="s">
        <v>5271</v>
      </c>
    </row>
    <row r="7868" spans="1:1" x14ac:dyDescent="0.25">
      <c r="A7868" t="s">
        <v>5272</v>
      </c>
    </row>
    <row r="7869" spans="1:1" x14ac:dyDescent="0.25">
      <c r="A7869" t="s">
        <v>5273</v>
      </c>
    </row>
    <row r="7870" spans="1:1" x14ac:dyDescent="0.25">
      <c r="A7870" t="s">
        <v>5274</v>
      </c>
    </row>
    <row r="7871" spans="1:1" x14ac:dyDescent="0.25">
      <c r="A7871" t="s">
        <v>5275</v>
      </c>
    </row>
    <row r="7872" spans="1:1" x14ac:dyDescent="0.25">
      <c r="A7872" t="s">
        <v>5276</v>
      </c>
    </row>
    <row r="7873" spans="1:1" x14ac:dyDescent="0.25">
      <c r="A7873" t="s">
        <v>5277</v>
      </c>
    </row>
    <row r="7874" spans="1:1" x14ac:dyDescent="0.25">
      <c r="A7874" t="s">
        <v>3951</v>
      </c>
    </row>
    <row r="7875" spans="1:1" x14ac:dyDescent="0.25">
      <c r="A7875" t="s">
        <v>2664</v>
      </c>
    </row>
    <row r="7876" spans="1:1" x14ac:dyDescent="0.25">
      <c r="A7876" t="s">
        <v>4174</v>
      </c>
    </row>
    <row r="7877" spans="1:1" x14ac:dyDescent="0.25">
      <c r="A7877" t="s">
        <v>3952</v>
      </c>
    </row>
    <row r="7878" spans="1:1" x14ac:dyDescent="0.25">
      <c r="A7878" t="s">
        <v>5279</v>
      </c>
    </row>
    <row r="7879" spans="1:1" x14ac:dyDescent="0.25">
      <c r="A7879" t="s">
        <v>5320</v>
      </c>
    </row>
    <row r="7880" spans="1:1" x14ac:dyDescent="0.25">
      <c r="A7880" t="s">
        <v>5321</v>
      </c>
    </row>
    <row r="7881" spans="1:1" x14ac:dyDescent="0.25">
      <c r="A7881" t="s">
        <v>5322</v>
      </c>
    </row>
    <row r="7882" spans="1:1" x14ac:dyDescent="0.25">
      <c r="A7882" t="s">
        <v>5323</v>
      </c>
    </row>
    <row r="7883" spans="1:1" x14ac:dyDescent="0.25">
      <c r="A7883" t="s">
        <v>5324</v>
      </c>
    </row>
    <row r="7884" spans="1:1" x14ac:dyDescent="0.25">
      <c r="A7884" t="s">
        <v>5325</v>
      </c>
    </row>
    <row r="7885" spans="1:1" x14ac:dyDescent="0.25">
      <c r="A7885" t="s">
        <v>5326</v>
      </c>
    </row>
    <row r="7886" spans="1:1" x14ac:dyDescent="0.25">
      <c r="A7886" t="s">
        <v>5327</v>
      </c>
    </row>
    <row r="7887" spans="1:1" x14ac:dyDescent="0.25">
      <c r="A7887" t="s">
        <v>5328</v>
      </c>
    </row>
    <row r="7888" spans="1:1" x14ac:dyDescent="0.25">
      <c r="A7888" t="s">
        <v>5329</v>
      </c>
    </row>
    <row r="7889" spans="1:1" x14ac:dyDescent="0.25">
      <c r="A7889" t="s">
        <v>5330</v>
      </c>
    </row>
    <row r="7890" spans="1:1" x14ac:dyDescent="0.25">
      <c r="A7890" t="s">
        <v>5331</v>
      </c>
    </row>
    <row r="7891" spans="1:1" x14ac:dyDescent="0.25">
      <c r="A7891" t="s">
        <v>5332</v>
      </c>
    </row>
    <row r="7892" spans="1:1" x14ac:dyDescent="0.25">
      <c r="A7892" t="s">
        <v>5333</v>
      </c>
    </row>
    <row r="7893" spans="1:1" x14ac:dyDescent="0.25">
      <c r="A7893" t="s">
        <v>5334</v>
      </c>
    </row>
    <row r="7894" spans="1:1" x14ac:dyDescent="0.25">
      <c r="A7894" t="s">
        <v>5335</v>
      </c>
    </row>
    <row r="7895" spans="1:1" x14ac:dyDescent="0.25">
      <c r="A7895" t="s">
        <v>5336</v>
      </c>
    </row>
    <row r="7896" spans="1:1" x14ac:dyDescent="0.25">
      <c r="A7896" t="s">
        <v>5337</v>
      </c>
    </row>
    <row r="7897" spans="1:1" x14ac:dyDescent="0.25">
      <c r="A7897" t="s">
        <v>5338</v>
      </c>
    </row>
    <row r="7898" spans="1:1" x14ac:dyDescent="0.25">
      <c r="A7898" t="s">
        <v>5339</v>
      </c>
    </row>
    <row r="7899" spans="1:1" x14ac:dyDescent="0.25">
      <c r="A7899" t="s">
        <v>5316</v>
      </c>
    </row>
    <row r="7900" spans="1:1" x14ac:dyDescent="0.25">
      <c r="A7900" t="s">
        <v>3801</v>
      </c>
    </row>
    <row r="7902" spans="1:1" x14ac:dyDescent="0.25">
      <c r="A7902" t="s">
        <v>2440</v>
      </c>
    </row>
    <row r="7904" spans="1:1" x14ac:dyDescent="0.25">
      <c r="A7904" t="s">
        <v>2682</v>
      </c>
    </row>
    <row r="7905" spans="1:1" x14ac:dyDescent="0.25">
      <c r="A7905" t="s">
        <v>5340</v>
      </c>
    </row>
    <row r="7906" spans="1:1" x14ac:dyDescent="0.25">
      <c r="A7906" t="s">
        <v>2664</v>
      </c>
    </row>
    <row r="7907" spans="1:1" x14ac:dyDescent="0.25">
      <c r="A7907" t="s">
        <v>5341</v>
      </c>
    </row>
    <row r="7908" spans="1:1" x14ac:dyDescent="0.25">
      <c r="A7908" t="s">
        <v>3343</v>
      </c>
    </row>
    <row r="7909" spans="1:1" x14ac:dyDescent="0.25">
      <c r="A7909" t="s">
        <v>5342</v>
      </c>
    </row>
    <row r="7910" spans="1:1" x14ac:dyDescent="0.25">
      <c r="A7910" t="s">
        <v>5343</v>
      </c>
    </row>
    <row r="7911" spans="1:1" x14ac:dyDescent="0.25">
      <c r="A7911" t="s">
        <v>5344</v>
      </c>
    </row>
    <row r="7912" spans="1:1" x14ac:dyDescent="0.25">
      <c r="A7912" t="s">
        <v>5345</v>
      </c>
    </row>
    <row r="7913" spans="1:1" x14ac:dyDescent="0.25">
      <c r="A7913" t="s">
        <v>5346</v>
      </c>
    </row>
    <row r="7914" spans="1:1" x14ac:dyDescent="0.25">
      <c r="A7914" t="s">
        <v>5347</v>
      </c>
    </row>
    <row r="7915" spans="1:1" x14ac:dyDescent="0.25">
      <c r="A7915" t="s">
        <v>5348</v>
      </c>
    </row>
    <row r="7916" spans="1:1" x14ac:dyDescent="0.25">
      <c r="A7916" t="s">
        <v>5349</v>
      </c>
    </row>
    <row r="7917" spans="1:1" x14ac:dyDescent="0.25">
      <c r="A7917" t="s">
        <v>5350</v>
      </c>
    </row>
    <row r="7918" spans="1:1" x14ac:dyDescent="0.25">
      <c r="A7918" t="s">
        <v>5351</v>
      </c>
    </row>
    <row r="7919" spans="1:1" x14ac:dyDescent="0.25">
      <c r="A7919" t="s">
        <v>5352</v>
      </c>
    </row>
    <row r="7920" spans="1:1" x14ac:dyDescent="0.25">
      <c r="A7920" t="s">
        <v>5353</v>
      </c>
    </row>
    <row r="7921" spans="1:1" x14ac:dyDescent="0.25">
      <c r="A7921" t="s">
        <v>5354</v>
      </c>
    </row>
    <row r="7922" spans="1:1" x14ac:dyDescent="0.25">
      <c r="A7922" t="s">
        <v>5355</v>
      </c>
    </row>
    <row r="7923" spans="1:1" x14ac:dyDescent="0.25">
      <c r="A7923" t="s">
        <v>5356</v>
      </c>
    </row>
    <row r="7924" spans="1:1" x14ac:dyDescent="0.25">
      <c r="A7924" t="s">
        <v>5357</v>
      </c>
    </row>
    <row r="7925" spans="1:1" x14ac:dyDescent="0.25">
      <c r="A7925" t="s">
        <v>5358</v>
      </c>
    </row>
    <row r="7926" spans="1:1" x14ac:dyDescent="0.25">
      <c r="A7926" t="s">
        <v>5359</v>
      </c>
    </row>
    <row r="7927" spans="1:1" x14ac:dyDescent="0.25">
      <c r="A7927" t="s">
        <v>5360</v>
      </c>
    </row>
    <row r="7928" spans="1:1" x14ac:dyDescent="0.25">
      <c r="A7928" t="s">
        <v>5361</v>
      </c>
    </row>
    <row r="7929" spans="1:1" x14ac:dyDescent="0.25">
      <c r="A7929" t="s">
        <v>2686</v>
      </c>
    </row>
    <row r="7931" spans="1:1" x14ac:dyDescent="0.25">
      <c r="A7931" t="s">
        <v>2440</v>
      </c>
    </row>
    <row r="7933" spans="1:1" x14ac:dyDescent="0.25">
      <c r="A7933" t="s">
        <v>2682</v>
      </c>
    </row>
    <row r="7934" spans="1:1" x14ac:dyDescent="0.25">
      <c r="A7934" t="s">
        <v>5362</v>
      </c>
    </row>
    <row r="7935" spans="1:1" x14ac:dyDescent="0.25">
      <c r="A7935" t="s">
        <v>4174</v>
      </c>
    </row>
    <row r="7936" spans="1:1" x14ac:dyDescent="0.25">
      <c r="A7936" t="s">
        <v>5363</v>
      </c>
    </row>
    <row r="7937" spans="1:1" x14ac:dyDescent="0.25">
      <c r="A7937" t="s">
        <v>3343</v>
      </c>
    </row>
    <row r="7938" spans="1:1" x14ac:dyDescent="0.25">
      <c r="A7938" t="s">
        <v>5364</v>
      </c>
    </row>
    <row r="7939" spans="1:1" x14ac:dyDescent="0.25">
      <c r="A7939" t="s">
        <v>5365</v>
      </c>
    </row>
    <row r="7940" spans="1:1" x14ac:dyDescent="0.25">
      <c r="A7940" t="s">
        <v>5366</v>
      </c>
    </row>
    <row r="7941" spans="1:1" x14ac:dyDescent="0.25">
      <c r="A7941" t="s">
        <v>5367</v>
      </c>
    </row>
    <row r="7942" spans="1:1" x14ac:dyDescent="0.25">
      <c r="A7942" t="s">
        <v>5368</v>
      </c>
    </row>
    <row r="7943" spans="1:1" x14ac:dyDescent="0.25">
      <c r="A7943" t="s">
        <v>5369</v>
      </c>
    </row>
    <row r="7944" spans="1:1" x14ac:dyDescent="0.25">
      <c r="A7944" t="s">
        <v>5370</v>
      </c>
    </row>
    <row r="7945" spans="1:1" x14ac:dyDescent="0.25">
      <c r="A7945" t="s">
        <v>5371</v>
      </c>
    </row>
    <row r="7946" spans="1:1" x14ac:dyDescent="0.25">
      <c r="A7946" t="s">
        <v>5372</v>
      </c>
    </row>
    <row r="7947" spans="1:1" x14ac:dyDescent="0.25">
      <c r="A7947" t="s">
        <v>5373</v>
      </c>
    </row>
    <row r="7948" spans="1:1" x14ac:dyDescent="0.25">
      <c r="A7948" t="s">
        <v>5374</v>
      </c>
    </row>
    <row r="7949" spans="1:1" x14ac:dyDescent="0.25">
      <c r="A7949" t="s">
        <v>5375</v>
      </c>
    </row>
    <row r="7950" spans="1:1" x14ac:dyDescent="0.25">
      <c r="A7950" t="s">
        <v>5376</v>
      </c>
    </row>
    <row r="7951" spans="1:1" x14ac:dyDescent="0.25">
      <c r="A7951" t="s">
        <v>5377</v>
      </c>
    </row>
    <row r="7952" spans="1:1" x14ac:dyDescent="0.25">
      <c r="A7952" t="s">
        <v>5378</v>
      </c>
    </row>
    <row r="7953" spans="1:1" x14ac:dyDescent="0.25">
      <c r="A7953" t="s">
        <v>5379</v>
      </c>
    </row>
    <row r="7954" spans="1:1" x14ac:dyDescent="0.25">
      <c r="A7954" t="s">
        <v>5380</v>
      </c>
    </row>
    <row r="7955" spans="1:1" x14ac:dyDescent="0.25">
      <c r="A7955" t="s">
        <v>5381</v>
      </c>
    </row>
    <row r="7956" spans="1:1" x14ac:dyDescent="0.25">
      <c r="A7956" t="s">
        <v>5382</v>
      </c>
    </row>
    <row r="7957" spans="1:1" x14ac:dyDescent="0.25">
      <c r="A7957" t="s">
        <v>5383</v>
      </c>
    </row>
    <row r="7958" spans="1:1" x14ac:dyDescent="0.25">
      <c r="A7958" t="s">
        <v>5384</v>
      </c>
    </row>
    <row r="7959" spans="1:1" x14ac:dyDescent="0.25">
      <c r="A7959" t="s">
        <v>5385</v>
      </c>
    </row>
    <row r="7960" spans="1:1" x14ac:dyDescent="0.25">
      <c r="A7960" t="s">
        <v>5386</v>
      </c>
    </row>
    <row r="7961" spans="1:1" x14ac:dyDescent="0.25">
      <c r="A7961" t="s">
        <v>5387</v>
      </c>
    </row>
    <row r="7962" spans="1:1" x14ac:dyDescent="0.25">
      <c r="A7962" t="s">
        <v>5388</v>
      </c>
    </row>
    <row r="7963" spans="1:1" x14ac:dyDescent="0.25">
      <c r="A7963" t="s">
        <v>2686</v>
      </c>
    </row>
    <row r="7965" spans="1:1" x14ac:dyDescent="0.25">
      <c r="A7965" t="s">
        <v>2440</v>
      </c>
    </row>
    <row r="7967" spans="1:1" x14ac:dyDescent="0.25">
      <c r="A7967" t="s">
        <v>2682</v>
      </c>
    </row>
    <row r="7968" spans="1:1" x14ac:dyDescent="0.25">
      <c r="A7968" t="s">
        <v>5389</v>
      </c>
    </row>
    <row r="7969" spans="1:1" x14ac:dyDescent="0.25">
      <c r="A7969" t="s">
        <v>4174</v>
      </c>
    </row>
    <row r="7970" spans="1:1" x14ac:dyDescent="0.25">
      <c r="A7970" t="s">
        <v>5363</v>
      </c>
    </row>
    <row r="7971" spans="1:1" x14ac:dyDescent="0.25">
      <c r="A7971" t="s">
        <v>3343</v>
      </c>
    </row>
    <row r="7972" spans="1:1" x14ac:dyDescent="0.25">
      <c r="A7972" t="s">
        <v>5390</v>
      </c>
    </row>
    <row r="7973" spans="1:1" x14ac:dyDescent="0.25">
      <c r="A7973" t="s">
        <v>5382</v>
      </c>
    </row>
    <row r="7974" spans="1:1" x14ac:dyDescent="0.25">
      <c r="A7974" t="s">
        <v>5383</v>
      </c>
    </row>
    <row r="7975" spans="1:1" x14ac:dyDescent="0.25">
      <c r="A7975" t="s">
        <v>5384</v>
      </c>
    </row>
    <row r="7976" spans="1:1" x14ac:dyDescent="0.25">
      <c r="A7976" t="s">
        <v>5385</v>
      </c>
    </row>
    <row r="7977" spans="1:1" x14ac:dyDescent="0.25">
      <c r="A7977" t="s">
        <v>5386</v>
      </c>
    </row>
    <row r="7978" spans="1:1" x14ac:dyDescent="0.25">
      <c r="A7978" t="s">
        <v>5387</v>
      </c>
    </row>
    <row r="7979" spans="1:1" x14ac:dyDescent="0.25">
      <c r="A7979" t="s">
        <v>5388</v>
      </c>
    </row>
    <row r="7980" spans="1:1" x14ac:dyDescent="0.25">
      <c r="A7980" t="s">
        <v>5391</v>
      </c>
    </row>
    <row r="7981" spans="1:1" x14ac:dyDescent="0.25">
      <c r="A7981" t="s">
        <v>5392</v>
      </c>
    </row>
    <row r="7982" spans="1:1" x14ac:dyDescent="0.25">
      <c r="A7982" t="s">
        <v>5393</v>
      </c>
    </row>
    <row r="7983" spans="1:1" x14ac:dyDescent="0.25">
      <c r="A7983" t="s">
        <v>5394</v>
      </c>
    </row>
    <row r="7984" spans="1:1" x14ac:dyDescent="0.25">
      <c r="A7984" t="s">
        <v>5395</v>
      </c>
    </row>
    <row r="7985" spans="1:2" x14ac:dyDescent="0.25">
      <c r="A7985" t="s">
        <v>2686</v>
      </c>
    </row>
    <row r="7987" spans="1:2" x14ac:dyDescent="0.25">
      <c r="A7987" t="s">
        <v>2440</v>
      </c>
    </row>
    <row r="7989" spans="1:2" x14ac:dyDescent="0.25">
      <c r="A7989" t="s">
        <v>5396</v>
      </c>
    </row>
    <row r="7991" spans="1:2" x14ac:dyDescent="0.25">
      <c r="A7991" t="s">
        <v>2440</v>
      </c>
    </row>
    <row r="7993" spans="1:2" x14ac:dyDescent="0.25">
      <c r="A7993" t="s">
        <v>2682</v>
      </c>
    </row>
    <row r="7994" spans="1:2" x14ac:dyDescent="0.25">
      <c r="A7994" t="s">
        <v>5397</v>
      </c>
    </row>
    <row r="7995" spans="1:2" x14ac:dyDescent="0.25">
      <c r="A7995" t="s">
        <v>2446</v>
      </c>
    </row>
    <row r="7996" spans="1:2" x14ac:dyDescent="0.25">
      <c r="A7996" t="s">
        <v>5398</v>
      </c>
    </row>
    <row r="7997" spans="1:2" x14ac:dyDescent="0.25">
      <c r="A7997" t="s">
        <v>3361</v>
      </c>
    </row>
    <row r="7998" spans="1:2" x14ac:dyDescent="0.25">
      <c r="A7998" t="s">
        <v>2448</v>
      </c>
    </row>
    <row r="7999" spans="1:2" x14ac:dyDescent="0.25">
      <c r="A7999" t="s">
        <v>2434</v>
      </c>
    </row>
    <row r="8000" spans="1:2" x14ac:dyDescent="0.25">
      <c r="B8000" t="s">
        <v>5399</v>
      </c>
    </row>
    <row r="8001" spans="1:3" x14ac:dyDescent="0.25">
      <c r="C8001" t="s">
        <v>5400</v>
      </c>
    </row>
    <row r="8002" spans="1:3" x14ac:dyDescent="0.25">
      <c r="A8002" t="s">
        <v>2453</v>
      </c>
    </row>
    <row r="8004" spans="1:3" x14ac:dyDescent="0.25">
      <c r="A8004" t="s">
        <v>5401</v>
      </c>
    </row>
    <row r="8005" spans="1:3" x14ac:dyDescent="0.25">
      <c r="A8005" t="s">
        <v>5402</v>
      </c>
    </row>
    <row r="8006" spans="1:3" x14ac:dyDescent="0.25">
      <c r="A8006" t="s">
        <v>5403</v>
      </c>
    </row>
    <row r="8007" spans="1:3" x14ac:dyDescent="0.25">
      <c r="A8007" t="s">
        <v>5404</v>
      </c>
    </row>
    <row r="8008" spans="1:3" x14ac:dyDescent="0.25">
      <c r="A8008" t="s">
        <v>5405</v>
      </c>
    </row>
    <row r="8009" spans="1:3" x14ac:dyDescent="0.25">
      <c r="A8009" t="s">
        <v>2686</v>
      </c>
    </row>
    <row r="8011" spans="1:3" x14ac:dyDescent="0.25">
      <c r="A8011" t="s">
        <v>2440</v>
      </c>
    </row>
    <row r="8013" spans="1:3" x14ac:dyDescent="0.25">
      <c r="A8013" t="s">
        <v>5406</v>
      </c>
    </row>
    <row r="8015" spans="1:3" x14ac:dyDescent="0.25">
      <c r="A8015" t="s">
        <v>2440</v>
      </c>
    </row>
    <row r="8017" spans="1:3" x14ac:dyDescent="0.25">
      <c r="A8017" t="s">
        <v>2682</v>
      </c>
    </row>
    <row r="8018" spans="1:3" x14ac:dyDescent="0.25">
      <c r="A8018" t="s">
        <v>5407</v>
      </c>
    </row>
    <row r="8019" spans="1:3" x14ac:dyDescent="0.25">
      <c r="A8019" t="s">
        <v>2446</v>
      </c>
    </row>
    <row r="8020" spans="1:3" x14ac:dyDescent="0.25">
      <c r="A8020" t="s">
        <v>5408</v>
      </c>
    </row>
    <row r="8021" spans="1:3" x14ac:dyDescent="0.25">
      <c r="A8021" t="s">
        <v>3361</v>
      </c>
    </row>
    <row r="8022" spans="1:3" x14ac:dyDescent="0.25">
      <c r="A8022" t="s">
        <v>2448</v>
      </c>
    </row>
    <row r="8023" spans="1:3" x14ac:dyDescent="0.25">
      <c r="A8023" t="s">
        <v>5409</v>
      </c>
    </row>
    <row r="8024" spans="1:3" x14ac:dyDescent="0.25">
      <c r="B8024" t="s">
        <v>5410</v>
      </c>
    </row>
    <row r="8025" spans="1:3" x14ac:dyDescent="0.25">
      <c r="C8025" t="s">
        <v>5411</v>
      </c>
    </row>
    <row r="8026" spans="1:3" x14ac:dyDescent="0.25">
      <c r="A8026" t="s">
        <v>2453</v>
      </c>
    </row>
    <row r="8028" spans="1:3" x14ac:dyDescent="0.25">
      <c r="A8028" t="s">
        <v>5412</v>
      </c>
    </row>
    <row r="8029" spans="1:3" x14ac:dyDescent="0.25">
      <c r="A8029" t="s">
        <v>5413</v>
      </c>
    </row>
    <row r="8030" spans="1:3" x14ac:dyDescent="0.25">
      <c r="A8030" t="s">
        <v>2686</v>
      </c>
    </row>
    <row r="8032" spans="1:3" x14ac:dyDescent="0.25">
      <c r="A8032" t="s">
        <v>2440</v>
      </c>
    </row>
    <row r="8034" spans="1:3" x14ac:dyDescent="0.25">
      <c r="A8034" t="s">
        <v>5414</v>
      </c>
    </row>
    <row r="8036" spans="1:3" x14ac:dyDescent="0.25">
      <c r="A8036" t="s">
        <v>2440</v>
      </c>
    </row>
    <row r="8038" spans="1:3" x14ac:dyDescent="0.25">
      <c r="A8038" t="s">
        <v>2682</v>
      </c>
    </row>
    <row r="8039" spans="1:3" x14ac:dyDescent="0.25">
      <c r="A8039" t="s">
        <v>5415</v>
      </c>
    </row>
    <row r="8040" spans="1:3" x14ac:dyDescent="0.25">
      <c r="A8040" t="s">
        <v>2446</v>
      </c>
    </row>
    <row r="8041" spans="1:3" x14ac:dyDescent="0.25">
      <c r="A8041" t="s">
        <v>5416</v>
      </c>
    </row>
    <row r="8042" spans="1:3" x14ac:dyDescent="0.25">
      <c r="A8042" t="s">
        <v>3361</v>
      </c>
    </row>
    <row r="8043" spans="1:3" x14ac:dyDescent="0.25">
      <c r="A8043" t="s">
        <v>2448</v>
      </c>
    </row>
    <row r="8044" spans="1:3" x14ac:dyDescent="0.25">
      <c r="A8044" t="s">
        <v>2389</v>
      </c>
    </row>
    <row r="8045" spans="1:3" x14ac:dyDescent="0.25">
      <c r="B8045" t="s">
        <v>5417</v>
      </c>
    </row>
    <row r="8046" spans="1:3" x14ac:dyDescent="0.25">
      <c r="C8046" t="s">
        <v>5418</v>
      </c>
    </row>
    <row r="8047" spans="1:3" x14ac:dyDescent="0.25">
      <c r="A8047" t="s">
        <v>2453</v>
      </c>
    </row>
    <row r="8049" spans="1:1" x14ac:dyDescent="0.25">
      <c r="A8049" t="s">
        <v>5419</v>
      </c>
    </row>
    <row r="8050" spans="1:1" x14ac:dyDescent="0.25">
      <c r="A8050" t="s">
        <v>5420</v>
      </c>
    </row>
    <row r="8051" spans="1:1" x14ac:dyDescent="0.25">
      <c r="A8051" t="s">
        <v>5421</v>
      </c>
    </row>
    <row r="8052" spans="1:1" x14ac:dyDescent="0.25">
      <c r="A8052" t="s">
        <v>2686</v>
      </c>
    </row>
    <row r="8054" spans="1:1" x14ac:dyDescent="0.25">
      <c r="A8054" t="s">
        <v>2440</v>
      </c>
    </row>
    <row r="8056" spans="1:1" x14ac:dyDescent="0.25">
      <c r="A8056" t="s">
        <v>5422</v>
      </c>
    </row>
    <row r="8058" spans="1:1" x14ac:dyDescent="0.25">
      <c r="A8058" t="s">
        <v>2440</v>
      </c>
    </row>
    <row r="8060" spans="1:1" x14ac:dyDescent="0.25">
      <c r="A8060" t="s">
        <v>2682</v>
      </c>
    </row>
    <row r="8061" spans="1:1" x14ac:dyDescent="0.25">
      <c r="A8061" t="s">
        <v>5423</v>
      </c>
    </row>
    <row r="8062" spans="1:1" x14ac:dyDescent="0.25">
      <c r="A8062" t="s">
        <v>2446</v>
      </c>
    </row>
    <row r="8063" spans="1:1" x14ac:dyDescent="0.25">
      <c r="A8063" t="s">
        <v>5424</v>
      </c>
    </row>
    <row r="8064" spans="1:1" x14ac:dyDescent="0.25">
      <c r="A8064" t="s">
        <v>3361</v>
      </c>
    </row>
    <row r="8065" spans="1:3" x14ac:dyDescent="0.25">
      <c r="A8065" t="s">
        <v>2448</v>
      </c>
    </row>
    <row r="8066" spans="1:3" x14ac:dyDescent="0.25">
      <c r="A8066" t="s">
        <v>5409</v>
      </c>
    </row>
    <row r="8067" spans="1:3" x14ac:dyDescent="0.25">
      <c r="B8067" t="s">
        <v>5425</v>
      </c>
    </row>
    <row r="8068" spans="1:3" x14ac:dyDescent="0.25">
      <c r="C8068" t="s">
        <v>5426</v>
      </c>
    </row>
    <row r="8069" spans="1:3" x14ac:dyDescent="0.25">
      <c r="A8069" t="s">
        <v>2453</v>
      </c>
    </row>
    <row r="8071" spans="1:3" x14ac:dyDescent="0.25">
      <c r="A8071" t="s">
        <v>5427</v>
      </c>
    </row>
    <row r="8072" spans="1:3" x14ac:dyDescent="0.25">
      <c r="A8072" t="s">
        <v>5428</v>
      </c>
    </row>
    <row r="8073" spans="1:3" x14ac:dyDescent="0.25">
      <c r="A8073" t="s">
        <v>2686</v>
      </c>
    </row>
    <row r="8075" spans="1:3" x14ac:dyDescent="0.25">
      <c r="A8075" t="s">
        <v>2440</v>
      </c>
    </row>
    <row r="8077" spans="1:3" x14ac:dyDescent="0.25">
      <c r="A8077" t="s">
        <v>5429</v>
      </c>
    </row>
    <row r="8079" spans="1:3" x14ac:dyDescent="0.25">
      <c r="A8079" t="s">
        <v>2440</v>
      </c>
    </row>
    <row r="8081" spans="1:3" x14ac:dyDescent="0.25">
      <c r="A8081" t="s">
        <v>2682</v>
      </c>
    </row>
    <row r="8082" spans="1:3" x14ac:dyDescent="0.25">
      <c r="A8082" t="s">
        <v>5430</v>
      </c>
    </row>
    <row r="8083" spans="1:3" x14ac:dyDescent="0.25">
      <c r="A8083" t="s">
        <v>2446</v>
      </c>
    </row>
    <row r="8084" spans="1:3" x14ac:dyDescent="0.25">
      <c r="A8084" t="s">
        <v>5431</v>
      </c>
    </row>
    <row r="8085" spans="1:3" x14ac:dyDescent="0.25">
      <c r="A8085" t="s">
        <v>3361</v>
      </c>
    </row>
    <row r="8086" spans="1:3" x14ac:dyDescent="0.25">
      <c r="A8086" t="s">
        <v>2448</v>
      </c>
    </row>
    <row r="8087" spans="1:3" x14ac:dyDescent="0.25">
      <c r="A8087" t="s">
        <v>2389</v>
      </c>
    </row>
    <row r="8088" spans="1:3" x14ac:dyDescent="0.25">
      <c r="B8088" t="s">
        <v>5432</v>
      </c>
    </row>
    <row r="8089" spans="1:3" x14ac:dyDescent="0.25">
      <c r="C8089" t="s">
        <v>5433</v>
      </c>
    </row>
    <row r="8090" spans="1:3" x14ac:dyDescent="0.25">
      <c r="A8090" t="s">
        <v>2453</v>
      </c>
    </row>
    <row r="8092" spans="1:3" x14ac:dyDescent="0.25">
      <c r="A8092" t="s">
        <v>5434</v>
      </c>
    </row>
    <row r="8093" spans="1:3" x14ac:dyDescent="0.25">
      <c r="A8093" t="s">
        <v>5435</v>
      </c>
    </row>
    <row r="8094" spans="1:3" x14ac:dyDescent="0.25">
      <c r="A8094" t="s">
        <v>5436</v>
      </c>
    </row>
    <row r="8095" spans="1:3" x14ac:dyDescent="0.25">
      <c r="A8095" t="s">
        <v>2686</v>
      </c>
    </row>
    <row r="8097" spans="1:3" x14ac:dyDescent="0.25">
      <c r="A8097" t="s">
        <v>2440</v>
      </c>
    </row>
    <row r="8099" spans="1:3" x14ac:dyDescent="0.25">
      <c r="A8099" t="s">
        <v>5437</v>
      </c>
    </row>
    <row r="8101" spans="1:3" x14ac:dyDescent="0.25">
      <c r="A8101" t="s">
        <v>2440</v>
      </c>
    </row>
    <row r="8103" spans="1:3" x14ac:dyDescent="0.25">
      <c r="A8103" t="s">
        <v>2682</v>
      </c>
    </row>
    <row r="8104" spans="1:3" x14ac:dyDescent="0.25">
      <c r="A8104" t="s">
        <v>5438</v>
      </c>
    </row>
    <row r="8105" spans="1:3" x14ac:dyDescent="0.25">
      <c r="A8105" t="s">
        <v>2446</v>
      </c>
    </row>
    <row r="8106" spans="1:3" x14ac:dyDescent="0.25">
      <c r="A8106" t="s">
        <v>5439</v>
      </c>
    </row>
    <row r="8107" spans="1:3" x14ac:dyDescent="0.25">
      <c r="A8107" t="s">
        <v>3361</v>
      </c>
    </row>
    <row r="8108" spans="1:3" x14ac:dyDescent="0.25">
      <c r="A8108" t="s">
        <v>2448</v>
      </c>
    </row>
    <row r="8109" spans="1:3" x14ac:dyDescent="0.25">
      <c r="A8109" t="s">
        <v>2434</v>
      </c>
    </row>
    <row r="8110" spans="1:3" x14ac:dyDescent="0.25">
      <c r="B8110" t="s">
        <v>5440</v>
      </c>
    </row>
    <row r="8111" spans="1:3" x14ac:dyDescent="0.25">
      <c r="C8111" t="s">
        <v>5441</v>
      </c>
    </row>
    <row r="8112" spans="1:3" x14ac:dyDescent="0.25">
      <c r="A8112" t="s">
        <v>2453</v>
      </c>
    </row>
    <row r="8114" spans="1:1" x14ac:dyDescent="0.25">
      <c r="A8114" t="s">
        <v>5442</v>
      </c>
    </row>
    <row r="8115" spans="1:1" x14ac:dyDescent="0.25">
      <c r="A8115" t="s">
        <v>5443</v>
      </c>
    </row>
    <row r="8116" spans="1:1" x14ac:dyDescent="0.25">
      <c r="A8116" t="s">
        <v>5444</v>
      </c>
    </row>
    <row r="8117" spans="1:1" x14ac:dyDescent="0.25">
      <c r="A8117" t="s">
        <v>5445</v>
      </c>
    </row>
    <row r="8118" spans="1:1" x14ac:dyDescent="0.25">
      <c r="A8118" t="s">
        <v>5446</v>
      </c>
    </row>
    <row r="8119" spans="1:1" x14ac:dyDescent="0.25">
      <c r="A8119" t="s">
        <v>2686</v>
      </c>
    </row>
    <row r="8121" spans="1:1" x14ac:dyDescent="0.25">
      <c r="A8121" t="s">
        <v>2440</v>
      </c>
    </row>
    <row r="8123" spans="1:1" x14ac:dyDescent="0.25">
      <c r="A8123" t="s">
        <v>5447</v>
      </c>
    </row>
    <row r="8125" spans="1:1" x14ac:dyDescent="0.25">
      <c r="A8125" t="s">
        <v>2440</v>
      </c>
    </row>
    <row r="8127" spans="1:1" x14ac:dyDescent="0.25">
      <c r="A8127" t="s">
        <v>2682</v>
      </c>
    </row>
    <row r="8128" spans="1:1" x14ac:dyDescent="0.25">
      <c r="A8128" t="s">
        <v>5448</v>
      </c>
    </row>
    <row r="8129" spans="1:3" x14ac:dyDescent="0.25">
      <c r="A8129" t="s">
        <v>2446</v>
      </c>
    </row>
    <row r="8130" spans="1:3" x14ac:dyDescent="0.25">
      <c r="A8130" t="s">
        <v>5449</v>
      </c>
    </row>
    <row r="8131" spans="1:3" x14ac:dyDescent="0.25">
      <c r="A8131" t="s">
        <v>3361</v>
      </c>
    </row>
    <row r="8132" spans="1:3" x14ac:dyDescent="0.25">
      <c r="A8132" t="s">
        <v>2448</v>
      </c>
    </row>
    <row r="8133" spans="1:3" x14ac:dyDescent="0.25">
      <c r="A8133" t="s">
        <v>2389</v>
      </c>
    </row>
    <row r="8134" spans="1:3" x14ac:dyDescent="0.25">
      <c r="B8134" t="s">
        <v>5450</v>
      </c>
    </row>
    <row r="8135" spans="1:3" x14ac:dyDescent="0.25">
      <c r="C8135" t="s">
        <v>5451</v>
      </c>
    </row>
    <row r="8136" spans="1:3" x14ac:dyDescent="0.25">
      <c r="A8136" t="s">
        <v>2453</v>
      </c>
    </row>
    <row r="8138" spans="1:3" x14ac:dyDescent="0.25">
      <c r="A8138" t="s">
        <v>5452</v>
      </c>
    </row>
    <row r="8139" spans="1:3" x14ac:dyDescent="0.25">
      <c r="A8139" t="s">
        <v>5453</v>
      </c>
    </row>
    <row r="8140" spans="1:3" x14ac:dyDescent="0.25">
      <c r="A8140" t="s">
        <v>5454</v>
      </c>
    </row>
    <row r="8141" spans="1:3" x14ac:dyDescent="0.25">
      <c r="A8141" t="s">
        <v>2686</v>
      </c>
    </row>
    <row r="8143" spans="1:3" x14ac:dyDescent="0.25">
      <c r="A8143" t="s">
        <v>2440</v>
      </c>
    </row>
    <row r="8145" spans="1:3" x14ac:dyDescent="0.25">
      <c r="A8145" t="s">
        <v>5455</v>
      </c>
    </row>
    <row r="8147" spans="1:3" x14ac:dyDescent="0.25">
      <c r="A8147" t="s">
        <v>2440</v>
      </c>
    </row>
    <row r="8149" spans="1:3" x14ac:dyDescent="0.25">
      <c r="A8149" t="s">
        <v>2682</v>
      </c>
    </row>
    <row r="8150" spans="1:3" x14ac:dyDescent="0.25">
      <c r="A8150" t="s">
        <v>5456</v>
      </c>
    </row>
    <row r="8151" spans="1:3" x14ac:dyDescent="0.25">
      <c r="A8151" t="s">
        <v>2446</v>
      </c>
    </row>
    <row r="8152" spans="1:3" x14ac:dyDescent="0.25">
      <c r="A8152" t="s">
        <v>5457</v>
      </c>
    </row>
    <row r="8153" spans="1:3" x14ac:dyDescent="0.25">
      <c r="A8153" t="s">
        <v>3361</v>
      </c>
    </row>
    <row r="8154" spans="1:3" x14ac:dyDescent="0.25">
      <c r="A8154" t="s">
        <v>2448</v>
      </c>
    </row>
    <row r="8155" spans="1:3" x14ac:dyDescent="0.25">
      <c r="A8155" t="s">
        <v>5458</v>
      </c>
    </row>
    <row r="8156" spans="1:3" x14ac:dyDescent="0.25">
      <c r="B8156" t="s">
        <v>5459</v>
      </c>
    </row>
    <row r="8157" spans="1:3" x14ac:dyDescent="0.25">
      <c r="C8157" t="s">
        <v>5460</v>
      </c>
    </row>
    <row r="8158" spans="1:3" x14ac:dyDescent="0.25">
      <c r="A8158" t="s">
        <v>2453</v>
      </c>
    </row>
    <row r="8160" spans="1:3" x14ac:dyDescent="0.25">
      <c r="A8160" t="s">
        <v>5461</v>
      </c>
    </row>
    <row r="8161" spans="1:1" x14ac:dyDescent="0.25">
      <c r="A8161" t="s">
        <v>5462</v>
      </c>
    </row>
    <row r="8162" spans="1:1" x14ac:dyDescent="0.25">
      <c r="A8162" t="s">
        <v>5463</v>
      </c>
    </row>
    <row r="8163" spans="1:1" x14ac:dyDescent="0.25">
      <c r="A8163" t="s">
        <v>5464</v>
      </c>
    </row>
    <row r="8164" spans="1:1" x14ac:dyDescent="0.25">
      <c r="A8164" t="s">
        <v>2686</v>
      </c>
    </row>
    <row r="8166" spans="1:1" x14ac:dyDescent="0.25">
      <c r="A8166" t="s">
        <v>2440</v>
      </c>
    </row>
    <row r="8168" spans="1:1" x14ac:dyDescent="0.25">
      <c r="A8168" t="s">
        <v>5465</v>
      </c>
    </row>
    <row r="8169" spans="1:1" x14ac:dyDescent="0.25">
      <c r="A8169" t="s">
        <v>5466</v>
      </c>
    </row>
    <row r="8170" spans="1:1" x14ac:dyDescent="0.25">
      <c r="A8170" t="s">
        <v>1942</v>
      </c>
    </row>
    <row r="8172" spans="1:1" x14ac:dyDescent="0.25">
      <c r="A8172" t="s">
        <v>2440</v>
      </c>
    </row>
    <row r="8174" spans="1:1" x14ac:dyDescent="0.25">
      <c r="A8174" t="s">
        <v>5467</v>
      </c>
    </row>
    <row r="8175" spans="1:1" x14ac:dyDescent="0.25">
      <c r="A8175" t="s">
        <v>5468</v>
      </c>
    </row>
    <row r="8177" spans="1:1" x14ac:dyDescent="0.25">
      <c r="A8177" t="s">
        <v>2440</v>
      </c>
    </row>
    <row r="8179" spans="1:1" x14ac:dyDescent="0.25">
      <c r="A8179" t="s">
        <v>5469</v>
      </c>
    </row>
    <row r="8181" spans="1:1" x14ac:dyDescent="0.25">
      <c r="A8181" t="s">
        <v>2440</v>
      </c>
    </row>
    <row r="8183" spans="1:1" x14ac:dyDescent="0.25">
      <c r="A8183" t="s">
        <v>2442</v>
      </c>
    </row>
    <row r="8184" spans="1:1" x14ac:dyDescent="0.25">
      <c r="A8184" t="s">
        <v>5470</v>
      </c>
    </row>
    <row r="8185" spans="1:1" x14ac:dyDescent="0.25">
      <c r="A8185" t="s">
        <v>2444</v>
      </c>
    </row>
    <row r="8186" spans="1:1" x14ac:dyDescent="0.25">
      <c r="A8186" t="s">
        <v>5471</v>
      </c>
    </row>
    <row r="8187" spans="1:1" x14ac:dyDescent="0.25">
      <c r="A8187" t="s">
        <v>2446</v>
      </c>
    </row>
    <row r="8188" spans="1:1" x14ac:dyDescent="0.25">
      <c r="A8188" t="s">
        <v>5472</v>
      </c>
    </row>
    <row r="8189" spans="1:1" x14ac:dyDescent="0.25">
      <c r="A8189" t="s">
        <v>2448</v>
      </c>
    </row>
    <row r="8190" spans="1:1" x14ac:dyDescent="0.25">
      <c r="A8190" t="s">
        <v>2449</v>
      </c>
    </row>
    <row r="8191" spans="1:1" x14ac:dyDescent="0.25">
      <c r="A8191" t="s">
        <v>2450</v>
      </c>
    </row>
    <row r="8192" spans="1:1" x14ac:dyDescent="0.25">
      <c r="A8192" t="s">
        <v>5473</v>
      </c>
    </row>
    <row r="8193" spans="1:1" x14ac:dyDescent="0.25">
      <c r="A8193" t="s">
        <v>5474</v>
      </c>
    </row>
    <row r="8194" spans="1:1" x14ac:dyDescent="0.25">
      <c r="A8194" t="s">
        <v>2257</v>
      </c>
    </row>
    <row r="8195" spans="1:1" x14ac:dyDescent="0.25">
      <c r="A8195" t="s">
        <v>2453</v>
      </c>
    </row>
    <row r="8197" spans="1:1" x14ac:dyDescent="0.25">
      <c r="A8197" t="s">
        <v>2454</v>
      </c>
    </row>
    <row r="8199" spans="1:1" x14ac:dyDescent="0.25">
      <c r="A8199" t="s">
        <v>2440</v>
      </c>
    </row>
    <row r="8201" spans="1:1" x14ac:dyDescent="0.25">
      <c r="A8201" t="s">
        <v>1934</v>
      </c>
    </row>
    <row r="8202" spans="1:1" x14ac:dyDescent="0.25">
      <c r="A8202" t="s">
        <v>2455</v>
      </c>
    </row>
    <row r="8203" spans="1:1" x14ac:dyDescent="0.25">
      <c r="A8203" t="s">
        <v>1942</v>
      </c>
    </row>
    <row r="8205" spans="1:1" x14ac:dyDescent="0.25">
      <c r="A8205" t="s">
        <v>5475</v>
      </c>
    </row>
    <row r="8206" spans="1:1" x14ac:dyDescent="0.25">
      <c r="A8206" t="s">
        <v>5476</v>
      </c>
    </row>
    <row r="8207" spans="1:1" x14ac:dyDescent="0.25">
      <c r="A8207" t="s">
        <v>5477</v>
      </c>
    </row>
    <row r="8208" spans="1:1" x14ac:dyDescent="0.25">
      <c r="A8208" t="s">
        <v>2459</v>
      </c>
    </row>
    <row r="8209" spans="1:1" x14ac:dyDescent="0.25">
      <c r="A8209" t="s">
        <v>5478</v>
      </c>
    </row>
    <row r="8210" spans="1:1" x14ac:dyDescent="0.25">
      <c r="A8210" t="s">
        <v>2461</v>
      </c>
    </row>
    <row r="8211" spans="1:1" x14ac:dyDescent="0.25">
      <c r="A8211" t="s">
        <v>2462</v>
      </c>
    </row>
    <row r="8212" spans="1:1" x14ac:dyDescent="0.25">
      <c r="A8212" t="s">
        <v>2463</v>
      </c>
    </row>
    <row r="8213" spans="1:1" x14ac:dyDescent="0.25">
      <c r="A8213" t="s">
        <v>5479</v>
      </c>
    </row>
    <row r="8214" spans="1:1" x14ac:dyDescent="0.25">
      <c r="A8214" t="s">
        <v>2466</v>
      </c>
    </row>
    <row r="8215" spans="1:1" x14ac:dyDescent="0.25">
      <c r="A8215" t="s">
        <v>5480</v>
      </c>
    </row>
    <row r="8216" spans="1:1" x14ac:dyDescent="0.25">
      <c r="A8216" t="s">
        <v>2468</v>
      </c>
    </row>
    <row r="8217" spans="1:1" x14ac:dyDescent="0.25">
      <c r="A8217" t="s">
        <v>5481</v>
      </c>
    </row>
    <row r="8218" spans="1:1" x14ac:dyDescent="0.25">
      <c r="A8218" t="s">
        <v>5482</v>
      </c>
    </row>
    <row r="8219" spans="1:1" x14ac:dyDescent="0.25">
      <c r="A8219" t="s">
        <v>2471</v>
      </c>
    </row>
    <row r="8221" spans="1:1" x14ac:dyDescent="0.25">
      <c r="A8221" t="s">
        <v>5483</v>
      </c>
    </row>
    <row r="8222" spans="1:1" x14ac:dyDescent="0.25">
      <c r="A8222" t="s">
        <v>5484</v>
      </c>
    </row>
    <row r="8223" spans="1:1" x14ac:dyDescent="0.25">
      <c r="A8223" t="s">
        <v>5485</v>
      </c>
    </row>
    <row r="8224" spans="1:1" x14ac:dyDescent="0.25">
      <c r="A8224" t="s">
        <v>5486</v>
      </c>
    </row>
    <row r="8225" spans="1:1" x14ac:dyDescent="0.25">
      <c r="A8225" t="s">
        <v>5487</v>
      </c>
    </row>
    <row r="8226" spans="1:1" x14ac:dyDescent="0.25">
      <c r="A8226" t="s">
        <v>5488</v>
      </c>
    </row>
    <row r="8227" spans="1:1" x14ac:dyDescent="0.25">
      <c r="A8227" t="s">
        <v>5489</v>
      </c>
    </row>
    <row r="8228" spans="1:1" x14ac:dyDescent="0.25">
      <c r="A8228" t="s">
        <v>5490</v>
      </c>
    </row>
    <row r="8229" spans="1:1" x14ac:dyDescent="0.25">
      <c r="A8229" t="s">
        <v>5491</v>
      </c>
    </row>
    <row r="8230" spans="1:1" x14ac:dyDescent="0.25">
      <c r="A8230" t="s">
        <v>5492</v>
      </c>
    </row>
    <row r="8231" spans="1:1" x14ac:dyDescent="0.25">
      <c r="A8231" t="s">
        <v>5493</v>
      </c>
    </row>
    <row r="8232" spans="1:1" x14ac:dyDescent="0.25">
      <c r="A8232" t="s">
        <v>5494</v>
      </c>
    </row>
    <row r="8233" spans="1:1" x14ac:dyDescent="0.25">
      <c r="A8233" t="s">
        <v>5495</v>
      </c>
    </row>
    <row r="8234" spans="1:1" x14ac:dyDescent="0.25">
      <c r="A8234" t="s">
        <v>5496</v>
      </c>
    </row>
    <row r="8235" spans="1:1" x14ac:dyDescent="0.25">
      <c r="A8235" t="s">
        <v>5497</v>
      </c>
    </row>
    <row r="8236" spans="1:1" x14ac:dyDescent="0.25">
      <c r="A8236" t="s">
        <v>5498</v>
      </c>
    </row>
    <row r="8237" spans="1:1" x14ac:dyDescent="0.25">
      <c r="A8237" t="s">
        <v>5499</v>
      </c>
    </row>
    <row r="8238" spans="1:1" x14ac:dyDescent="0.25">
      <c r="A8238" t="s">
        <v>5500</v>
      </c>
    </row>
    <row r="8239" spans="1:1" x14ac:dyDescent="0.25">
      <c r="A8239" t="s">
        <v>5501</v>
      </c>
    </row>
    <row r="8240" spans="1:1" x14ac:dyDescent="0.25">
      <c r="A8240" t="s">
        <v>5502</v>
      </c>
    </row>
    <row r="8241" spans="1:1" x14ac:dyDescent="0.25">
      <c r="A8241" t="s">
        <v>5503</v>
      </c>
    </row>
    <row r="8242" spans="1:1" x14ac:dyDescent="0.25">
      <c r="A8242" t="s">
        <v>5504</v>
      </c>
    </row>
    <row r="8243" spans="1:1" x14ac:dyDescent="0.25">
      <c r="A8243" t="s">
        <v>2484</v>
      </c>
    </row>
    <row r="8244" spans="1:1" x14ac:dyDescent="0.25">
      <c r="A8244" t="s">
        <v>2485</v>
      </c>
    </row>
    <row r="8245" spans="1:1" x14ac:dyDescent="0.25">
      <c r="A8245" t="s">
        <v>4094</v>
      </c>
    </row>
    <row r="8246" spans="1:1" x14ac:dyDescent="0.25">
      <c r="A8246" t="s">
        <v>2487</v>
      </c>
    </row>
    <row r="8247" spans="1:1" x14ac:dyDescent="0.25">
      <c r="A8247" t="s">
        <v>2488</v>
      </c>
    </row>
    <row r="8248" spans="1:1" x14ac:dyDescent="0.25">
      <c r="A8248" t="s">
        <v>2489</v>
      </c>
    </row>
    <row r="8249" spans="1:1" x14ac:dyDescent="0.25">
      <c r="A8249" t="s">
        <v>2490</v>
      </c>
    </row>
    <row r="8250" spans="1:1" x14ac:dyDescent="0.25">
      <c r="A8250" t="s">
        <v>2491</v>
      </c>
    </row>
    <row r="8251" spans="1:1" x14ac:dyDescent="0.25">
      <c r="A8251" t="s">
        <v>1893</v>
      </c>
    </row>
    <row r="8252" spans="1:1" x14ac:dyDescent="0.25">
      <c r="A8252" t="s">
        <v>4095</v>
      </c>
    </row>
    <row r="8253" spans="1:1" x14ac:dyDescent="0.25">
      <c r="A8253" t="s">
        <v>2493</v>
      </c>
    </row>
    <row r="8254" spans="1:1" x14ac:dyDescent="0.25">
      <c r="A8254" t="s">
        <v>2488</v>
      </c>
    </row>
    <row r="8255" spans="1:1" x14ac:dyDescent="0.25">
      <c r="A8255" t="s">
        <v>2489</v>
      </c>
    </row>
    <row r="8256" spans="1:1" x14ac:dyDescent="0.25">
      <c r="A8256" t="s">
        <v>2490</v>
      </c>
    </row>
    <row r="8257" spans="1:1" x14ac:dyDescent="0.25">
      <c r="A8257" t="s">
        <v>2491</v>
      </c>
    </row>
    <row r="8258" spans="1:1" x14ac:dyDescent="0.25">
      <c r="A8258" t="s">
        <v>1893</v>
      </c>
    </row>
    <row r="8259" spans="1:1" x14ac:dyDescent="0.25">
      <c r="A8259" t="s">
        <v>4096</v>
      </c>
    </row>
    <row r="8260" spans="1:1" x14ac:dyDescent="0.25">
      <c r="A8260" t="s">
        <v>1892</v>
      </c>
    </row>
    <row r="8261" spans="1:1" x14ac:dyDescent="0.25">
      <c r="A8261" t="s">
        <v>2488</v>
      </c>
    </row>
    <row r="8262" spans="1:1" x14ac:dyDescent="0.25">
      <c r="A8262" t="s">
        <v>2489</v>
      </c>
    </row>
    <row r="8263" spans="1:1" x14ac:dyDescent="0.25">
      <c r="A8263" t="s">
        <v>2490</v>
      </c>
    </row>
    <row r="8264" spans="1:1" x14ac:dyDescent="0.25">
      <c r="A8264" t="s">
        <v>2491</v>
      </c>
    </row>
    <row r="8265" spans="1:1" x14ac:dyDescent="0.25">
      <c r="A8265" t="s">
        <v>2495</v>
      </c>
    </row>
    <row r="8266" spans="1:1" x14ac:dyDescent="0.25">
      <c r="A8266" t="s">
        <v>1893</v>
      </c>
    </row>
    <row r="8267" spans="1:1" x14ac:dyDescent="0.25">
      <c r="A8267" t="s">
        <v>4097</v>
      </c>
    </row>
    <row r="8268" spans="1:1" x14ac:dyDescent="0.25">
      <c r="A8268" t="s">
        <v>2493</v>
      </c>
    </row>
    <row r="8269" spans="1:1" x14ac:dyDescent="0.25">
      <c r="A8269" t="s">
        <v>1892</v>
      </c>
    </row>
    <row r="8270" spans="1:1" x14ac:dyDescent="0.25">
      <c r="A8270" t="s">
        <v>2488</v>
      </c>
    </row>
    <row r="8271" spans="1:1" x14ac:dyDescent="0.25">
      <c r="A8271" t="s">
        <v>2489</v>
      </c>
    </row>
    <row r="8272" spans="1:1" x14ac:dyDescent="0.25">
      <c r="A8272" t="s">
        <v>2490</v>
      </c>
    </row>
    <row r="8273" spans="1:1" x14ac:dyDescent="0.25">
      <c r="A8273" t="s">
        <v>2491</v>
      </c>
    </row>
    <row r="8274" spans="1:1" x14ac:dyDescent="0.25">
      <c r="A8274" t="s">
        <v>2497</v>
      </c>
    </row>
    <row r="8275" spans="1:1" x14ac:dyDescent="0.25">
      <c r="A8275" t="s">
        <v>1893</v>
      </c>
    </row>
    <row r="8276" spans="1:1" x14ac:dyDescent="0.25">
      <c r="A8276" t="s">
        <v>2498</v>
      </c>
    </row>
    <row r="8277" spans="1:1" x14ac:dyDescent="0.25">
      <c r="A8277" t="s">
        <v>1904</v>
      </c>
    </row>
    <row r="8278" spans="1:1" x14ac:dyDescent="0.25">
      <c r="A8278" t="s">
        <v>2499</v>
      </c>
    </row>
    <row r="8279" spans="1:1" x14ac:dyDescent="0.25">
      <c r="A8279" t="s">
        <v>2500</v>
      </c>
    </row>
    <row r="8280" spans="1:1" x14ac:dyDescent="0.25">
      <c r="A8280" t="s">
        <v>2501</v>
      </c>
    </row>
    <row r="8281" spans="1:1" x14ac:dyDescent="0.25">
      <c r="A8281" t="s">
        <v>2502</v>
      </c>
    </row>
    <row r="8282" spans="1:1" x14ac:dyDescent="0.25">
      <c r="A8282" t="s">
        <v>2503</v>
      </c>
    </row>
    <row r="8283" spans="1:1" x14ac:dyDescent="0.25">
      <c r="A8283" t="s">
        <v>2504</v>
      </c>
    </row>
    <row r="8284" spans="1:1" x14ac:dyDescent="0.25">
      <c r="A8284" t="s">
        <v>2505</v>
      </c>
    </row>
    <row r="8285" spans="1:1" x14ac:dyDescent="0.25">
      <c r="A8285" t="s">
        <v>2506</v>
      </c>
    </row>
    <row r="8286" spans="1:1" x14ac:dyDescent="0.25">
      <c r="A8286" t="s">
        <v>2507</v>
      </c>
    </row>
    <row r="8287" spans="1:1" x14ac:dyDescent="0.25">
      <c r="A8287" t="s">
        <v>2508</v>
      </c>
    </row>
    <row r="8288" spans="1:1" x14ac:dyDescent="0.25">
      <c r="A8288" t="s">
        <v>2509</v>
      </c>
    </row>
    <row r="8289" spans="1:1" x14ac:dyDescent="0.25">
      <c r="A8289" t="s">
        <v>2510</v>
      </c>
    </row>
    <row r="8290" spans="1:1" x14ac:dyDescent="0.25">
      <c r="A8290" t="s">
        <v>2511</v>
      </c>
    </row>
    <row r="8291" spans="1:1" x14ac:dyDescent="0.25">
      <c r="A8291" t="s">
        <v>2512</v>
      </c>
    </row>
    <row r="8292" spans="1:1" x14ac:dyDescent="0.25">
      <c r="A8292" t="s">
        <v>1904</v>
      </c>
    </row>
    <row r="8293" spans="1:1" x14ac:dyDescent="0.25">
      <c r="A8293" t="s">
        <v>2513</v>
      </c>
    </row>
    <row r="8294" spans="1:1" x14ac:dyDescent="0.25">
      <c r="A8294" t="s">
        <v>2500</v>
      </c>
    </row>
    <row r="8295" spans="1:1" x14ac:dyDescent="0.25">
      <c r="A8295" t="s">
        <v>2514</v>
      </c>
    </row>
    <row r="8296" spans="1:1" x14ac:dyDescent="0.25">
      <c r="A8296" t="s">
        <v>2502</v>
      </c>
    </row>
    <row r="8297" spans="1:1" x14ac:dyDescent="0.25">
      <c r="A8297" t="s">
        <v>2515</v>
      </c>
    </row>
    <row r="8298" spans="1:1" x14ac:dyDescent="0.25">
      <c r="A8298" t="s">
        <v>2516</v>
      </c>
    </row>
    <row r="8299" spans="1:1" x14ac:dyDescent="0.25">
      <c r="A8299" t="s">
        <v>2517</v>
      </c>
    </row>
    <row r="8300" spans="1:1" x14ac:dyDescent="0.25">
      <c r="A8300" t="s">
        <v>2518</v>
      </c>
    </row>
    <row r="8301" spans="1:1" x14ac:dyDescent="0.25">
      <c r="A8301" t="s">
        <v>2507</v>
      </c>
    </row>
    <row r="8302" spans="1:1" x14ac:dyDescent="0.25">
      <c r="A8302" t="s">
        <v>2512</v>
      </c>
    </row>
    <row r="8303" spans="1:1" x14ac:dyDescent="0.25">
      <c r="A8303" t="s">
        <v>1904</v>
      </c>
    </row>
    <row r="8304" spans="1:1" x14ac:dyDescent="0.25">
      <c r="A8304" t="s">
        <v>2519</v>
      </c>
    </row>
    <row r="8305" spans="1:1" x14ac:dyDescent="0.25">
      <c r="A8305" t="s">
        <v>2521</v>
      </c>
    </row>
    <row r="8307" spans="1:1" x14ac:dyDescent="0.25">
      <c r="A8307" t="s">
        <v>2522</v>
      </c>
    </row>
    <row r="8308" spans="1:1" x14ac:dyDescent="0.25">
      <c r="A8308" t="s">
        <v>2523</v>
      </c>
    </row>
    <row r="8309" spans="1:1" x14ac:dyDescent="0.25">
      <c r="A8309" t="s">
        <v>2524</v>
      </c>
    </row>
    <row r="8311" spans="1:1" x14ac:dyDescent="0.25">
      <c r="A8311" t="s">
        <v>2525</v>
      </c>
    </row>
    <row r="8312" spans="1:1" x14ac:dyDescent="0.25">
      <c r="A8312" t="s">
        <v>2526</v>
      </c>
    </row>
    <row r="8313" spans="1:1" x14ac:dyDescent="0.25">
      <c r="A8313" t="s">
        <v>2524</v>
      </c>
    </row>
    <row r="8315" spans="1:1" x14ac:dyDescent="0.25">
      <c r="A8315" t="s">
        <v>2527</v>
      </c>
    </row>
    <row r="8316" spans="1:1" x14ac:dyDescent="0.25">
      <c r="A8316" t="s">
        <v>2528</v>
      </c>
    </row>
    <row r="8317" spans="1:1" x14ac:dyDescent="0.25">
      <c r="A8317" t="s">
        <v>2524</v>
      </c>
    </row>
    <row r="8319" spans="1:1" x14ac:dyDescent="0.25">
      <c r="A8319" t="s">
        <v>2529</v>
      </c>
    </row>
    <row r="8320" spans="1:1" x14ac:dyDescent="0.25">
      <c r="A8320" t="s">
        <v>2530</v>
      </c>
    </row>
    <row r="8321" spans="1:1" x14ac:dyDescent="0.25">
      <c r="A8321" t="s">
        <v>2524</v>
      </c>
    </row>
    <row r="8323" spans="1:1" x14ac:dyDescent="0.25">
      <c r="A8323" t="s">
        <v>2531</v>
      </c>
    </row>
    <row r="8324" spans="1:1" x14ac:dyDescent="0.25">
      <c r="A8324" t="s">
        <v>2532</v>
      </c>
    </row>
    <row r="8325" spans="1:1" x14ac:dyDescent="0.25">
      <c r="A8325" t="s">
        <v>2524</v>
      </c>
    </row>
    <row r="8327" spans="1:1" x14ac:dyDescent="0.25">
      <c r="A8327" t="s">
        <v>2533</v>
      </c>
    </row>
    <row r="8328" spans="1:1" x14ac:dyDescent="0.25">
      <c r="A8328" t="s">
        <v>2534</v>
      </c>
    </row>
    <row r="8329" spans="1:1" x14ac:dyDescent="0.25">
      <c r="A8329" t="s">
        <v>2524</v>
      </c>
    </row>
    <row r="8331" spans="1:1" x14ac:dyDescent="0.25">
      <c r="A8331" t="s">
        <v>2535</v>
      </c>
    </row>
    <row r="8332" spans="1:1" x14ac:dyDescent="0.25">
      <c r="A8332" t="s">
        <v>2536</v>
      </c>
    </row>
    <row r="8333" spans="1:1" x14ac:dyDescent="0.25">
      <c r="A8333" t="s">
        <v>2524</v>
      </c>
    </row>
    <row r="8335" spans="1:1" x14ac:dyDescent="0.25">
      <c r="A8335" t="s">
        <v>2537</v>
      </c>
    </row>
    <row r="8336" spans="1:1" x14ac:dyDescent="0.25">
      <c r="A8336" t="s">
        <v>2538</v>
      </c>
    </row>
    <row r="8337" spans="1:1" x14ac:dyDescent="0.25">
      <c r="A8337" t="s">
        <v>2524</v>
      </c>
    </row>
    <row r="8339" spans="1:1" x14ac:dyDescent="0.25">
      <c r="A8339" t="s">
        <v>2539</v>
      </c>
    </row>
    <row r="8340" spans="1:1" x14ac:dyDescent="0.25">
      <c r="A8340" t="s">
        <v>2540</v>
      </c>
    </row>
    <row r="8341" spans="1:1" x14ac:dyDescent="0.25">
      <c r="A8341" t="s">
        <v>2524</v>
      </c>
    </row>
    <row r="8343" spans="1:1" x14ac:dyDescent="0.25">
      <c r="A8343" t="s">
        <v>2541</v>
      </c>
    </row>
    <row r="8344" spans="1:1" x14ac:dyDescent="0.25">
      <c r="A8344" t="s">
        <v>2542</v>
      </c>
    </row>
    <row r="8345" spans="1:1" x14ac:dyDescent="0.25">
      <c r="A8345" t="s">
        <v>2524</v>
      </c>
    </row>
    <row r="8346" spans="1:1" x14ac:dyDescent="0.25">
      <c r="A8346" t="s">
        <v>2543</v>
      </c>
    </row>
    <row r="8348" spans="1:1" x14ac:dyDescent="0.25">
      <c r="A8348" t="s">
        <v>2544</v>
      </c>
    </row>
    <row r="8349" spans="1:1" x14ac:dyDescent="0.25">
      <c r="A8349" t="s">
        <v>5505</v>
      </c>
    </row>
    <row r="8350" spans="1:1" x14ac:dyDescent="0.25">
      <c r="A8350" t="s">
        <v>2546</v>
      </c>
    </row>
    <row r="8351" spans="1:1" x14ac:dyDescent="0.25">
      <c r="A8351" t="s">
        <v>2446</v>
      </c>
    </row>
    <row r="8352" spans="1:1" x14ac:dyDescent="0.25">
      <c r="A8352" t="s">
        <v>5506</v>
      </c>
    </row>
    <row r="8353" spans="1:1" x14ac:dyDescent="0.25">
      <c r="A8353" t="s">
        <v>2448</v>
      </c>
    </row>
    <row r="8354" spans="1:1" x14ac:dyDescent="0.25">
      <c r="A8354" t="s">
        <v>5507</v>
      </c>
    </row>
    <row r="8355" spans="1:1" x14ac:dyDescent="0.25">
      <c r="A8355" t="s">
        <v>2453</v>
      </c>
    </row>
    <row r="8357" spans="1:1" x14ac:dyDescent="0.25">
      <c r="A8357" t="s">
        <v>2549</v>
      </c>
    </row>
    <row r="8359" spans="1:1" x14ac:dyDescent="0.25">
      <c r="A8359" t="s">
        <v>5508</v>
      </c>
    </row>
    <row r="8360" spans="1:1" x14ac:dyDescent="0.25">
      <c r="A8360" t="s">
        <v>2440</v>
      </c>
    </row>
    <row r="8362" spans="1:1" x14ac:dyDescent="0.25">
      <c r="A8362" t="s">
        <v>2682</v>
      </c>
    </row>
    <row r="8363" spans="1:1" x14ac:dyDescent="0.25">
      <c r="A8363" t="s">
        <v>5509</v>
      </c>
    </row>
    <row r="8364" spans="1:1" x14ac:dyDescent="0.25">
      <c r="A8364" t="s">
        <v>5510</v>
      </c>
    </row>
    <row r="8365" spans="1:1" x14ac:dyDescent="0.25">
      <c r="A8365" t="s">
        <v>5511</v>
      </c>
    </row>
    <row r="8366" spans="1:1" x14ac:dyDescent="0.25">
      <c r="A8366" t="s">
        <v>2664</v>
      </c>
    </row>
    <row r="8367" spans="1:1" x14ac:dyDescent="0.25">
      <c r="A8367" t="s">
        <v>4174</v>
      </c>
    </row>
    <row r="8368" spans="1:1" x14ac:dyDescent="0.25">
      <c r="A8368" t="s">
        <v>5363</v>
      </c>
    </row>
    <row r="8369" spans="1:1" x14ac:dyDescent="0.25">
      <c r="A8369" t="s">
        <v>3343</v>
      </c>
    </row>
    <row r="8370" spans="1:1" x14ac:dyDescent="0.25">
      <c r="A8370" t="s">
        <v>5390</v>
      </c>
    </row>
    <row r="8371" spans="1:1" x14ac:dyDescent="0.25">
      <c r="A8371" t="s">
        <v>5282</v>
      </c>
    </row>
    <row r="8372" spans="1:1" x14ac:dyDescent="0.25">
      <c r="A8372" t="s">
        <v>1790</v>
      </c>
    </row>
    <row r="8373" spans="1:1" x14ac:dyDescent="0.25">
      <c r="A8373" t="s">
        <v>1873</v>
      </c>
    </row>
    <row r="8374" spans="1:1" x14ac:dyDescent="0.25">
      <c r="A8374" t="s">
        <v>1874</v>
      </c>
    </row>
    <row r="8375" spans="1:1" x14ac:dyDescent="0.25">
      <c r="A8375" t="s">
        <v>1875</v>
      </c>
    </row>
    <row r="8376" spans="1:1" x14ac:dyDescent="0.25">
      <c r="A8376" t="s">
        <v>1794</v>
      </c>
    </row>
    <row r="8377" spans="1:1" x14ac:dyDescent="0.25">
      <c r="A8377" t="s">
        <v>4500</v>
      </c>
    </row>
    <row r="8378" spans="1:1" x14ac:dyDescent="0.25">
      <c r="A8378" t="s">
        <v>4501</v>
      </c>
    </row>
    <row r="8379" spans="1:1" x14ac:dyDescent="0.25">
      <c r="A8379" t="s">
        <v>1904</v>
      </c>
    </row>
    <row r="8380" spans="1:1" x14ac:dyDescent="0.25">
      <c r="A8380" t="s">
        <v>5382</v>
      </c>
    </row>
    <row r="8381" spans="1:1" x14ac:dyDescent="0.25">
      <c r="A8381" t="s">
        <v>5383</v>
      </c>
    </row>
    <row r="8382" spans="1:1" x14ac:dyDescent="0.25">
      <c r="A8382" t="s">
        <v>5384</v>
      </c>
    </row>
    <row r="8383" spans="1:1" x14ac:dyDescent="0.25">
      <c r="A8383" t="s">
        <v>5385</v>
      </c>
    </row>
    <row r="8384" spans="1:1" x14ac:dyDescent="0.25">
      <c r="A8384" t="s">
        <v>5386</v>
      </c>
    </row>
    <row r="8385" spans="1:1" x14ac:dyDescent="0.25">
      <c r="A8385" t="s">
        <v>5387</v>
      </c>
    </row>
    <row r="8386" spans="1:1" x14ac:dyDescent="0.25">
      <c r="A8386" t="s">
        <v>5388</v>
      </c>
    </row>
    <row r="8387" spans="1:1" x14ac:dyDescent="0.25">
      <c r="A8387" t="s">
        <v>5391</v>
      </c>
    </row>
    <row r="8388" spans="1:1" x14ac:dyDescent="0.25">
      <c r="A8388" t="s">
        <v>5392</v>
      </c>
    </row>
    <row r="8389" spans="1:1" x14ac:dyDescent="0.25">
      <c r="A8389" t="s">
        <v>5393</v>
      </c>
    </row>
    <row r="8390" spans="1:1" x14ac:dyDescent="0.25">
      <c r="A8390" t="s">
        <v>5394</v>
      </c>
    </row>
    <row r="8391" spans="1:1" x14ac:dyDescent="0.25">
      <c r="A8391" t="s">
        <v>5395</v>
      </c>
    </row>
    <row r="8392" spans="1:1" x14ac:dyDescent="0.25">
      <c r="A8392" t="s">
        <v>2686</v>
      </c>
    </row>
    <row r="8394" spans="1:1" x14ac:dyDescent="0.25">
      <c r="A8394" t="s">
        <v>2440</v>
      </c>
    </row>
    <row r="8396" spans="1:1" x14ac:dyDescent="0.25">
      <c r="A8396" t="s">
        <v>2682</v>
      </c>
    </row>
    <row r="8397" spans="1:1" x14ac:dyDescent="0.25">
      <c r="A8397" t="s">
        <v>5512</v>
      </c>
    </row>
    <row r="8398" spans="1:1" x14ac:dyDescent="0.25">
      <c r="A8398" t="s">
        <v>5510</v>
      </c>
    </row>
    <row r="8399" spans="1:1" x14ac:dyDescent="0.25">
      <c r="A8399" t="s">
        <v>5511</v>
      </c>
    </row>
    <row r="8400" spans="1:1" x14ac:dyDescent="0.25">
      <c r="A8400" t="s">
        <v>2664</v>
      </c>
    </row>
    <row r="8401" spans="1:1" x14ac:dyDescent="0.25">
      <c r="A8401" t="s">
        <v>4174</v>
      </c>
    </row>
    <row r="8402" spans="1:1" x14ac:dyDescent="0.25">
      <c r="A8402" t="s">
        <v>5363</v>
      </c>
    </row>
    <row r="8403" spans="1:1" x14ac:dyDescent="0.25">
      <c r="A8403" t="s">
        <v>3343</v>
      </c>
    </row>
    <row r="8404" spans="1:1" x14ac:dyDescent="0.25">
      <c r="A8404" t="s">
        <v>5513</v>
      </c>
    </row>
    <row r="8405" spans="1:1" x14ac:dyDescent="0.25">
      <c r="A8405" t="s">
        <v>5282</v>
      </c>
    </row>
    <row r="8406" spans="1:1" x14ac:dyDescent="0.25">
      <c r="A8406" t="s">
        <v>1790</v>
      </c>
    </row>
    <row r="8407" spans="1:1" x14ac:dyDescent="0.25">
      <c r="A8407" t="s">
        <v>1873</v>
      </c>
    </row>
    <row r="8408" spans="1:1" x14ac:dyDescent="0.25">
      <c r="A8408" t="s">
        <v>1874</v>
      </c>
    </row>
    <row r="8409" spans="1:1" x14ac:dyDescent="0.25">
      <c r="A8409" t="s">
        <v>1875</v>
      </c>
    </row>
    <row r="8410" spans="1:1" x14ac:dyDescent="0.25">
      <c r="A8410" t="s">
        <v>1794</v>
      </c>
    </row>
    <row r="8411" spans="1:1" x14ac:dyDescent="0.25">
      <c r="A8411" t="s">
        <v>4500</v>
      </c>
    </row>
    <row r="8412" spans="1:1" x14ac:dyDescent="0.25">
      <c r="A8412" t="s">
        <v>4501</v>
      </c>
    </row>
    <row r="8413" spans="1:1" x14ac:dyDescent="0.25">
      <c r="A8413" t="s">
        <v>1904</v>
      </c>
    </row>
    <row r="8414" spans="1:1" x14ac:dyDescent="0.25">
      <c r="A8414" t="s">
        <v>5382</v>
      </c>
    </row>
    <row r="8415" spans="1:1" x14ac:dyDescent="0.25">
      <c r="A8415" t="s">
        <v>5383</v>
      </c>
    </row>
    <row r="8416" spans="1:1" x14ac:dyDescent="0.25">
      <c r="A8416" t="s">
        <v>5514</v>
      </c>
    </row>
    <row r="8417" spans="1:1" x14ac:dyDescent="0.25">
      <c r="A8417" t="s">
        <v>5385</v>
      </c>
    </row>
    <row r="8418" spans="1:1" x14ac:dyDescent="0.25">
      <c r="A8418" t="s">
        <v>5386</v>
      </c>
    </row>
    <row r="8419" spans="1:1" x14ac:dyDescent="0.25">
      <c r="A8419" t="s">
        <v>5387</v>
      </c>
    </row>
    <row r="8420" spans="1:1" x14ac:dyDescent="0.25">
      <c r="A8420" t="s">
        <v>5515</v>
      </c>
    </row>
    <row r="8421" spans="1:1" x14ac:dyDescent="0.25">
      <c r="A8421" t="s">
        <v>5516</v>
      </c>
    </row>
    <row r="8422" spans="1:1" x14ac:dyDescent="0.25">
      <c r="A8422" t="s">
        <v>5517</v>
      </c>
    </row>
    <row r="8423" spans="1:1" x14ac:dyDescent="0.25">
      <c r="A8423" t="s">
        <v>5518</v>
      </c>
    </row>
    <row r="8424" spans="1:1" x14ac:dyDescent="0.25">
      <c r="A8424" t="s">
        <v>5519</v>
      </c>
    </row>
    <row r="8425" spans="1:1" x14ac:dyDescent="0.25">
      <c r="A8425" t="s">
        <v>5520</v>
      </c>
    </row>
    <row r="8426" spans="1:1" x14ac:dyDescent="0.25">
      <c r="A8426" t="s">
        <v>2686</v>
      </c>
    </row>
    <row r="8428" spans="1:1" x14ac:dyDescent="0.25">
      <c r="A8428" t="s">
        <v>2440</v>
      </c>
    </row>
    <row r="8430" spans="1:1" x14ac:dyDescent="0.25">
      <c r="A8430" t="s">
        <v>2682</v>
      </c>
    </row>
    <row r="8431" spans="1:1" x14ac:dyDescent="0.25">
      <c r="A8431" t="s">
        <v>5521</v>
      </c>
    </row>
    <row r="8432" spans="1:1" x14ac:dyDescent="0.25">
      <c r="A8432" t="s">
        <v>5522</v>
      </c>
    </row>
    <row r="8433" spans="1:1" x14ac:dyDescent="0.25">
      <c r="A8433" t="s">
        <v>5523</v>
      </c>
    </row>
    <row r="8434" spans="1:1" x14ac:dyDescent="0.25">
      <c r="A8434" t="s">
        <v>3361</v>
      </c>
    </row>
    <row r="8435" spans="1:1" x14ac:dyDescent="0.25">
      <c r="A8435" t="s">
        <v>5524</v>
      </c>
    </row>
    <row r="8436" spans="1:1" x14ac:dyDescent="0.25">
      <c r="A8436" t="s">
        <v>5525</v>
      </c>
    </row>
    <row r="8437" spans="1:1" x14ac:dyDescent="0.25">
      <c r="A8437" t="s">
        <v>5526</v>
      </c>
    </row>
    <row r="8438" spans="1:1" x14ac:dyDescent="0.25">
      <c r="A8438" t="s">
        <v>5527</v>
      </c>
    </row>
    <row r="8439" spans="1:1" x14ac:dyDescent="0.25">
      <c r="A8439" t="s">
        <v>5528</v>
      </c>
    </row>
    <row r="8440" spans="1:1" x14ac:dyDescent="0.25">
      <c r="A8440" t="s">
        <v>2686</v>
      </c>
    </row>
    <row r="8442" spans="1:1" x14ac:dyDescent="0.25">
      <c r="A8442" t="s">
        <v>2440</v>
      </c>
    </row>
    <row r="8444" spans="1:1" x14ac:dyDescent="0.25">
      <c r="A8444" t="s">
        <v>2682</v>
      </c>
    </row>
    <row r="8445" spans="1:1" x14ac:dyDescent="0.25">
      <c r="A8445" t="s">
        <v>5529</v>
      </c>
    </row>
    <row r="8446" spans="1:1" x14ac:dyDescent="0.25">
      <c r="A8446" t="s">
        <v>5522</v>
      </c>
    </row>
    <row r="8447" spans="1:1" x14ac:dyDescent="0.25">
      <c r="A8447" t="s">
        <v>5530</v>
      </c>
    </row>
    <row r="8448" spans="1:1" x14ac:dyDescent="0.25">
      <c r="A8448" t="s">
        <v>3361</v>
      </c>
    </row>
    <row r="8449" spans="1:1" x14ac:dyDescent="0.25">
      <c r="A8449" t="s">
        <v>5531</v>
      </c>
    </row>
    <row r="8450" spans="1:1" x14ac:dyDescent="0.25">
      <c r="A8450" t="s">
        <v>5532</v>
      </c>
    </row>
    <row r="8451" spans="1:1" x14ac:dyDescent="0.25">
      <c r="A8451" t="s">
        <v>5533</v>
      </c>
    </row>
    <row r="8452" spans="1:1" x14ac:dyDescent="0.25">
      <c r="A8452" t="s">
        <v>5534</v>
      </c>
    </row>
    <row r="8453" spans="1:1" x14ac:dyDescent="0.25">
      <c r="A8453" t="s">
        <v>5535</v>
      </c>
    </row>
    <row r="8454" spans="1:1" x14ac:dyDescent="0.25">
      <c r="A8454" t="s">
        <v>2686</v>
      </c>
    </row>
    <row r="8456" spans="1:1" x14ac:dyDescent="0.25">
      <c r="A8456" t="s">
        <v>2440</v>
      </c>
    </row>
    <row r="8458" spans="1:1" x14ac:dyDescent="0.25">
      <c r="A8458" t="s">
        <v>2682</v>
      </c>
    </row>
    <row r="8459" spans="1:1" x14ac:dyDescent="0.25">
      <c r="A8459" t="s">
        <v>5536</v>
      </c>
    </row>
    <row r="8460" spans="1:1" x14ac:dyDescent="0.25">
      <c r="A8460" t="s">
        <v>5522</v>
      </c>
    </row>
    <row r="8461" spans="1:1" x14ac:dyDescent="0.25">
      <c r="A8461" t="s">
        <v>5537</v>
      </c>
    </row>
    <row r="8462" spans="1:1" x14ac:dyDescent="0.25">
      <c r="A8462" t="s">
        <v>3361</v>
      </c>
    </row>
    <row r="8463" spans="1:1" x14ac:dyDescent="0.25">
      <c r="A8463" t="s">
        <v>5524</v>
      </c>
    </row>
    <row r="8464" spans="1:1" x14ac:dyDescent="0.25">
      <c r="A8464" t="s">
        <v>5525</v>
      </c>
    </row>
    <row r="8465" spans="1:1" x14ac:dyDescent="0.25">
      <c r="A8465" t="s">
        <v>5526</v>
      </c>
    </row>
    <row r="8466" spans="1:1" x14ac:dyDescent="0.25">
      <c r="A8466" t="s">
        <v>5527</v>
      </c>
    </row>
    <row r="8467" spans="1:1" x14ac:dyDescent="0.25">
      <c r="A8467" t="s">
        <v>5528</v>
      </c>
    </row>
    <row r="8468" spans="1:1" x14ac:dyDescent="0.25">
      <c r="A8468" t="s">
        <v>2686</v>
      </c>
    </row>
    <row r="8470" spans="1:1" x14ac:dyDescent="0.25">
      <c r="A8470" t="s">
        <v>2440</v>
      </c>
    </row>
    <row r="8472" spans="1:1" x14ac:dyDescent="0.25">
      <c r="A8472" t="s">
        <v>2682</v>
      </c>
    </row>
    <row r="8473" spans="1:1" x14ac:dyDescent="0.25">
      <c r="A8473" t="s">
        <v>5538</v>
      </c>
    </row>
    <row r="8474" spans="1:1" x14ac:dyDescent="0.25">
      <c r="A8474" t="s">
        <v>5522</v>
      </c>
    </row>
    <row r="8475" spans="1:1" x14ac:dyDescent="0.25">
      <c r="A8475" t="s">
        <v>5539</v>
      </c>
    </row>
    <row r="8476" spans="1:1" x14ac:dyDescent="0.25">
      <c r="A8476" t="s">
        <v>3361</v>
      </c>
    </row>
    <row r="8477" spans="1:1" x14ac:dyDescent="0.25">
      <c r="A8477" t="s">
        <v>5540</v>
      </c>
    </row>
    <row r="8478" spans="1:1" x14ac:dyDescent="0.25">
      <c r="A8478" t="s">
        <v>5541</v>
      </c>
    </row>
    <row r="8479" spans="1:1" x14ac:dyDescent="0.25">
      <c r="A8479" t="s">
        <v>5542</v>
      </c>
    </row>
    <row r="8480" spans="1:1" x14ac:dyDescent="0.25">
      <c r="A8480" t="s">
        <v>5543</v>
      </c>
    </row>
    <row r="8481" spans="1:1" x14ac:dyDescent="0.25">
      <c r="A8481" t="s">
        <v>5544</v>
      </c>
    </row>
    <row r="8482" spans="1:1" x14ac:dyDescent="0.25">
      <c r="A8482" t="s">
        <v>5545</v>
      </c>
    </row>
    <row r="8483" spans="1:1" x14ac:dyDescent="0.25">
      <c r="A8483" t="s">
        <v>2686</v>
      </c>
    </row>
    <row r="8485" spans="1:1" x14ac:dyDescent="0.25">
      <c r="A8485" t="s">
        <v>2440</v>
      </c>
    </row>
    <row r="8487" spans="1:1" x14ac:dyDescent="0.25">
      <c r="A8487" t="s">
        <v>2682</v>
      </c>
    </row>
    <row r="8488" spans="1:1" x14ac:dyDescent="0.25">
      <c r="A8488" t="s">
        <v>5546</v>
      </c>
    </row>
    <row r="8489" spans="1:1" x14ac:dyDescent="0.25">
      <c r="A8489" t="s">
        <v>5522</v>
      </c>
    </row>
    <row r="8490" spans="1:1" x14ac:dyDescent="0.25">
      <c r="A8490" t="s">
        <v>5547</v>
      </c>
    </row>
    <row r="8491" spans="1:1" x14ac:dyDescent="0.25">
      <c r="A8491" t="s">
        <v>3361</v>
      </c>
    </row>
    <row r="8492" spans="1:1" x14ac:dyDescent="0.25">
      <c r="A8492" t="s">
        <v>5548</v>
      </c>
    </row>
    <row r="8493" spans="1:1" x14ac:dyDescent="0.25">
      <c r="A8493" t="s">
        <v>5549</v>
      </c>
    </row>
    <row r="8494" spans="1:1" x14ac:dyDescent="0.25">
      <c r="A8494" t="s">
        <v>5550</v>
      </c>
    </row>
    <row r="8495" spans="1:1" x14ac:dyDescent="0.25">
      <c r="A8495" t="s">
        <v>5551</v>
      </c>
    </row>
    <row r="8496" spans="1:1" x14ac:dyDescent="0.25">
      <c r="A8496" t="s">
        <v>5552</v>
      </c>
    </row>
    <row r="8497" spans="1:1" x14ac:dyDescent="0.25">
      <c r="A8497" t="s">
        <v>5553</v>
      </c>
    </row>
    <row r="8498" spans="1:1" x14ac:dyDescent="0.25">
      <c r="A8498" t="s">
        <v>5554</v>
      </c>
    </row>
    <row r="8499" spans="1:1" x14ac:dyDescent="0.25">
      <c r="A8499" t="s">
        <v>2686</v>
      </c>
    </row>
    <row r="8501" spans="1:1" x14ac:dyDescent="0.25">
      <c r="A8501" t="s">
        <v>2440</v>
      </c>
    </row>
    <row r="8503" spans="1:1" x14ac:dyDescent="0.25">
      <c r="A8503" t="s">
        <v>2682</v>
      </c>
    </row>
    <row r="8504" spans="1:1" x14ac:dyDescent="0.25">
      <c r="A8504" t="s">
        <v>5555</v>
      </c>
    </row>
    <row r="8505" spans="1:1" x14ac:dyDescent="0.25">
      <c r="A8505" t="s">
        <v>5556</v>
      </c>
    </row>
    <row r="8506" spans="1:1" x14ac:dyDescent="0.25">
      <c r="A8506" t="s">
        <v>5522</v>
      </c>
    </row>
    <row r="8507" spans="1:1" x14ac:dyDescent="0.25">
      <c r="A8507" t="s">
        <v>5557</v>
      </c>
    </row>
    <row r="8508" spans="1:1" x14ac:dyDescent="0.25">
      <c r="A8508" t="s">
        <v>3361</v>
      </c>
    </row>
    <row r="8509" spans="1:1" x14ac:dyDescent="0.25">
      <c r="A8509" t="s">
        <v>5558</v>
      </c>
    </row>
    <row r="8510" spans="1:1" x14ac:dyDescent="0.25">
      <c r="A8510" t="s">
        <v>5559</v>
      </c>
    </row>
    <row r="8511" spans="1:1" x14ac:dyDescent="0.25">
      <c r="A8511" t="s">
        <v>5560</v>
      </c>
    </row>
    <row r="8512" spans="1:1" x14ac:dyDescent="0.25">
      <c r="A8512" t="s">
        <v>5561</v>
      </c>
    </row>
    <row r="8513" spans="1:1" x14ac:dyDescent="0.25">
      <c r="A8513" t="s">
        <v>5562</v>
      </c>
    </row>
    <row r="8514" spans="1:1" x14ac:dyDescent="0.25">
      <c r="A8514" t="s">
        <v>5563</v>
      </c>
    </row>
    <row r="8515" spans="1:1" x14ac:dyDescent="0.25">
      <c r="A8515" t="s">
        <v>5554</v>
      </c>
    </row>
    <row r="8516" spans="1:1" x14ac:dyDescent="0.25">
      <c r="A8516" t="s">
        <v>2686</v>
      </c>
    </row>
    <row r="8518" spans="1:1" x14ac:dyDescent="0.25">
      <c r="A8518" t="s">
        <v>2440</v>
      </c>
    </row>
    <row r="8520" spans="1:1" x14ac:dyDescent="0.25">
      <c r="A8520" t="s">
        <v>2682</v>
      </c>
    </row>
    <row r="8521" spans="1:1" x14ac:dyDescent="0.25">
      <c r="A8521" t="s">
        <v>5564</v>
      </c>
    </row>
    <row r="8522" spans="1:1" x14ac:dyDescent="0.25">
      <c r="A8522" t="s">
        <v>5522</v>
      </c>
    </row>
    <row r="8523" spans="1:1" x14ac:dyDescent="0.25">
      <c r="A8523" t="s">
        <v>5565</v>
      </c>
    </row>
    <row r="8524" spans="1:1" x14ac:dyDescent="0.25">
      <c r="A8524" t="s">
        <v>3361</v>
      </c>
    </row>
    <row r="8525" spans="1:1" x14ac:dyDescent="0.25">
      <c r="A8525" t="s">
        <v>5566</v>
      </c>
    </row>
    <row r="8526" spans="1:1" x14ac:dyDescent="0.25">
      <c r="A8526" t="s">
        <v>5567</v>
      </c>
    </row>
    <row r="8527" spans="1:1" x14ac:dyDescent="0.25">
      <c r="A8527" t="s">
        <v>5568</v>
      </c>
    </row>
    <row r="8528" spans="1:1" x14ac:dyDescent="0.25">
      <c r="A8528" t="s">
        <v>5569</v>
      </c>
    </row>
    <row r="8529" spans="1:1" x14ac:dyDescent="0.25">
      <c r="A8529" t="s">
        <v>2686</v>
      </c>
    </row>
    <row r="8531" spans="1:1" x14ac:dyDescent="0.25">
      <c r="A8531" t="s">
        <v>2440</v>
      </c>
    </row>
    <row r="8533" spans="1:1" x14ac:dyDescent="0.25">
      <c r="A8533" t="s">
        <v>2682</v>
      </c>
    </row>
    <row r="8534" spans="1:1" x14ac:dyDescent="0.25">
      <c r="A8534" t="s">
        <v>5570</v>
      </c>
    </row>
    <row r="8535" spans="1:1" x14ac:dyDescent="0.25">
      <c r="A8535" t="s">
        <v>5522</v>
      </c>
    </row>
    <row r="8536" spans="1:1" x14ac:dyDescent="0.25">
      <c r="A8536" t="s">
        <v>5571</v>
      </c>
    </row>
    <row r="8537" spans="1:1" x14ac:dyDescent="0.25">
      <c r="A8537" t="s">
        <v>3361</v>
      </c>
    </row>
    <row r="8538" spans="1:1" x14ac:dyDescent="0.25">
      <c r="A8538" t="s">
        <v>5572</v>
      </c>
    </row>
    <row r="8539" spans="1:1" x14ac:dyDescent="0.25">
      <c r="A8539" t="s">
        <v>5573</v>
      </c>
    </row>
    <row r="8540" spans="1:1" x14ac:dyDescent="0.25">
      <c r="A8540" t="s">
        <v>5574</v>
      </c>
    </row>
    <row r="8541" spans="1:1" x14ac:dyDescent="0.25">
      <c r="A8541" t="s">
        <v>5575</v>
      </c>
    </row>
    <row r="8542" spans="1:1" x14ac:dyDescent="0.25">
      <c r="A8542" t="s">
        <v>2686</v>
      </c>
    </row>
    <row r="8544" spans="1:1" x14ac:dyDescent="0.25">
      <c r="A8544" t="s">
        <v>2440</v>
      </c>
    </row>
    <row r="8546" spans="1:1" x14ac:dyDescent="0.25">
      <c r="A8546" t="s">
        <v>2682</v>
      </c>
    </row>
    <row r="8547" spans="1:1" x14ac:dyDescent="0.25">
      <c r="A8547" t="s">
        <v>5576</v>
      </c>
    </row>
    <row r="8548" spans="1:1" x14ac:dyDescent="0.25">
      <c r="A8548" t="s">
        <v>3913</v>
      </c>
    </row>
    <row r="8549" spans="1:1" x14ac:dyDescent="0.25">
      <c r="A8549" t="s">
        <v>2664</v>
      </c>
    </row>
    <row r="8550" spans="1:1" x14ac:dyDescent="0.25">
      <c r="A8550" t="s">
        <v>5577</v>
      </c>
    </row>
    <row r="8551" spans="1:1" x14ac:dyDescent="0.25">
      <c r="A8551" t="s">
        <v>5578</v>
      </c>
    </row>
    <row r="8552" spans="1:1" x14ac:dyDescent="0.25">
      <c r="A8552" t="s">
        <v>5579</v>
      </c>
    </row>
    <row r="8553" spans="1:1" x14ac:dyDescent="0.25">
      <c r="A8553" t="s">
        <v>5580</v>
      </c>
    </row>
    <row r="8554" spans="1:1" x14ac:dyDescent="0.25">
      <c r="A8554" t="s">
        <v>5581</v>
      </c>
    </row>
    <row r="8555" spans="1:1" x14ac:dyDescent="0.25">
      <c r="A8555" t="s">
        <v>5582</v>
      </c>
    </row>
    <row r="8556" spans="1:1" x14ac:dyDescent="0.25">
      <c r="A8556" t="s">
        <v>5583</v>
      </c>
    </row>
    <row r="8557" spans="1:1" x14ac:dyDescent="0.25">
      <c r="A8557" t="s">
        <v>5584</v>
      </c>
    </row>
    <row r="8558" spans="1:1" x14ac:dyDescent="0.25">
      <c r="A8558" t="s">
        <v>5585</v>
      </c>
    </row>
    <row r="8559" spans="1:1" x14ac:dyDescent="0.25">
      <c r="A8559" t="s">
        <v>5586</v>
      </c>
    </row>
    <row r="8560" spans="1:1" x14ac:dyDescent="0.25">
      <c r="A8560" t="s">
        <v>2686</v>
      </c>
    </row>
    <row r="8562" spans="1:1" x14ac:dyDescent="0.25">
      <c r="A8562" t="s">
        <v>2440</v>
      </c>
    </row>
    <row r="8564" spans="1:1" x14ac:dyDescent="0.25">
      <c r="A8564" t="s">
        <v>2682</v>
      </c>
    </row>
    <row r="8565" spans="1:1" x14ac:dyDescent="0.25">
      <c r="A8565" t="s">
        <v>5587</v>
      </c>
    </row>
    <row r="8566" spans="1:1" x14ac:dyDescent="0.25">
      <c r="A8566" t="s">
        <v>5522</v>
      </c>
    </row>
    <row r="8567" spans="1:1" x14ac:dyDescent="0.25">
      <c r="A8567" t="s">
        <v>5588</v>
      </c>
    </row>
    <row r="8568" spans="1:1" x14ac:dyDescent="0.25">
      <c r="A8568" t="s">
        <v>3361</v>
      </c>
    </row>
    <row r="8569" spans="1:1" x14ac:dyDescent="0.25">
      <c r="A8569" t="s">
        <v>5589</v>
      </c>
    </row>
    <row r="8570" spans="1:1" x14ac:dyDescent="0.25">
      <c r="A8570" t="s">
        <v>5590</v>
      </c>
    </row>
    <row r="8571" spans="1:1" x14ac:dyDescent="0.25">
      <c r="A8571" t="s">
        <v>5591</v>
      </c>
    </row>
    <row r="8572" spans="1:1" x14ac:dyDescent="0.25">
      <c r="A8572" t="s">
        <v>2686</v>
      </c>
    </row>
    <row r="8574" spans="1:1" x14ac:dyDescent="0.25">
      <c r="A8574" t="s">
        <v>2440</v>
      </c>
    </row>
    <row r="8576" spans="1:1" x14ac:dyDescent="0.25">
      <c r="A8576" t="s">
        <v>2682</v>
      </c>
    </row>
    <row r="8577" spans="1:1" x14ac:dyDescent="0.25">
      <c r="A8577" t="s">
        <v>5592</v>
      </c>
    </row>
    <row r="8578" spans="1:1" x14ac:dyDescent="0.25">
      <c r="A8578" t="s">
        <v>5522</v>
      </c>
    </row>
    <row r="8579" spans="1:1" x14ac:dyDescent="0.25">
      <c r="A8579" t="s">
        <v>5593</v>
      </c>
    </row>
    <row r="8580" spans="1:1" x14ac:dyDescent="0.25">
      <c r="A8580" t="s">
        <v>3361</v>
      </c>
    </row>
    <row r="8581" spans="1:1" x14ac:dyDescent="0.25">
      <c r="A8581" t="s">
        <v>5594</v>
      </c>
    </row>
    <row r="8582" spans="1:1" x14ac:dyDescent="0.25">
      <c r="A8582" t="s">
        <v>5595</v>
      </c>
    </row>
    <row r="8583" spans="1:1" x14ac:dyDescent="0.25">
      <c r="A8583" t="s">
        <v>5596</v>
      </c>
    </row>
    <row r="8584" spans="1:1" x14ac:dyDescent="0.25">
      <c r="A8584" t="s">
        <v>5569</v>
      </c>
    </row>
    <row r="8585" spans="1:1" x14ac:dyDescent="0.25">
      <c r="A8585" t="s">
        <v>2686</v>
      </c>
    </row>
    <row r="8587" spans="1:1" x14ac:dyDescent="0.25">
      <c r="A8587" t="s">
        <v>2440</v>
      </c>
    </row>
    <row r="8589" spans="1:1" x14ac:dyDescent="0.25">
      <c r="A8589" t="s">
        <v>2682</v>
      </c>
    </row>
    <row r="8590" spans="1:1" x14ac:dyDescent="0.25">
      <c r="A8590" t="s">
        <v>5597</v>
      </c>
    </row>
    <row r="8591" spans="1:1" x14ac:dyDescent="0.25">
      <c r="A8591" t="s">
        <v>5522</v>
      </c>
    </row>
    <row r="8592" spans="1:1" x14ac:dyDescent="0.25">
      <c r="A8592" t="s">
        <v>5598</v>
      </c>
    </row>
    <row r="8593" spans="1:1" x14ac:dyDescent="0.25">
      <c r="A8593" t="s">
        <v>3361</v>
      </c>
    </row>
    <row r="8594" spans="1:1" x14ac:dyDescent="0.25">
      <c r="A8594" t="s">
        <v>5599</v>
      </c>
    </row>
    <row r="8595" spans="1:1" x14ac:dyDescent="0.25">
      <c r="A8595" t="s">
        <v>5600</v>
      </c>
    </row>
    <row r="8596" spans="1:1" x14ac:dyDescent="0.25">
      <c r="A8596" t="s">
        <v>5601</v>
      </c>
    </row>
    <row r="8597" spans="1:1" x14ac:dyDescent="0.25">
      <c r="A8597" t="s">
        <v>5569</v>
      </c>
    </row>
    <row r="8598" spans="1:1" x14ac:dyDescent="0.25">
      <c r="A8598" t="s">
        <v>2686</v>
      </c>
    </row>
    <row r="8600" spans="1:1" x14ac:dyDescent="0.25">
      <c r="A8600" t="s">
        <v>2440</v>
      </c>
    </row>
    <row r="8602" spans="1:1" x14ac:dyDescent="0.25">
      <c r="A8602" t="s">
        <v>2682</v>
      </c>
    </row>
    <row r="8603" spans="1:1" x14ac:dyDescent="0.25">
      <c r="A8603" t="s">
        <v>5602</v>
      </c>
    </row>
    <row r="8604" spans="1:1" x14ac:dyDescent="0.25">
      <c r="A8604" t="s">
        <v>5522</v>
      </c>
    </row>
    <row r="8605" spans="1:1" x14ac:dyDescent="0.25">
      <c r="A8605" t="s">
        <v>5603</v>
      </c>
    </row>
    <row r="8606" spans="1:1" x14ac:dyDescent="0.25">
      <c r="A8606" t="s">
        <v>3361</v>
      </c>
    </row>
    <row r="8607" spans="1:1" x14ac:dyDescent="0.25">
      <c r="A8607" t="s">
        <v>5604</v>
      </c>
    </row>
    <row r="8608" spans="1:1" x14ac:dyDescent="0.25">
      <c r="A8608" t="s">
        <v>5605</v>
      </c>
    </row>
    <row r="8609" spans="1:1" x14ac:dyDescent="0.25">
      <c r="A8609" t="s">
        <v>5606</v>
      </c>
    </row>
    <row r="8610" spans="1:1" x14ac:dyDescent="0.25">
      <c r="A8610" t="s">
        <v>5569</v>
      </c>
    </row>
    <row r="8611" spans="1:1" x14ac:dyDescent="0.25">
      <c r="A8611" t="s">
        <v>2686</v>
      </c>
    </row>
    <row r="8613" spans="1:1" x14ac:dyDescent="0.25">
      <c r="A8613" t="s">
        <v>2440</v>
      </c>
    </row>
    <row r="8615" spans="1:1" x14ac:dyDescent="0.25">
      <c r="A8615" t="s">
        <v>2682</v>
      </c>
    </row>
    <row r="8616" spans="1:1" x14ac:dyDescent="0.25">
      <c r="A8616" t="s">
        <v>5607</v>
      </c>
    </row>
    <row r="8617" spans="1:1" x14ac:dyDescent="0.25">
      <c r="A8617" t="s">
        <v>5522</v>
      </c>
    </row>
    <row r="8618" spans="1:1" x14ac:dyDescent="0.25">
      <c r="A8618" t="s">
        <v>5588</v>
      </c>
    </row>
    <row r="8619" spans="1:1" x14ac:dyDescent="0.25">
      <c r="A8619" t="s">
        <v>3361</v>
      </c>
    </row>
    <row r="8620" spans="1:1" x14ac:dyDescent="0.25">
      <c r="A8620" t="s">
        <v>5608</v>
      </c>
    </row>
    <row r="8621" spans="1:1" x14ac:dyDescent="0.25">
      <c r="A8621" t="s">
        <v>5609</v>
      </c>
    </row>
    <row r="8622" spans="1:1" x14ac:dyDescent="0.25">
      <c r="A8622" t="s">
        <v>5591</v>
      </c>
    </row>
    <row r="8623" spans="1:1" x14ac:dyDescent="0.25">
      <c r="A8623" t="s">
        <v>2686</v>
      </c>
    </row>
    <row r="8625" spans="1:1" x14ac:dyDescent="0.25">
      <c r="A8625" t="s">
        <v>2440</v>
      </c>
    </row>
    <row r="8627" spans="1:1" x14ac:dyDescent="0.25">
      <c r="A8627" t="s">
        <v>2682</v>
      </c>
    </row>
    <row r="8628" spans="1:1" x14ac:dyDescent="0.25">
      <c r="A8628" t="s">
        <v>5610</v>
      </c>
    </row>
    <row r="8629" spans="1:1" x14ac:dyDescent="0.25">
      <c r="A8629" t="s">
        <v>3913</v>
      </c>
    </row>
    <row r="8630" spans="1:1" x14ac:dyDescent="0.25">
      <c r="A8630" t="s">
        <v>3343</v>
      </c>
    </row>
    <row r="8631" spans="1:1" x14ac:dyDescent="0.25">
      <c r="A8631" t="s">
        <v>3914</v>
      </c>
    </row>
    <row r="8632" spans="1:1" x14ac:dyDescent="0.25">
      <c r="A8632" t="s">
        <v>3915</v>
      </c>
    </row>
    <row r="8633" spans="1:1" x14ac:dyDescent="0.25">
      <c r="A8633" t="s">
        <v>3916</v>
      </c>
    </row>
    <row r="8634" spans="1:1" x14ac:dyDescent="0.25">
      <c r="A8634" t="s">
        <v>3917</v>
      </c>
    </row>
    <row r="8635" spans="1:1" x14ac:dyDescent="0.25">
      <c r="A8635" t="s">
        <v>3918</v>
      </c>
    </row>
    <row r="8636" spans="1:1" x14ac:dyDescent="0.25">
      <c r="A8636" t="s">
        <v>3919</v>
      </c>
    </row>
    <row r="8637" spans="1:1" x14ac:dyDescent="0.25">
      <c r="A8637" t="s">
        <v>5611</v>
      </c>
    </row>
    <row r="8638" spans="1:1" x14ac:dyDescent="0.25">
      <c r="A8638" t="s">
        <v>5612</v>
      </c>
    </row>
    <row r="8639" spans="1:1" x14ac:dyDescent="0.25">
      <c r="A8639" t="s">
        <v>5613</v>
      </c>
    </row>
    <row r="8640" spans="1:1" x14ac:dyDescent="0.25">
      <c r="A8640" t="s">
        <v>5614</v>
      </c>
    </row>
    <row r="8641" spans="1:1" x14ac:dyDescent="0.25">
      <c r="A8641" t="s">
        <v>5615</v>
      </c>
    </row>
    <row r="8642" spans="1:1" x14ac:dyDescent="0.25">
      <c r="A8642" t="s">
        <v>5616</v>
      </c>
    </row>
    <row r="8643" spans="1:1" x14ac:dyDescent="0.25">
      <c r="A8643" t="s">
        <v>5617</v>
      </c>
    </row>
    <row r="8644" spans="1:1" x14ac:dyDescent="0.25">
      <c r="A8644" t="s">
        <v>5618</v>
      </c>
    </row>
    <row r="8645" spans="1:1" x14ac:dyDescent="0.25">
      <c r="A8645" t="s">
        <v>5619</v>
      </c>
    </row>
    <row r="8646" spans="1:1" x14ac:dyDescent="0.25">
      <c r="A8646" t="s">
        <v>5620</v>
      </c>
    </row>
    <row r="8647" spans="1:1" x14ac:dyDescent="0.25">
      <c r="A8647" t="s">
        <v>5621</v>
      </c>
    </row>
    <row r="8648" spans="1:1" x14ac:dyDescent="0.25">
      <c r="A8648" t="s">
        <v>2686</v>
      </c>
    </row>
    <row r="8650" spans="1:1" x14ac:dyDescent="0.25">
      <c r="A8650" t="s">
        <v>2440</v>
      </c>
    </row>
    <row r="8652" spans="1:1" x14ac:dyDescent="0.25">
      <c r="A8652" t="s">
        <v>3789</v>
      </c>
    </row>
    <row r="8653" spans="1:1" x14ac:dyDescent="0.25">
      <c r="A8653" t="s">
        <v>5622</v>
      </c>
    </row>
    <row r="8654" spans="1:1" x14ac:dyDescent="0.25">
      <c r="A8654" t="s">
        <v>5266</v>
      </c>
    </row>
    <row r="8655" spans="1:1" x14ac:dyDescent="0.25">
      <c r="A8655" t="s">
        <v>5522</v>
      </c>
    </row>
    <row r="8656" spans="1:1" x14ac:dyDescent="0.25">
      <c r="A8656" t="s">
        <v>5623</v>
      </c>
    </row>
    <row r="8657" spans="1:1" x14ac:dyDescent="0.25">
      <c r="A8657" t="s">
        <v>3361</v>
      </c>
    </row>
    <row r="8658" spans="1:1" x14ac:dyDescent="0.25">
      <c r="A8658" t="s">
        <v>5624</v>
      </c>
    </row>
    <row r="8659" spans="1:1" x14ac:dyDescent="0.25">
      <c r="A8659" t="s">
        <v>5625</v>
      </c>
    </row>
    <row r="8660" spans="1:1" x14ac:dyDescent="0.25">
      <c r="A8660" t="s">
        <v>5626</v>
      </c>
    </row>
    <row r="8661" spans="1:1" x14ac:dyDescent="0.25">
      <c r="A8661" t="s">
        <v>5627</v>
      </c>
    </row>
    <row r="8662" spans="1:1" x14ac:dyDescent="0.25">
      <c r="A8662" t="s">
        <v>3801</v>
      </c>
    </row>
    <row r="8664" spans="1:1" x14ac:dyDescent="0.25">
      <c r="A8664" t="s">
        <v>2440</v>
      </c>
    </row>
    <row r="8666" spans="1:1" x14ac:dyDescent="0.25">
      <c r="A8666" t="s">
        <v>2682</v>
      </c>
    </row>
    <row r="8667" spans="1:1" x14ac:dyDescent="0.25">
      <c r="A8667" t="s">
        <v>5628</v>
      </c>
    </row>
    <row r="8668" spans="1:1" x14ac:dyDescent="0.25">
      <c r="A8668" t="s">
        <v>2684</v>
      </c>
    </row>
    <row r="8669" spans="1:1" x14ac:dyDescent="0.25">
      <c r="A8669" t="s">
        <v>3343</v>
      </c>
    </row>
    <row r="8670" spans="1:1" x14ac:dyDescent="0.25">
      <c r="A8670" t="s">
        <v>5629</v>
      </c>
    </row>
    <row r="8671" spans="1:1" x14ac:dyDescent="0.25">
      <c r="A8671" t="s">
        <v>3345</v>
      </c>
    </row>
    <row r="8672" spans="1:1" x14ac:dyDescent="0.25">
      <c r="A8672" t="s">
        <v>5630</v>
      </c>
    </row>
    <row r="8673" spans="1:1" x14ac:dyDescent="0.25">
      <c r="A8673" t="s">
        <v>3347</v>
      </c>
    </row>
    <row r="8675" spans="1:1" x14ac:dyDescent="0.25">
      <c r="A8675" t="s">
        <v>5631</v>
      </c>
    </row>
    <row r="8676" spans="1:1" x14ac:dyDescent="0.25">
      <c r="A8676" t="s">
        <v>5632</v>
      </c>
    </row>
    <row r="8677" spans="1:1" x14ac:dyDescent="0.25">
      <c r="A8677" t="s">
        <v>5633</v>
      </c>
    </row>
    <row r="8678" spans="1:1" x14ac:dyDescent="0.25">
      <c r="A8678" t="s">
        <v>5634</v>
      </c>
    </row>
    <row r="8679" spans="1:1" x14ac:dyDescent="0.25">
      <c r="A8679" t="s">
        <v>5635</v>
      </c>
    </row>
    <row r="8680" spans="1:1" x14ac:dyDescent="0.25">
      <c r="A8680" t="s">
        <v>5636</v>
      </c>
    </row>
    <row r="8681" spans="1:1" x14ac:dyDescent="0.25">
      <c r="A8681" t="s">
        <v>3353</v>
      </c>
    </row>
    <row r="8682" spans="1:1" x14ac:dyDescent="0.25">
      <c r="A8682" t="s">
        <v>2686</v>
      </c>
    </row>
    <row r="8684" spans="1:1" x14ac:dyDescent="0.25">
      <c r="A8684" t="s">
        <v>2440</v>
      </c>
    </row>
    <row r="8686" spans="1:1" x14ac:dyDescent="0.25">
      <c r="A8686" t="s">
        <v>1934</v>
      </c>
    </row>
    <row r="8687" spans="1:1" x14ac:dyDescent="0.25">
      <c r="A8687" t="s">
        <v>5637</v>
      </c>
    </row>
    <row r="8688" spans="1:1" x14ac:dyDescent="0.25">
      <c r="A8688" t="s">
        <v>1942</v>
      </c>
    </row>
    <row r="8690" spans="1:1" x14ac:dyDescent="0.25">
      <c r="A8690" t="s">
        <v>2440</v>
      </c>
    </row>
    <row r="8692" spans="1:1" x14ac:dyDescent="0.25">
      <c r="A8692" t="s">
        <v>2682</v>
      </c>
    </row>
    <row r="8693" spans="1:1" x14ac:dyDescent="0.25">
      <c r="A8693" t="s">
        <v>5638</v>
      </c>
    </row>
    <row r="8694" spans="1:1" x14ac:dyDescent="0.25">
      <c r="A8694" t="s">
        <v>2664</v>
      </c>
    </row>
    <row r="8695" spans="1:1" x14ac:dyDescent="0.25">
      <c r="A8695" t="s">
        <v>3343</v>
      </c>
    </row>
    <row r="8696" spans="1:1" x14ac:dyDescent="0.25">
      <c r="A8696" t="s">
        <v>5639</v>
      </c>
    </row>
    <row r="8697" spans="1:1" x14ac:dyDescent="0.25">
      <c r="A8697" t="s">
        <v>5282</v>
      </c>
    </row>
    <row r="8698" spans="1:1" x14ac:dyDescent="0.25">
      <c r="A8698" t="s">
        <v>1790</v>
      </c>
    </row>
    <row r="8699" spans="1:1" x14ac:dyDescent="0.25">
      <c r="A8699" t="s">
        <v>1873</v>
      </c>
    </row>
    <row r="8700" spans="1:1" x14ac:dyDescent="0.25">
      <c r="A8700" t="s">
        <v>1874</v>
      </c>
    </row>
    <row r="8701" spans="1:1" x14ac:dyDescent="0.25">
      <c r="A8701" t="s">
        <v>1875</v>
      </c>
    </row>
    <row r="8702" spans="1:1" x14ac:dyDescent="0.25">
      <c r="A8702" t="s">
        <v>1794</v>
      </c>
    </row>
    <row r="8703" spans="1:1" x14ac:dyDescent="0.25">
      <c r="A8703" t="s">
        <v>4500</v>
      </c>
    </row>
    <row r="8704" spans="1:1" x14ac:dyDescent="0.25">
      <c r="A8704" t="s">
        <v>4501</v>
      </c>
    </row>
    <row r="8705" spans="1:1" x14ac:dyDescent="0.25">
      <c r="A8705" t="s">
        <v>1904</v>
      </c>
    </row>
    <row r="8706" spans="1:1" x14ac:dyDescent="0.25">
      <c r="A8706" t="s">
        <v>5640</v>
      </c>
    </row>
    <row r="8707" spans="1:1" x14ac:dyDescent="0.25">
      <c r="A8707" t="s">
        <v>5641</v>
      </c>
    </row>
    <row r="8708" spans="1:1" x14ac:dyDescent="0.25">
      <c r="A8708" t="s">
        <v>5642</v>
      </c>
    </row>
    <row r="8709" spans="1:1" x14ac:dyDescent="0.25">
      <c r="A8709" t="s">
        <v>5643</v>
      </c>
    </row>
    <row r="8710" spans="1:1" x14ac:dyDescent="0.25">
      <c r="A8710" t="s">
        <v>5644</v>
      </c>
    </row>
    <row r="8711" spans="1:1" x14ac:dyDescent="0.25">
      <c r="A8711" t="s">
        <v>5645</v>
      </c>
    </row>
    <row r="8712" spans="1:1" x14ac:dyDescent="0.25">
      <c r="A8712" t="s">
        <v>5646</v>
      </c>
    </row>
    <row r="8713" spans="1:1" x14ac:dyDescent="0.25">
      <c r="A8713" t="s">
        <v>5647</v>
      </c>
    </row>
    <row r="8714" spans="1:1" x14ac:dyDescent="0.25">
      <c r="A8714" t="s">
        <v>2686</v>
      </c>
    </row>
    <row r="8716" spans="1:1" x14ac:dyDescent="0.25">
      <c r="A8716" t="s">
        <v>2440</v>
      </c>
    </row>
    <row r="8718" spans="1:1" x14ac:dyDescent="0.25">
      <c r="A8718" t="s">
        <v>2682</v>
      </c>
    </row>
    <row r="8719" spans="1:1" x14ac:dyDescent="0.25">
      <c r="A8719" t="s">
        <v>5648</v>
      </c>
    </row>
    <row r="8720" spans="1:1" x14ac:dyDescent="0.25">
      <c r="A8720" t="s">
        <v>5510</v>
      </c>
    </row>
    <row r="8721" spans="1:1" x14ac:dyDescent="0.25">
      <c r="A8721" t="s">
        <v>5511</v>
      </c>
    </row>
    <row r="8722" spans="1:1" x14ac:dyDescent="0.25">
      <c r="A8722" t="s">
        <v>2664</v>
      </c>
    </row>
    <row r="8723" spans="1:1" x14ac:dyDescent="0.25">
      <c r="A8723" t="s">
        <v>4174</v>
      </c>
    </row>
    <row r="8724" spans="1:1" x14ac:dyDescent="0.25">
      <c r="A8724" t="s">
        <v>5363</v>
      </c>
    </row>
    <row r="8725" spans="1:1" x14ac:dyDescent="0.25">
      <c r="A8725" t="s">
        <v>3343</v>
      </c>
    </row>
    <row r="8726" spans="1:1" x14ac:dyDescent="0.25">
      <c r="A8726" t="s">
        <v>5649</v>
      </c>
    </row>
    <row r="8727" spans="1:1" x14ac:dyDescent="0.25">
      <c r="A8727" t="s">
        <v>5282</v>
      </c>
    </row>
    <row r="8728" spans="1:1" x14ac:dyDescent="0.25">
      <c r="A8728" t="s">
        <v>1790</v>
      </c>
    </row>
    <row r="8729" spans="1:1" x14ac:dyDescent="0.25">
      <c r="A8729" t="s">
        <v>1873</v>
      </c>
    </row>
    <row r="8730" spans="1:1" x14ac:dyDescent="0.25">
      <c r="A8730" t="s">
        <v>1874</v>
      </c>
    </row>
    <row r="8731" spans="1:1" x14ac:dyDescent="0.25">
      <c r="A8731" t="s">
        <v>1875</v>
      </c>
    </row>
    <row r="8732" spans="1:1" x14ac:dyDescent="0.25">
      <c r="A8732" t="s">
        <v>1794</v>
      </c>
    </row>
    <row r="8733" spans="1:1" x14ac:dyDescent="0.25">
      <c r="A8733" t="s">
        <v>4500</v>
      </c>
    </row>
    <row r="8734" spans="1:1" x14ac:dyDescent="0.25">
      <c r="A8734" t="s">
        <v>4501</v>
      </c>
    </row>
    <row r="8735" spans="1:1" x14ac:dyDescent="0.25">
      <c r="A8735" t="s">
        <v>1904</v>
      </c>
    </row>
    <row r="8736" spans="1:1" x14ac:dyDescent="0.25">
      <c r="A8736" t="s">
        <v>5382</v>
      </c>
    </row>
    <row r="8737" spans="1:1" x14ac:dyDescent="0.25">
      <c r="A8737" t="s">
        <v>5383</v>
      </c>
    </row>
    <row r="8738" spans="1:1" x14ac:dyDescent="0.25">
      <c r="A8738" t="s">
        <v>5514</v>
      </c>
    </row>
    <row r="8739" spans="1:1" x14ac:dyDescent="0.25">
      <c r="A8739" t="s">
        <v>5385</v>
      </c>
    </row>
    <row r="8740" spans="1:1" x14ac:dyDescent="0.25">
      <c r="A8740" t="s">
        <v>5386</v>
      </c>
    </row>
    <row r="8741" spans="1:1" x14ac:dyDescent="0.25">
      <c r="A8741" t="s">
        <v>5387</v>
      </c>
    </row>
    <row r="8742" spans="1:1" x14ac:dyDescent="0.25">
      <c r="A8742" t="s">
        <v>5515</v>
      </c>
    </row>
    <row r="8743" spans="1:1" x14ac:dyDescent="0.25">
      <c r="A8743" t="s">
        <v>5650</v>
      </c>
    </row>
    <row r="8744" spans="1:1" x14ac:dyDescent="0.25">
      <c r="A8744" t="s">
        <v>5651</v>
      </c>
    </row>
    <row r="8745" spans="1:1" x14ac:dyDescent="0.25">
      <c r="A8745" t="s">
        <v>5652</v>
      </c>
    </row>
    <row r="8746" spans="1:1" x14ac:dyDescent="0.25">
      <c r="A8746" t="s">
        <v>2686</v>
      </c>
    </row>
    <row r="8748" spans="1:1" x14ac:dyDescent="0.25">
      <c r="A8748" t="s">
        <v>2440</v>
      </c>
    </row>
    <row r="8750" spans="1:1" x14ac:dyDescent="0.25">
      <c r="A8750" t="s">
        <v>2682</v>
      </c>
    </row>
    <row r="8751" spans="1:1" x14ac:dyDescent="0.25">
      <c r="A8751" t="s">
        <v>5653</v>
      </c>
    </row>
    <row r="8752" spans="1:1" x14ac:dyDescent="0.25">
      <c r="A8752" t="s">
        <v>2446</v>
      </c>
    </row>
    <row r="8753" spans="1:2" x14ac:dyDescent="0.25">
      <c r="A8753" t="s">
        <v>5654</v>
      </c>
    </row>
    <row r="8754" spans="1:2" x14ac:dyDescent="0.25">
      <c r="A8754" t="s">
        <v>2448</v>
      </c>
    </row>
    <row r="8755" spans="1:2" x14ac:dyDescent="0.25">
      <c r="A8755" t="s">
        <v>5655</v>
      </c>
    </row>
    <row r="8756" spans="1:2" x14ac:dyDescent="0.25">
      <c r="B8756" t="s">
        <v>5656</v>
      </c>
    </row>
    <row r="8757" spans="1:2" x14ac:dyDescent="0.25">
      <c r="A8757" t="s">
        <v>1940</v>
      </c>
    </row>
    <row r="8758" spans="1:2" x14ac:dyDescent="0.25">
      <c r="B8758" t="s">
        <v>5657</v>
      </c>
    </row>
    <row r="8759" spans="1:2" x14ac:dyDescent="0.25">
      <c r="A8759" t="s">
        <v>2453</v>
      </c>
    </row>
    <row r="8761" spans="1:2" x14ac:dyDescent="0.25">
      <c r="A8761" t="s">
        <v>5658</v>
      </c>
    </row>
    <row r="8762" spans="1:2" x14ac:dyDescent="0.25">
      <c r="A8762" t="s">
        <v>5659</v>
      </c>
    </row>
    <row r="8763" spans="1:2" x14ac:dyDescent="0.25">
      <c r="A8763" t="s">
        <v>2686</v>
      </c>
    </row>
    <row r="8765" spans="1:2" x14ac:dyDescent="0.25">
      <c r="A8765" t="s">
        <v>2440</v>
      </c>
    </row>
    <row r="8767" spans="1:2" x14ac:dyDescent="0.25">
      <c r="A8767" t="s">
        <v>2682</v>
      </c>
    </row>
    <row r="8768" spans="1:2" x14ac:dyDescent="0.25">
      <c r="A8768" t="s">
        <v>5660</v>
      </c>
    </row>
    <row r="8769" spans="1:1" x14ac:dyDescent="0.25">
      <c r="A8769" t="s">
        <v>5522</v>
      </c>
    </row>
    <row r="8770" spans="1:1" x14ac:dyDescent="0.25">
      <c r="A8770" t="s">
        <v>5661</v>
      </c>
    </row>
    <row r="8771" spans="1:1" x14ac:dyDescent="0.25">
      <c r="A8771" t="s">
        <v>3361</v>
      </c>
    </row>
    <row r="8772" spans="1:1" x14ac:dyDescent="0.25">
      <c r="A8772" t="s">
        <v>5662</v>
      </c>
    </row>
    <row r="8773" spans="1:1" x14ac:dyDescent="0.25">
      <c r="A8773" t="s">
        <v>5663</v>
      </c>
    </row>
    <row r="8774" spans="1:1" x14ac:dyDescent="0.25">
      <c r="A8774" t="s">
        <v>5664</v>
      </c>
    </row>
    <row r="8775" spans="1:1" x14ac:dyDescent="0.25">
      <c r="A8775" t="s">
        <v>5665</v>
      </c>
    </row>
    <row r="8776" spans="1:1" x14ac:dyDescent="0.25">
      <c r="A8776" t="s">
        <v>5666</v>
      </c>
    </row>
    <row r="8777" spans="1:1" x14ac:dyDescent="0.25">
      <c r="A8777" t="s">
        <v>2686</v>
      </c>
    </row>
    <row r="8779" spans="1:1" x14ac:dyDescent="0.25">
      <c r="A8779" t="s">
        <v>2440</v>
      </c>
    </row>
    <row r="8781" spans="1:1" x14ac:dyDescent="0.25">
      <c r="A8781" t="s">
        <v>2682</v>
      </c>
    </row>
    <row r="8782" spans="1:1" x14ac:dyDescent="0.25">
      <c r="A8782" t="s">
        <v>5667</v>
      </c>
    </row>
    <row r="8783" spans="1:1" x14ac:dyDescent="0.25">
      <c r="A8783" t="s">
        <v>5668</v>
      </c>
    </row>
    <row r="8784" spans="1:1" x14ac:dyDescent="0.25">
      <c r="A8784" t="s">
        <v>2664</v>
      </c>
    </row>
    <row r="8785" spans="1:1" x14ac:dyDescent="0.25">
      <c r="A8785" t="s">
        <v>3376</v>
      </c>
    </row>
    <row r="8786" spans="1:1" x14ac:dyDescent="0.25">
      <c r="A8786" t="s">
        <v>5669</v>
      </c>
    </row>
    <row r="8787" spans="1:1" x14ac:dyDescent="0.25">
      <c r="A8787" t="s">
        <v>3361</v>
      </c>
    </row>
    <row r="8788" spans="1:1" x14ac:dyDescent="0.25">
      <c r="A8788" t="s">
        <v>5670</v>
      </c>
    </row>
    <row r="8789" spans="1:1" x14ac:dyDescent="0.25">
      <c r="A8789" t="s">
        <v>5671</v>
      </c>
    </row>
    <row r="8790" spans="1:1" x14ac:dyDescent="0.25">
      <c r="A8790" t="s">
        <v>5672</v>
      </c>
    </row>
    <row r="8791" spans="1:1" x14ac:dyDescent="0.25">
      <c r="A8791" t="s">
        <v>5673</v>
      </c>
    </row>
    <row r="8792" spans="1:1" x14ac:dyDescent="0.25">
      <c r="A8792" t="s">
        <v>5674</v>
      </c>
    </row>
    <row r="8793" spans="1:1" x14ac:dyDescent="0.25">
      <c r="A8793" t="s">
        <v>5675</v>
      </c>
    </row>
    <row r="8794" spans="1:1" x14ac:dyDescent="0.25">
      <c r="A8794" t="s">
        <v>5676</v>
      </c>
    </row>
    <row r="8795" spans="1:1" x14ac:dyDescent="0.25">
      <c r="A8795" t="s">
        <v>5677</v>
      </c>
    </row>
    <row r="8796" spans="1:1" x14ac:dyDescent="0.25">
      <c r="A8796" t="s">
        <v>5678</v>
      </c>
    </row>
    <row r="8797" spans="1:1" x14ac:dyDescent="0.25">
      <c r="A8797" t="s">
        <v>5679</v>
      </c>
    </row>
    <row r="8798" spans="1:1" x14ac:dyDescent="0.25">
      <c r="A8798" t="s">
        <v>2686</v>
      </c>
    </row>
    <row r="8800" spans="1:1" x14ac:dyDescent="0.25">
      <c r="A8800" t="s">
        <v>2440</v>
      </c>
    </row>
    <row r="8802" spans="1:1" x14ac:dyDescent="0.25">
      <c r="A8802" t="s">
        <v>2682</v>
      </c>
    </row>
    <row r="8803" spans="1:1" x14ac:dyDescent="0.25">
      <c r="A8803" t="s">
        <v>5680</v>
      </c>
    </row>
    <row r="8804" spans="1:1" x14ac:dyDescent="0.25">
      <c r="A8804" t="s">
        <v>5668</v>
      </c>
    </row>
    <row r="8805" spans="1:1" x14ac:dyDescent="0.25">
      <c r="A8805" t="s">
        <v>5522</v>
      </c>
    </row>
    <row r="8806" spans="1:1" x14ac:dyDescent="0.25">
      <c r="A8806" t="s">
        <v>5681</v>
      </c>
    </row>
    <row r="8807" spans="1:1" x14ac:dyDescent="0.25">
      <c r="A8807" t="s">
        <v>3361</v>
      </c>
    </row>
    <row r="8808" spans="1:1" x14ac:dyDescent="0.25">
      <c r="A8808" t="s">
        <v>5682</v>
      </c>
    </row>
    <row r="8809" spans="1:1" x14ac:dyDescent="0.25">
      <c r="A8809" t="s">
        <v>5683</v>
      </c>
    </row>
    <row r="8810" spans="1:1" x14ac:dyDescent="0.25">
      <c r="A8810" t="s">
        <v>5684</v>
      </c>
    </row>
    <row r="8811" spans="1:1" x14ac:dyDescent="0.25">
      <c r="A8811" t="s">
        <v>5685</v>
      </c>
    </row>
    <row r="8812" spans="1:1" x14ac:dyDescent="0.25">
      <c r="A8812" t="s">
        <v>5686</v>
      </c>
    </row>
    <row r="8813" spans="1:1" x14ac:dyDescent="0.25">
      <c r="A8813" t="s">
        <v>2686</v>
      </c>
    </row>
    <row r="8815" spans="1:1" x14ac:dyDescent="0.25">
      <c r="A8815" t="s">
        <v>2440</v>
      </c>
    </row>
    <row r="8817" spans="1:1" x14ac:dyDescent="0.25">
      <c r="A8817" t="s">
        <v>2682</v>
      </c>
    </row>
    <row r="8818" spans="1:1" x14ac:dyDescent="0.25">
      <c r="A8818" t="s">
        <v>5687</v>
      </c>
    </row>
    <row r="8819" spans="1:1" x14ac:dyDescent="0.25">
      <c r="A8819" t="s">
        <v>5668</v>
      </c>
    </row>
    <row r="8820" spans="1:1" x14ac:dyDescent="0.25">
      <c r="A8820" t="s">
        <v>5522</v>
      </c>
    </row>
    <row r="8821" spans="1:1" x14ac:dyDescent="0.25">
      <c r="A8821" t="s">
        <v>5688</v>
      </c>
    </row>
    <row r="8822" spans="1:1" x14ac:dyDescent="0.25">
      <c r="A8822" t="s">
        <v>3361</v>
      </c>
    </row>
    <row r="8823" spans="1:1" x14ac:dyDescent="0.25">
      <c r="A8823" t="s">
        <v>5689</v>
      </c>
    </row>
    <row r="8824" spans="1:1" x14ac:dyDescent="0.25">
      <c r="A8824" t="s">
        <v>5690</v>
      </c>
    </row>
    <row r="8825" spans="1:1" x14ac:dyDescent="0.25">
      <c r="A8825" t="s">
        <v>5691</v>
      </c>
    </row>
    <row r="8826" spans="1:1" x14ac:dyDescent="0.25">
      <c r="A8826" t="s">
        <v>5692</v>
      </c>
    </row>
    <row r="8827" spans="1:1" x14ac:dyDescent="0.25">
      <c r="A8827" t="s">
        <v>5693</v>
      </c>
    </row>
    <row r="8828" spans="1:1" x14ac:dyDescent="0.25">
      <c r="A8828" t="s">
        <v>5694</v>
      </c>
    </row>
    <row r="8829" spans="1:1" x14ac:dyDescent="0.25">
      <c r="A8829" t="s">
        <v>5695</v>
      </c>
    </row>
    <row r="8830" spans="1:1" x14ac:dyDescent="0.25">
      <c r="A8830" t="s">
        <v>2686</v>
      </c>
    </row>
    <row r="8831" spans="1:1" x14ac:dyDescent="0.25">
      <c r="A8831" t="s">
        <v>2749</v>
      </c>
    </row>
    <row r="8833" spans="1:1" x14ac:dyDescent="0.25">
      <c r="A8833" t="s">
        <v>1775</v>
      </c>
    </row>
    <row r="8835" spans="1:1" x14ac:dyDescent="0.25">
      <c r="A8835" t="s">
        <v>1929</v>
      </c>
    </row>
    <row r="8836" spans="1:1" x14ac:dyDescent="0.25">
      <c r="A8836" t="s">
        <v>5696</v>
      </c>
    </row>
    <row r="8837" spans="1:1" x14ac:dyDescent="0.25">
      <c r="A8837" t="s">
        <v>5697</v>
      </c>
    </row>
    <row r="8838" spans="1:1" x14ac:dyDescent="0.25">
      <c r="A8838" t="s">
        <v>5698</v>
      </c>
    </row>
    <row r="8839" spans="1:1" x14ac:dyDescent="0.25">
      <c r="A8839" t="s">
        <v>5699</v>
      </c>
    </row>
    <row r="8840" spans="1:1" x14ac:dyDescent="0.25">
      <c r="A8840" t="s">
        <v>2326</v>
      </c>
    </row>
    <row r="8841" spans="1:1" x14ac:dyDescent="0.25">
      <c r="A8841" t="s">
        <v>5700</v>
      </c>
    </row>
    <row r="8842" spans="1:1" x14ac:dyDescent="0.25">
      <c r="A8842" t="s">
        <v>2353</v>
      </c>
    </row>
    <row r="8843" spans="1:1" x14ac:dyDescent="0.25">
      <c r="A8843" t="s">
        <v>5701</v>
      </c>
    </row>
    <row r="8844" spans="1:1" x14ac:dyDescent="0.25">
      <c r="A8844" t="s">
        <v>5702</v>
      </c>
    </row>
    <row r="8845" spans="1:1" x14ac:dyDescent="0.25">
      <c r="A8845" t="s">
        <v>5703</v>
      </c>
    </row>
    <row r="8846" spans="1:1" x14ac:dyDescent="0.25">
      <c r="A8846" t="s">
        <v>5704</v>
      </c>
    </row>
    <row r="8847" spans="1:1" x14ac:dyDescent="0.25">
      <c r="A8847" t="s">
        <v>5705</v>
      </c>
    </row>
    <row r="8848" spans="1:1" x14ac:dyDescent="0.25">
      <c r="A8848" t="s">
        <v>5706</v>
      </c>
    </row>
    <row r="8849" spans="1:1" x14ac:dyDescent="0.25">
      <c r="A8849" t="s">
        <v>5707</v>
      </c>
    </row>
    <row r="8850" spans="1:1" x14ac:dyDescent="0.25">
      <c r="A8850" t="s">
        <v>5708</v>
      </c>
    </row>
    <row r="8851" spans="1:1" x14ac:dyDescent="0.25">
      <c r="A8851" t="s">
        <v>5709</v>
      </c>
    </row>
    <row r="8852" spans="1:1" x14ac:dyDescent="0.25">
      <c r="A8852" t="s">
        <v>5710</v>
      </c>
    </row>
    <row r="8853" spans="1:1" x14ac:dyDescent="0.25">
      <c r="A8853" t="s">
        <v>5711</v>
      </c>
    </row>
    <row r="8854" spans="1:1" x14ac:dyDescent="0.25">
      <c r="A8854" t="s">
        <v>5712</v>
      </c>
    </row>
    <row r="8855" spans="1:1" x14ac:dyDescent="0.25">
      <c r="A8855" t="s">
        <v>5713</v>
      </c>
    </row>
    <row r="8856" spans="1:1" x14ac:dyDescent="0.25">
      <c r="A8856" t="s">
        <v>5714</v>
      </c>
    </row>
    <row r="8857" spans="1:1" x14ac:dyDescent="0.25">
      <c r="A8857" t="s">
        <v>5715</v>
      </c>
    </row>
    <row r="8858" spans="1:1" x14ac:dyDescent="0.25">
      <c r="A8858" t="s">
        <v>5716</v>
      </c>
    </row>
    <row r="8859" spans="1:1" x14ac:dyDescent="0.25">
      <c r="A8859" t="s">
        <v>5717</v>
      </c>
    </row>
    <row r="8860" spans="1:1" x14ac:dyDescent="0.25">
      <c r="A8860" t="s">
        <v>5718</v>
      </c>
    </row>
    <row r="8861" spans="1:1" x14ac:dyDescent="0.25">
      <c r="A8861" t="s">
        <v>1945</v>
      </c>
    </row>
    <row r="8863" spans="1:1" x14ac:dyDescent="0.25">
      <c r="A8863" t="s">
        <v>1775</v>
      </c>
    </row>
    <row r="8865" spans="1:1" x14ac:dyDescent="0.25">
      <c r="A8865" t="s">
        <v>1929</v>
      </c>
    </row>
    <row r="8866" spans="1:1" x14ac:dyDescent="0.25">
      <c r="A8866" t="s">
        <v>5719</v>
      </c>
    </row>
    <row r="8867" spans="1:1" x14ac:dyDescent="0.25">
      <c r="A8867" t="s">
        <v>2353</v>
      </c>
    </row>
    <row r="8868" spans="1:1" x14ac:dyDescent="0.25">
      <c r="A8868" t="s">
        <v>5720</v>
      </c>
    </row>
    <row r="8869" spans="1:1" x14ac:dyDescent="0.25">
      <c r="A8869" t="s">
        <v>5721</v>
      </c>
    </row>
    <row r="8870" spans="1:1" x14ac:dyDescent="0.25">
      <c r="A8870" t="s">
        <v>5722</v>
      </c>
    </row>
    <row r="8871" spans="1:1" x14ac:dyDescent="0.25">
      <c r="A8871" t="s">
        <v>5723</v>
      </c>
    </row>
    <row r="8872" spans="1:1" x14ac:dyDescent="0.25">
      <c r="A8872" t="s">
        <v>5724</v>
      </c>
    </row>
    <row r="8874" spans="1:1" x14ac:dyDescent="0.25">
      <c r="A8874" t="s">
        <v>5725</v>
      </c>
    </row>
    <row r="8875" spans="1:1" x14ac:dyDescent="0.25">
      <c r="A8875" t="s">
        <v>2031</v>
      </c>
    </row>
    <row r="8876" spans="1:1" x14ac:dyDescent="0.25">
      <c r="A8876" t="s">
        <v>5726</v>
      </c>
    </row>
    <row r="8877" spans="1:1" x14ac:dyDescent="0.25">
      <c r="A8877" t="s">
        <v>1945</v>
      </c>
    </row>
    <row r="8879" spans="1:1" x14ac:dyDescent="0.25">
      <c r="A8879" t="s">
        <v>1775</v>
      </c>
    </row>
    <row r="8881" spans="1:1" x14ac:dyDescent="0.25">
      <c r="A8881" t="s">
        <v>1927</v>
      </c>
    </row>
    <row r="8882" spans="1:1" x14ac:dyDescent="0.25">
      <c r="A8882" t="s">
        <v>5727</v>
      </c>
    </row>
    <row r="8883" spans="1:1" x14ac:dyDescent="0.25">
      <c r="A8883" t="s">
        <v>1926</v>
      </c>
    </row>
    <row r="8885" spans="1:1" x14ac:dyDescent="0.25">
      <c r="A8885" t="s">
        <v>1775</v>
      </c>
    </row>
    <row r="8887" spans="1:1" x14ac:dyDescent="0.25">
      <c r="A8887" t="s">
        <v>1929</v>
      </c>
    </row>
    <row r="8888" spans="1:1" x14ac:dyDescent="0.25">
      <c r="A8888" t="s">
        <v>5728</v>
      </c>
    </row>
    <row r="8889" spans="1:1" x14ac:dyDescent="0.25">
      <c r="A8889" t="s">
        <v>5729</v>
      </c>
    </row>
    <row r="8890" spans="1:1" x14ac:dyDescent="0.25">
      <c r="A8890" t="s">
        <v>5722</v>
      </c>
    </row>
    <row r="8891" spans="1:1" x14ac:dyDescent="0.25">
      <c r="A8891" t="s">
        <v>5730</v>
      </c>
    </row>
    <row r="8892" spans="1:1" x14ac:dyDescent="0.25">
      <c r="A8892" t="s">
        <v>5724</v>
      </c>
    </row>
    <row r="8894" spans="1:1" x14ac:dyDescent="0.25">
      <c r="A8894" t="s">
        <v>5731</v>
      </c>
    </row>
    <row r="8895" spans="1:1" x14ac:dyDescent="0.25">
      <c r="A8895" t="s">
        <v>5732</v>
      </c>
    </row>
    <row r="8896" spans="1:1" x14ac:dyDescent="0.25">
      <c r="A8896" t="s">
        <v>5733</v>
      </c>
    </row>
    <row r="8897" spans="1:1" x14ac:dyDescent="0.25">
      <c r="A8897" t="s">
        <v>5734</v>
      </c>
    </row>
    <row r="8898" spans="1:1" x14ac:dyDescent="0.25">
      <c r="A8898" t="s">
        <v>5726</v>
      </c>
    </row>
    <row r="8899" spans="1:1" x14ac:dyDescent="0.25">
      <c r="A8899" t="s">
        <v>1945</v>
      </c>
    </row>
    <row r="8901" spans="1:1" x14ac:dyDescent="0.25">
      <c r="A8901" t="s">
        <v>1775</v>
      </c>
    </row>
    <row r="8903" spans="1:1" x14ac:dyDescent="0.25">
      <c r="A8903" t="s">
        <v>1927</v>
      </c>
    </row>
    <row r="8904" spans="1:1" x14ac:dyDescent="0.25">
      <c r="A8904" t="s">
        <v>5735</v>
      </c>
    </row>
    <row r="8905" spans="1:1" x14ac:dyDescent="0.25">
      <c r="A8905" t="s">
        <v>1926</v>
      </c>
    </row>
    <row r="8907" spans="1:1" x14ac:dyDescent="0.25">
      <c r="A8907" t="s">
        <v>1775</v>
      </c>
    </row>
    <row r="8909" spans="1:1" x14ac:dyDescent="0.25">
      <c r="A8909" t="s">
        <v>1927</v>
      </c>
    </row>
    <row r="8910" spans="1:1" x14ac:dyDescent="0.25">
      <c r="A8910" t="s">
        <v>5736</v>
      </c>
    </row>
    <row r="8911" spans="1:1" x14ac:dyDescent="0.25">
      <c r="A8911" t="s">
        <v>5737</v>
      </c>
    </row>
    <row r="8912" spans="1:1" x14ac:dyDescent="0.25">
      <c r="A8912" t="s">
        <v>5738</v>
      </c>
    </row>
    <row r="8913" spans="1:2" x14ac:dyDescent="0.25">
      <c r="A8913" t="s">
        <v>5739</v>
      </c>
    </row>
    <row r="8914" spans="1:2" x14ac:dyDescent="0.25">
      <c r="A8914" t="s">
        <v>5740</v>
      </c>
    </row>
    <row r="8915" spans="1:2" x14ac:dyDescent="0.25">
      <c r="A8915" t="s">
        <v>5741</v>
      </c>
    </row>
    <row r="8916" spans="1:2" x14ac:dyDescent="0.25">
      <c r="A8916" t="s">
        <v>5742</v>
      </c>
    </row>
    <row r="8917" spans="1:2" x14ac:dyDescent="0.25">
      <c r="A8917" t="s">
        <v>5743</v>
      </c>
    </row>
    <row r="8918" spans="1:2" x14ac:dyDescent="0.25">
      <c r="A8918" t="s">
        <v>5744</v>
      </c>
    </row>
    <row r="8919" spans="1:2" x14ac:dyDescent="0.25">
      <c r="A8919" t="s">
        <v>5745</v>
      </c>
    </row>
    <row r="8920" spans="1:2" x14ac:dyDescent="0.25">
      <c r="A8920" t="s">
        <v>1940</v>
      </c>
    </row>
    <row r="8921" spans="1:2" x14ac:dyDescent="0.25">
      <c r="B8921" t="s">
        <v>5746</v>
      </c>
    </row>
    <row r="8922" spans="1:2" x14ac:dyDescent="0.25">
      <c r="A8922" t="s">
        <v>1926</v>
      </c>
    </row>
    <row r="8924" spans="1:2" x14ac:dyDescent="0.25">
      <c r="A8924" t="s">
        <v>1775</v>
      </c>
    </row>
    <row r="8926" spans="1:2" x14ac:dyDescent="0.25">
      <c r="A8926" t="s">
        <v>1929</v>
      </c>
    </row>
    <row r="8927" spans="1:2" x14ac:dyDescent="0.25">
      <c r="A8927" t="s">
        <v>5747</v>
      </c>
    </row>
    <row r="8928" spans="1:2" x14ac:dyDescent="0.25">
      <c r="A8928" t="s">
        <v>1947</v>
      </c>
    </row>
    <row r="8929" spans="1:1" x14ac:dyDescent="0.25">
      <c r="A8929" t="s">
        <v>2097</v>
      </c>
    </row>
    <row r="8930" spans="1:1" x14ac:dyDescent="0.25">
      <c r="A8930" t="s">
        <v>1931</v>
      </c>
    </row>
    <row r="8931" spans="1:1" x14ac:dyDescent="0.25">
      <c r="A8931" t="s">
        <v>5748</v>
      </c>
    </row>
    <row r="8932" spans="1:1" x14ac:dyDescent="0.25">
      <c r="A8932" t="s">
        <v>5749</v>
      </c>
    </row>
    <row r="8933" spans="1:1" x14ac:dyDescent="0.25">
      <c r="A8933" t="s">
        <v>5750</v>
      </c>
    </row>
    <row r="8934" spans="1:1" x14ac:dyDescent="0.25">
      <c r="A8934" t="s">
        <v>5751</v>
      </c>
    </row>
    <row r="8935" spans="1:1" x14ac:dyDescent="0.25">
      <c r="A8935" t="s">
        <v>5752</v>
      </c>
    </row>
    <row r="8936" spans="1:1" x14ac:dyDescent="0.25">
      <c r="A8936" t="s">
        <v>5753</v>
      </c>
    </row>
    <row r="8937" spans="1:1" x14ac:dyDescent="0.25">
      <c r="A8937" t="s">
        <v>5754</v>
      </c>
    </row>
    <row r="8938" spans="1:1" x14ac:dyDescent="0.25">
      <c r="A8938" t="s">
        <v>1945</v>
      </c>
    </row>
    <row r="8940" spans="1:1" x14ac:dyDescent="0.25">
      <c r="A8940" t="s">
        <v>1775</v>
      </c>
    </row>
    <row r="8942" spans="1:1" x14ac:dyDescent="0.25">
      <c r="A8942" t="s">
        <v>1929</v>
      </c>
    </row>
    <row r="8943" spans="1:1" x14ac:dyDescent="0.25">
      <c r="A8943" t="s">
        <v>5755</v>
      </c>
    </row>
    <row r="8944" spans="1:1" x14ac:dyDescent="0.25">
      <c r="A8944" t="s">
        <v>5756</v>
      </c>
    </row>
    <row r="8945" spans="1:1" x14ac:dyDescent="0.25">
      <c r="A8945" t="s">
        <v>5757</v>
      </c>
    </row>
    <row r="8946" spans="1:1" x14ac:dyDescent="0.25">
      <c r="A8946" t="s">
        <v>5758</v>
      </c>
    </row>
    <row r="8947" spans="1:1" x14ac:dyDescent="0.25">
      <c r="A8947" t="s">
        <v>5759</v>
      </c>
    </row>
    <row r="8948" spans="1:1" x14ac:dyDescent="0.25">
      <c r="A8948" t="s">
        <v>5726</v>
      </c>
    </row>
    <row r="8949" spans="1:1" x14ac:dyDescent="0.25">
      <c r="A8949" t="s">
        <v>1945</v>
      </c>
    </row>
    <row r="8951" spans="1:1" x14ac:dyDescent="0.25">
      <c r="A8951" t="s">
        <v>1775</v>
      </c>
    </row>
    <row r="8953" spans="1:1" x14ac:dyDescent="0.25">
      <c r="A8953" t="s">
        <v>1929</v>
      </c>
    </row>
    <row r="8954" spans="1:1" x14ac:dyDescent="0.25">
      <c r="A8954" t="s">
        <v>5760</v>
      </c>
    </row>
    <row r="8955" spans="1:1" x14ac:dyDescent="0.25">
      <c r="A8955" t="s">
        <v>5761</v>
      </c>
    </row>
    <row r="8956" spans="1:1" x14ac:dyDescent="0.25">
      <c r="A8956" t="s">
        <v>5762</v>
      </c>
    </row>
    <row r="8957" spans="1:1" x14ac:dyDescent="0.25">
      <c r="A8957" t="s">
        <v>2032</v>
      </c>
    </row>
    <row r="8958" spans="1:1" x14ac:dyDescent="0.25">
      <c r="A8958" t="s">
        <v>5726</v>
      </c>
    </row>
    <row r="8959" spans="1:1" x14ac:dyDescent="0.25">
      <c r="A8959" t="s">
        <v>1945</v>
      </c>
    </row>
    <row r="8961" spans="1:1" x14ac:dyDescent="0.25">
      <c r="A8961" t="s">
        <v>1775</v>
      </c>
    </row>
    <row r="8963" spans="1:1" x14ac:dyDescent="0.25">
      <c r="A8963" t="s">
        <v>1929</v>
      </c>
    </row>
    <row r="8964" spans="1:1" x14ac:dyDescent="0.25">
      <c r="A8964" t="s">
        <v>5763</v>
      </c>
    </row>
    <row r="8965" spans="1:1" x14ac:dyDescent="0.25">
      <c r="A8965" t="s">
        <v>2353</v>
      </c>
    </row>
    <row r="8966" spans="1:1" x14ac:dyDescent="0.25">
      <c r="A8966" t="s">
        <v>5764</v>
      </c>
    </row>
    <row r="8967" spans="1:1" x14ac:dyDescent="0.25">
      <c r="A8967" t="s">
        <v>5765</v>
      </c>
    </row>
    <row r="8968" spans="1:1" x14ac:dyDescent="0.25">
      <c r="A8968" t="s">
        <v>5766</v>
      </c>
    </row>
    <row r="8969" spans="1:1" x14ac:dyDescent="0.25">
      <c r="A8969" t="s">
        <v>5767</v>
      </c>
    </row>
    <row r="8970" spans="1:1" x14ac:dyDescent="0.25">
      <c r="A8970" t="s">
        <v>5768</v>
      </c>
    </row>
    <row r="8971" spans="1:1" x14ac:dyDescent="0.25">
      <c r="A8971" t="s">
        <v>5769</v>
      </c>
    </row>
    <row r="8972" spans="1:1" x14ac:dyDescent="0.25">
      <c r="A8972" t="s">
        <v>5770</v>
      </c>
    </row>
    <row r="8973" spans="1:1" x14ac:dyDescent="0.25">
      <c r="A8973" t="s">
        <v>5771</v>
      </c>
    </row>
    <row r="8974" spans="1:1" x14ac:dyDescent="0.25">
      <c r="A8974" t="s">
        <v>5772</v>
      </c>
    </row>
    <row r="8975" spans="1:1" x14ac:dyDescent="0.25">
      <c r="A8975" t="s">
        <v>5773</v>
      </c>
    </row>
    <row r="8976" spans="1:1" x14ac:dyDescent="0.25">
      <c r="A8976" t="s">
        <v>5726</v>
      </c>
    </row>
    <row r="8977" spans="1:1" x14ac:dyDescent="0.25">
      <c r="A8977" t="s">
        <v>1945</v>
      </c>
    </row>
    <row r="8979" spans="1:1" x14ac:dyDescent="0.25">
      <c r="A8979" t="s">
        <v>1775</v>
      </c>
    </row>
    <row r="8981" spans="1:1" x14ac:dyDescent="0.25">
      <c r="A8981" t="s">
        <v>1929</v>
      </c>
    </row>
    <row r="8982" spans="1:1" x14ac:dyDescent="0.25">
      <c r="A8982" t="s">
        <v>5774</v>
      </c>
    </row>
    <row r="8983" spans="1:1" x14ac:dyDescent="0.25">
      <c r="A8983" t="s">
        <v>2097</v>
      </c>
    </row>
    <row r="8984" spans="1:1" x14ac:dyDescent="0.25">
      <c r="A8984" t="s">
        <v>1931</v>
      </c>
    </row>
    <row r="8985" spans="1:1" x14ac:dyDescent="0.25">
      <c r="A8985" t="s">
        <v>5775</v>
      </c>
    </row>
    <row r="8986" spans="1:1" x14ac:dyDescent="0.25">
      <c r="A8986" t="s">
        <v>1934</v>
      </c>
    </row>
    <row r="8987" spans="1:1" x14ac:dyDescent="0.25">
      <c r="A8987" t="s">
        <v>5776</v>
      </c>
    </row>
    <row r="8988" spans="1:1" x14ac:dyDescent="0.25">
      <c r="A8988" t="s">
        <v>5777</v>
      </c>
    </row>
    <row r="8989" spans="1:1" x14ac:dyDescent="0.25">
      <c r="A8989" t="s">
        <v>5778</v>
      </c>
    </row>
    <row r="8990" spans="1:1" x14ac:dyDescent="0.25">
      <c r="A8990" t="s">
        <v>5779</v>
      </c>
    </row>
    <row r="8991" spans="1:1" x14ac:dyDescent="0.25">
      <c r="A8991" t="s">
        <v>5780</v>
      </c>
    </row>
    <row r="8992" spans="1:1" x14ac:dyDescent="0.25">
      <c r="A8992" t="s">
        <v>5781</v>
      </c>
    </row>
    <row r="8993" spans="1:1" x14ac:dyDescent="0.25">
      <c r="A8993" t="s">
        <v>5782</v>
      </c>
    </row>
    <row r="8994" spans="1:1" x14ac:dyDescent="0.25">
      <c r="A8994" t="s">
        <v>5783</v>
      </c>
    </row>
    <row r="8995" spans="1:1" x14ac:dyDescent="0.25">
      <c r="A8995" t="s">
        <v>5784</v>
      </c>
    </row>
    <row r="8996" spans="1:1" x14ac:dyDescent="0.25">
      <c r="A8996" t="s">
        <v>5785</v>
      </c>
    </row>
    <row r="8997" spans="1:1" x14ac:dyDescent="0.25">
      <c r="A8997" t="s">
        <v>5786</v>
      </c>
    </row>
    <row r="8998" spans="1:1" x14ac:dyDescent="0.25">
      <c r="A8998" t="s">
        <v>5787</v>
      </c>
    </row>
    <row r="8999" spans="1:1" x14ac:dyDescent="0.25">
      <c r="A8999" t="s">
        <v>1942</v>
      </c>
    </row>
    <row r="9001" spans="1:1" x14ac:dyDescent="0.25">
      <c r="A9001" t="s">
        <v>5788</v>
      </c>
    </row>
    <row r="9002" spans="1:1" x14ac:dyDescent="0.25">
      <c r="A9002" t="s">
        <v>5789</v>
      </c>
    </row>
    <row r="9003" spans="1:1" x14ac:dyDescent="0.25">
      <c r="A9003" t="s">
        <v>5790</v>
      </c>
    </row>
    <row r="9004" spans="1:1" x14ac:dyDescent="0.25">
      <c r="A9004" t="s">
        <v>5791</v>
      </c>
    </row>
    <row r="9005" spans="1:1" x14ac:dyDescent="0.25">
      <c r="A9005" t="s">
        <v>5792</v>
      </c>
    </row>
    <row r="9006" spans="1:1" x14ac:dyDescent="0.25">
      <c r="A9006" t="s">
        <v>5754</v>
      </c>
    </row>
    <row r="9007" spans="1:1" x14ac:dyDescent="0.25">
      <c r="A9007" t="s">
        <v>1945</v>
      </c>
    </row>
    <row r="9009" spans="1:1" x14ac:dyDescent="0.25">
      <c r="A9009" t="s">
        <v>1775</v>
      </c>
    </row>
    <row r="9011" spans="1:1" x14ac:dyDescent="0.25">
      <c r="A9011" t="s">
        <v>1929</v>
      </c>
    </row>
    <row r="9012" spans="1:1" x14ac:dyDescent="0.25">
      <c r="A9012" t="s">
        <v>5793</v>
      </c>
    </row>
    <row r="9013" spans="1:1" x14ac:dyDescent="0.25">
      <c r="A9013" t="s">
        <v>2353</v>
      </c>
    </row>
    <row r="9014" spans="1:1" x14ac:dyDescent="0.25">
      <c r="A9014" t="s">
        <v>5794</v>
      </c>
    </row>
    <row r="9015" spans="1:1" x14ac:dyDescent="0.25">
      <c r="A9015" t="s">
        <v>5795</v>
      </c>
    </row>
    <row r="9016" spans="1:1" x14ac:dyDescent="0.25">
      <c r="A9016" t="s">
        <v>5796</v>
      </c>
    </row>
    <row r="9017" spans="1:1" x14ac:dyDescent="0.25">
      <c r="A9017" t="s">
        <v>5797</v>
      </c>
    </row>
    <row r="9018" spans="1:1" x14ac:dyDescent="0.25">
      <c r="A9018" t="s">
        <v>5798</v>
      </c>
    </row>
    <row r="9019" spans="1:1" x14ac:dyDescent="0.25">
      <c r="A9019" t="s">
        <v>5799</v>
      </c>
    </row>
    <row r="9020" spans="1:1" x14ac:dyDescent="0.25">
      <c r="A9020" t="s">
        <v>5800</v>
      </c>
    </row>
    <row r="9021" spans="1:1" x14ac:dyDescent="0.25">
      <c r="A9021" t="s">
        <v>5801</v>
      </c>
    </row>
    <row r="9022" spans="1:1" x14ac:dyDescent="0.25">
      <c r="A9022" t="s">
        <v>5802</v>
      </c>
    </row>
    <row r="9023" spans="1:1" x14ac:dyDescent="0.25">
      <c r="A9023" t="s">
        <v>5803</v>
      </c>
    </row>
    <row r="9024" spans="1:1" x14ac:dyDescent="0.25">
      <c r="A9024" t="s">
        <v>5804</v>
      </c>
    </row>
    <row r="9025" spans="1:1" x14ac:dyDescent="0.25">
      <c r="A9025" t="s">
        <v>5805</v>
      </c>
    </row>
    <row r="9026" spans="1:1" x14ac:dyDescent="0.25">
      <c r="A9026" t="s">
        <v>5806</v>
      </c>
    </row>
    <row r="9027" spans="1:1" x14ac:dyDescent="0.25">
      <c r="A9027" t="s">
        <v>5726</v>
      </c>
    </row>
    <row r="9028" spans="1:1" x14ac:dyDescent="0.25">
      <c r="A9028" t="s">
        <v>1945</v>
      </c>
    </row>
    <row r="9030" spans="1:1" x14ac:dyDescent="0.25">
      <c r="A9030" t="s">
        <v>1775</v>
      </c>
    </row>
    <row r="9032" spans="1:1" x14ac:dyDescent="0.25">
      <c r="A9032" t="s">
        <v>1929</v>
      </c>
    </row>
    <row r="9033" spans="1:1" x14ac:dyDescent="0.25">
      <c r="A9033" t="s">
        <v>5807</v>
      </c>
    </row>
    <row r="9034" spans="1:1" x14ac:dyDescent="0.25">
      <c r="A9034" t="s">
        <v>5808</v>
      </c>
    </row>
    <row r="9035" spans="1:1" x14ac:dyDescent="0.25">
      <c r="A9035" t="s">
        <v>2353</v>
      </c>
    </row>
    <row r="9036" spans="1:1" x14ac:dyDescent="0.25">
      <c r="A9036" t="s">
        <v>5809</v>
      </c>
    </row>
    <row r="9037" spans="1:1" x14ac:dyDescent="0.25">
      <c r="A9037" t="s">
        <v>2031</v>
      </c>
    </row>
    <row r="9038" spans="1:1" x14ac:dyDescent="0.25">
      <c r="A9038" t="s">
        <v>2032</v>
      </c>
    </row>
    <row r="9039" spans="1:1" x14ac:dyDescent="0.25">
      <c r="A9039" t="s">
        <v>5726</v>
      </c>
    </row>
    <row r="9040" spans="1:1" x14ac:dyDescent="0.25">
      <c r="A9040" t="s">
        <v>1945</v>
      </c>
    </row>
    <row r="9042" spans="1:1" x14ac:dyDescent="0.25">
      <c r="A9042" t="s">
        <v>1775</v>
      </c>
    </row>
    <row r="9044" spans="1:1" x14ac:dyDescent="0.25">
      <c r="A9044" t="s">
        <v>1929</v>
      </c>
    </row>
    <row r="9045" spans="1:1" x14ac:dyDescent="0.25">
      <c r="A9045" t="s">
        <v>5810</v>
      </c>
    </row>
    <row r="9046" spans="1:1" x14ac:dyDescent="0.25">
      <c r="A9046" t="s">
        <v>2097</v>
      </c>
    </row>
    <row r="9047" spans="1:1" x14ac:dyDescent="0.25">
      <c r="A9047" t="s">
        <v>1931</v>
      </c>
    </row>
    <row r="9048" spans="1:1" x14ac:dyDescent="0.25">
      <c r="A9048" t="s">
        <v>5811</v>
      </c>
    </row>
    <row r="9049" spans="1:1" x14ac:dyDescent="0.25">
      <c r="A9049" t="s">
        <v>1934</v>
      </c>
    </row>
    <row r="9050" spans="1:1" x14ac:dyDescent="0.25">
      <c r="A9050" t="s">
        <v>5812</v>
      </c>
    </row>
    <row r="9051" spans="1:1" x14ac:dyDescent="0.25">
      <c r="A9051" t="s">
        <v>5813</v>
      </c>
    </row>
    <row r="9052" spans="1:1" x14ac:dyDescent="0.25">
      <c r="A9052" t="s">
        <v>5814</v>
      </c>
    </row>
    <row r="9053" spans="1:1" x14ac:dyDescent="0.25">
      <c r="A9053" t="s">
        <v>5815</v>
      </c>
    </row>
    <row r="9054" spans="1:1" x14ac:dyDescent="0.25">
      <c r="A9054" t="s">
        <v>5816</v>
      </c>
    </row>
    <row r="9055" spans="1:1" x14ac:dyDescent="0.25">
      <c r="A9055" t="s">
        <v>5817</v>
      </c>
    </row>
    <row r="9056" spans="1:1" x14ac:dyDescent="0.25">
      <c r="A9056" t="s">
        <v>5818</v>
      </c>
    </row>
    <row r="9057" spans="1:1" x14ac:dyDescent="0.25">
      <c r="A9057" t="s">
        <v>5819</v>
      </c>
    </row>
    <row r="9058" spans="1:1" x14ac:dyDescent="0.25">
      <c r="A9058" t="s">
        <v>5820</v>
      </c>
    </row>
    <row r="9059" spans="1:1" x14ac:dyDescent="0.25">
      <c r="A9059" t="s">
        <v>5821</v>
      </c>
    </row>
    <row r="9060" spans="1:1" x14ac:dyDescent="0.25">
      <c r="A9060" t="s">
        <v>5822</v>
      </c>
    </row>
    <row r="9061" spans="1:1" x14ac:dyDescent="0.25">
      <c r="A9061" t="s">
        <v>5823</v>
      </c>
    </row>
    <row r="9062" spans="1:1" x14ac:dyDescent="0.25">
      <c r="A9062" t="s">
        <v>5824</v>
      </c>
    </row>
    <row r="9063" spans="1:1" x14ac:dyDescent="0.25">
      <c r="A9063" t="s">
        <v>5825</v>
      </c>
    </row>
    <row r="9064" spans="1:1" x14ac:dyDescent="0.25">
      <c r="A9064" t="s">
        <v>1940</v>
      </c>
    </row>
    <row r="9065" spans="1:1" x14ac:dyDescent="0.25">
      <c r="A9065" t="s">
        <v>5826</v>
      </c>
    </row>
    <row r="9066" spans="1:1" x14ac:dyDescent="0.25">
      <c r="A9066" t="s">
        <v>1942</v>
      </c>
    </row>
    <row r="9068" spans="1:1" x14ac:dyDescent="0.25">
      <c r="A9068" t="s">
        <v>5827</v>
      </c>
    </row>
    <row r="9069" spans="1:1" x14ac:dyDescent="0.25">
      <c r="A9069" t="s">
        <v>5828</v>
      </c>
    </row>
    <row r="9070" spans="1:1" x14ac:dyDescent="0.25">
      <c r="A9070" t="s">
        <v>5829</v>
      </c>
    </row>
    <row r="9071" spans="1:1" x14ac:dyDescent="0.25">
      <c r="A9071" t="s">
        <v>5830</v>
      </c>
    </row>
    <row r="9072" spans="1:1" x14ac:dyDescent="0.25">
      <c r="A9072" t="s">
        <v>5831</v>
      </c>
    </row>
    <row r="9073" spans="1:1" x14ac:dyDescent="0.25">
      <c r="A9073" t="s">
        <v>5832</v>
      </c>
    </row>
    <row r="9074" spans="1:1" x14ac:dyDescent="0.25">
      <c r="A9074" t="s">
        <v>5833</v>
      </c>
    </row>
    <row r="9075" spans="1:1" x14ac:dyDescent="0.25">
      <c r="A9075" t="s">
        <v>5754</v>
      </c>
    </row>
    <row r="9076" spans="1:1" x14ac:dyDescent="0.25">
      <c r="A9076" t="s">
        <v>1945</v>
      </c>
    </row>
    <row r="9078" spans="1:1" x14ac:dyDescent="0.25">
      <c r="A9078" t="s">
        <v>1775</v>
      </c>
    </row>
    <row r="9080" spans="1:1" x14ac:dyDescent="0.25">
      <c r="A9080" t="s">
        <v>1929</v>
      </c>
    </row>
    <row r="9081" spans="1:1" x14ac:dyDescent="0.25">
      <c r="A9081" t="s">
        <v>5834</v>
      </c>
    </row>
    <row r="9082" spans="1:1" x14ac:dyDescent="0.25">
      <c r="A9082" t="s">
        <v>2353</v>
      </c>
    </row>
    <row r="9083" spans="1:1" x14ac:dyDescent="0.25">
      <c r="A9083" t="s">
        <v>5835</v>
      </c>
    </row>
    <row r="9084" spans="1:1" x14ac:dyDescent="0.25">
      <c r="A9084" t="s">
        <v>5836</v>
      </c>
    </row>
    <row r="9085" spans="1:1" x14ac:dyDescent="0.25">
      <c r="A9085" t="s">
        <v>5837</v>
      </c>
    </row>
    <row r="9086" spans="1:1" x14ac:dyDescent="0.25">
      <c r="A9086" t="s">
        <v>5838</v>
      </c>
    </row>
    <row r="9087" spans="1:1" x14ac:dyDescent="0.25">
      <c r="A9087" t="s">
        <v>5839</v>
      </c>
    </row>
    <row r="9088" spans="1:1" x14ac:dyDescent="0.25">
      <c r="A9088" t="s">
        <v>5840</v>
      </c>
    </row>
    <row r="9089" spans="1:1" x14ac:dyDescent="0.25">
      <c r="A9089" t="s">
        <v>5841</v>
      </c>
    </row>
    <row r="9090" spans="1:1" x14ac:dyDescent="0.25">
      <c r="A9090" t="s">
        <v>5842</v>
      </c>
    </row>
    <row r="9091" spans="1:1" x14ac:dyDescent="0.25">
      <c r="A9091" t="s">
        <v>5843</v>
      </c>
    </row>
    <row r="9092" spans="1:1" x14ac:dyDescent="0.25">
      <c r="A9092" t="s">
        <v>5844</v>
      </c>
    </row>
    <row r="9093" spans="1:1" x14ac:dyDescent="0.25">
      <c r="A9093" t="s">
        <v>5845</v>
      </c>
    </row>
    <row r="9094" spans="1:1" x14ac:dyDescent="0.25">
      <c r="A9094" t="s">
        <v>5846</v>
      </c>
    </row>
    <row r="9095" spans="1:1" x14ac:dyDescent="0.25">
      <c r="A9095" t="s">
        <v>5847</v>
      </c>
    </row>
    <row r="9096" spans="1:1" x14ac:dyDescent="0.25">
      <c r="A9096" t="s">
        <v>5848</v>
      </c>
    </row>
    <row r="9097" spans="1:1" x14ac:dyDescent="0.25">
      <c r="A9097" t="s">
        <v>5849</v>
      </c>
    </row>
    <row r="9098" spans="1:1" x14ac:dyDescent="0.25">
      <c r="A9098" t="s">
        <v>5726</v>
      </c>
    </row>
    <row r="9099" spans="1:1" x14ac:dyDescent="0.25">
      <c r="A9099" t="s">
        <v>1945</v>
      </c>
    </row>
    <row r="9101" spans="1:1" x14ac:dyDescent="0.25">
      <c r="A9101" t="s">
        <v>1775</v>
      </c>
    </row>
    <row r="9103" spans="1:1" x14ac:dyDescent="0.25">
      <c r="A9103" t="s">
        <v>1929</v>
      </c>
    </row>
    <row r="9104" spans="1:1" x14ac:dyDescent="0.25">
      <c r="A9104" t="s">
        <v>5850</v>
      </c>
    </row>
    <row r="9105" spans="1:1" x14ac:dyDescent="0.25">
      <c r="A9105" t="s">
        <v>2097</v>
      </c>
    </row>
    <row r="9106" spans="1:1" x14ac:dyDescent="0.25">
      <c r="A9106" t="s">
        <v>1931</v>
      </c>
    </row>
    <row r="9107" spans="1:1" x14ac:dyDescent="0.25">
      <c r="A9107" t="s">
        <v>5851</v>
      </c>
    </row>
    <row r="9108" spans="1:1" x14ac:dyDescent="0.25">
      <c r="A9108" t="s">
        <v>1934</v>
      </c>
    </row>
    <row r="9109" spans="1:1" x14ac:dyDescent="0.25">
      <c r="A9109" t="s">
        <v>5852</v>
      </c>
    </row>
    <row r="9110" spans="1:1" x14ac:dyDescent="0.25">
      <c r="A9110" t="s">
        <v>5853</v>
      </c>
    </row>
    <row r="9111" spans="1:1" x14ac:dyDescent="0.25">
      <c r="A9111" t="s">
        <v>5854</v>
      </c>
    </row>
    <row r="9112" spans="1:1" x14ac:dyDescent="0.25">
      <c r="A9112" t="s">
        <v>5855</v>
      </c>
    </row>
    <row r="9113" spans="1:1" x14ac:dyDescent="0.25">
      <c r="A9113" t="s">
        <v>5856</v>
      </c>
    </row>
    <row r="9114" spans="1:1" x14ac:dyDescent="0.25">
      <c r="A9114" t="s">
        <v>5857</v>
      </c>
    </row>
    <row r="9115" spans="1:1" x14ac:dyDescent="0.25">
      <c r="A9115" t="s">
        <v>5858</v>
      </c>
    </row>
    <row r="9116" spans="1:1" x14ac:dyDescent="0.25">
      <c r="A9116" t="s">
        <v>5859</v>
      </c>
    </row>
    <row r="9117" spans="1:1" x14ac:dyDescent="0.25">
      <c r="A9117" t="s">
        <v>5860</v>
      </c>
    </row>
    <row r="9118" spans="1:1" x14ac:dyDescent="0.25">
      <c r="A9118" t="s">
        <v>5861</v>
      </c>
    </row>
    <row r="9119" spans="1:1" x14ac:dyDescent="0.25">
      <c r="A9119" t="s">
        <v>5862</v>
      </c>
    </row>
    <row r="9120" spans="1:1" x14ac:dyDescent="0.25">
      <c r="A9120" t="s">
        <v>5863</v>
      </c>
    </row>
    <row r="9121" spans="1:1" x14ac:dyDescent="0.25">
      <c r="A9121" t="s">
        <v>1942</v>
      </c>
    </row>
    <row r="9123" spans="1:1" x14ac:dyDescent="0.25">
      <c r="A9123" t="s">
        <v>5864</v>
      </c>
    </row>
    <row r="9124" spans="1:1" x14ac:dyDescent="0.25">
      <c r="A9124" t="s">
        <v>5865</v>
      </c>
    </row>
    <row r="9125" spans="1:1" x14ac:dyDescent="0.25">
      <c r="A9125" t="s">
        <v>5866</v>
      </c>
    </row>
    <row r="9126" spans="1:1" x14ac:dyDescent="0.25">
      <c r="A9126" t="s">
        <v>5867</v>
      </c>
    </row>
    <row r="9127" spans="1:1" x14ac:dyDescent="0.25">
      <c r="A9127" t="s">
        <v>5868</v>
      </c>
    </row>
    <row r="9128" spans="1:1" x14ac:dyDescent="0.25">
      <c r="A9128" t="s">
        <v>5754</v>
      </c>
    </row>
    <row r="9129" spans="1:1" x14ac:dyDescent="0.25">
      <c r="A9129" t="s">
        <v>1945</v>
      </c>
    </row>
    <row r="9131" spans="1:1" x14ac:dyDescent="0.25">
      <c r="A9131" t="s">
        <v>1775</v>
      </c>
    </row>
    <row r="9133" spans="1:1" x14ac:dyDescent="0.25">
      <c r="A9133" t="s">
        <v>1929</v>
      </c>
    </row>
    <row r="9134" spans="1:1" x14ac:dyDescent="0.25">
      <c r="A9134" t="s">
        <v>5869</v>
      </c>
    </row>
    <row r="9135" spans="1:1" x14ac:dyDescent="0.25">
      <c r="A9135" t="s">
        <v>5870</v>
      </c>
    </row>
    <row r="9136" spans="1:1" x14ac:dyDescent="0.25">
      <c r="A9136" t="s">
        <v>2352</v>
      </c>
    </row>
    <row r="9137" spans="1:1" x14ac:dyDescent="0.25">
      <c r="A9137" t="s">
        <v>1947</v>
      </c>
    </row>
    <row r="9138" spans="1:1" x14ac:dyDescent="0.25">
      <c r="A9138" t="s">
        <v>2353</v>
      </c>
    </row>
    <row r="9139" spans="1:1" x14ac:dyDescent="0.25">
      <c r="A9139" t="s">
        <v>5871</v>
      </c>
    </row>
    <row r="9140" spans="1:1" x14ac:dyDescent="0.25">
      <c r="A9140" t="s">
        <v>5722</v>
      </c>
    </row>
    <row r="9141" spans="1:1" x14ac:dyDescent="0.25">
      <c r="A9141" t="s">
        <v>5872</v>
      </c>
    </row>
    <row r="9142" spans="1:1" x14ac:dyDescent="0.25">
      <c r="A9142" t="s">
        <v>5724</v>
      </c>
    </row>
    <row r="9144" spans="1:1" x14ac:dyDescent="0.25">
      <c r="A9144" t="s">
        <v>5873</v>
      </c>
    </row>
    <row r="9145" spans="1:1" x14ac:dyDescent="0.25">
      <c r="A9145" t="s">
        <v>5874</v>
      </c>
    </row>
    <row r="9146" spans="1:1" x14ac:dyDescent="0.25">
      <c r="A9146" t="s">
        <v>5875</v>
      </c>
    </row>
    <row r="9147" spans="1:1" x14ac:dyDescent="0.25">
      <c r="A9147" t="s">
        <v>5876</v>
      </c>
    </row>
    <row r="9148" spans="1:1" x14ac:dyDescent="0.25">
      <c r="A9148" t="s">
        <v>5877</v>
      </c>
    </row>
    <row r="9149" spans="1:1" x14ac:dyDescent="0.25">
      <c r="A9149" t="s">
        <v>5878</v>
      </c>
    </row>
    <row r="9150" spans="1:1" x14ac:dyDescent="0.25">
      <c r="A9150" t="s">
        <v>5879</v>
      </c>
    </row>
    <row r="9151" spans="1:1" x14ac:dyDescent="0.25">
      <c r="A9151" t="s">
        <v>5880</v>
      </c>
    </row>
    <row r="9152" spans="1:1" x14ac:dyDescent="0.25">
      <c r="A9152" t="s">
        <v>5881</v>
      </c>
    </row>
    <row r="9153" spans="1:1" x14ac:dyDescent="0.25">
      <c r="A9153" t="s">
        <v>5882</v>
      </c>
    </row>
    <row r="9154" spans="1:1" x14ac:dyDescent="0.25">
      <c r="A9154" t="s">
        <v>5883</v>
      </c>
    </row>
    <row r="9155" spans="1:1" x14ac:dyDescent="0.25">
      <c r="A9155" t="s">
        <v>5884</v>
      </c>
    </row>
    <row r="9156" spans="1:1" x14ac:dyDescent="0.25">
      <c r="A9156" t="s">
        <v>5885</v>
      </c>
    </row>
    <row r="9157" spans="1:1" x14ac:dyDescent="0.25">
      <c r="A9157" t="s">
        <v>5886</v>
      </c>
    </row>
    <row r="9158" spans="1:1" x14ac:dyDescent="0.25">
      <c r="A9158" t="s">
        <v>5887</v>
      </c>
    </row>
    <row r="9159" spans="1:1" x14ac:dyDescent="0.25">
      <c r="A9159" t="s">
        <v>5888</v>
      </c>
    </row>
    <row r="9160" spans="1:1" x14ac:dyDescent="0.25">
      <c r="A9160" t="s">
        <v>5889</v>
      </c>
    </row>
    <row r="9161" spans="1:1" x14ac:dyDescent="0.25">
      <c r="A9161" t="s">
        <v>5890</v>
      </c>
    </row>
    <row r="9162" spans="1:1" x14ac:dyDescent="0.25">
      <c r="A9162" t="s">
        <v>5891</v>
      </c>
    </row>
    <row r="9163" spans="1:1" x14ac:dyDescent="0.25">
      <c r="A9163" t="s">
        <v>5892</v>
      </c>
    </row>
    <row r="9164" spans="1:1" x14ac:dyDescent="0.25">
      <c r="A9164" t="s">
        <v>5893</v>
      </c>
    </row>
    <row r="9165" spans="1:1" x14ac:dyDescent="0.25">
      <c r="A9165" t="s">
        <v>5894</v>
      </c>
    </row>
    <row r="9166" spans="1:1" x14ac:dyDescent="0.25">
      <c r="A9166" t="s">
        <v>1945</v>
      </c>
    </row>
    <row r="9168" spans="1:1" x14ac:dyDescent="0.25">
      <c r="A9168" t="s">
        <v>1775</v>
      </c>
    </row>
    <row r="9170" spans="1:1" x14ac:dyDescent="0.25">
      <c r="A9170" t="s">
        <v>5895</v>
      </c>
    </row>
    <row r="9171" spans="1:1" x14ac:dyDescent="0.25">
      <c r="A9171" t="s">
        <v>5896</v>
      </c>
    </row>
    <row r="9172" spans="1:1" x14ac:dyDescent="0.25">
      <c r="A9172" t="s">
        <v>1926</v>
      </c>
    </row>
    <row r="9174" spans="1:1" x14ac:dyDescent="0.25">
      <c r="A9174" t="s">
        <v>1775</v>
      </c>
    </row>
    <row r="9176" spans="1:1" x14ac:dyDescent="0.25">
      <c r="A9176" t="s">
        <v>5897</v>
      </c>
    </row>
    <row r="9177" spans="1:1" x14ac:dyDescent="0.25">
      <c r="A9177" t="s">
        <v>2682</v>
      </c>
    </row>
    <row r="9178" spans="1:1" x14ac:dyDescent="0.25">
      <c r="A9178" t="s">
        <v>5898</v>
      </c>
    </row>
    <row r="9179" spans="1:1" x14ac:dyDescent="0.25">
      <c r="A9179" t="s">
        <v>5899</v>
      </c>
    </row>
    <row r="9180" spans="1:1" x14ac:dyDescent="0.25">
      <c r="A9180" t="s">
        <v>5900</v>
      </c>
    </row>
    <row r="9181" spans="1:1" x14ac:dyDescent="0.25">
      <c r="A9181" t="s">
        <v>5901</v>
      </c>
    </row>
    <row r="9182" spans="1:1" x14ac:dyDescent="0.25">
      <c r="A9182" t="s">
        <v>5902</v>
      </c>
    </row>
    <row r="9183" spans="1:1" x14ac:dyDescent="0.25">
      <c r="A9183" t="s">
        <v>5903</v>
      </c>
    </row>
    <row r="9184" spans="1:1" x14ac:dyDescent="0.25">
      <c r="A9184" t="s">
        <v>2686</v>
      </c>
    </row>
    <row r="9186" spans="1:1" x14ac:dyDescent="0.25">
      <c r="A9186" t="s">
        <v>2440</v>
      </c>
    </row>
    <row r="9188" spans="1:1" x14ac:dyDescent="0.25">
      <c r="A9188" t="s">
        <v>2550</v>
      </c>
    </row>
    <row r="9189" spans="1:1" x14ac:dyDescent="0.25">
      <c r="A9189" t="s">
        <v>5904</v>
      </c>
    </row>
    <row r="9190" spans="1:1" x14ac:dyDescent="0.25">
      <c r="A9190" t="s">
        <v>5905</v>
      </c>
    </row>
    <row r="9191" spans="1:1" x14ac:dyDescent="0.25">
      <c r="A9191" t="s">
        <v>5906</v>
      </c>
    </row>
    <row r="9192" spans="1:1" x14ac:dyDescent="0.25">
      <c r="A9192" t="s">
        <v>2826</v>
      </c>
    </row>
    <row r="9193" spans="1:1" x14ac:dyDescent="0.25">
      <c r="A9193" t="s">
        <v>5907</v>
      </c>
    </row>
    <row r="9194" spans="1:1" x14ac:dyDescent="0.25">
      <c r="A9194" t="s">
        <v>5908</v>
      </c>
    </row>
    <row r="9195" spans="1:1" x14ac:dyDescent="0.25">
      <c r="A9195" t="s">
        <v>5282</v>
      </c>
    </row>
    <row r="9196" spans="1:1" x14ac:dyDescent="0.25">
      <c r="A9196" t="s">
        <v>1790</v>
      </c>
    </row>
    <row r="9197" spans="1:1" x14ac:dyDescent="0.25">
      <c r="A9197" t="s">
        <v>5909</v>
      </c>
    </row>
    <row r="9198" spans="1:1" x14ac:dyDescent="0.25">
      <c r="A9198" t="s">
        <v>5910</v>
      </c>
    </row>
    <row r="9199" spans="1:1" x14ac:dyDescent="0.25">
      <c r="A9199" t="s">
        <v>5911</v>
      </c>
    </row>
    <row r="9200" spans="1:1" x14ac:dyDescent="0.25">
      <c r="A9200" t="s">
        <v>5912</v>
      </c>
    </row>
    <row r="9201" spans="1:1" x14ac:dyDescent="0.25">
      <c r="A9201" t="s">
        <v>5913</v>
      </c>
    </row>
    <row r="9202" spans="1:1" x14ac:dyDescent="0.25">
      <c r="A9202" t="s">
        <v>5914</v>
      </c>
    </row>
    <row r="9204" spans="1:1" x14ac:dyDescent="0.25">
      <c r="A9204" t="s">
        <v>1794</v>
      </c>
    </row>
    <row r="9205" spans="1:1" x14ac:dyDescent="0.25">
      <c r="A9205" t="s">
        <v>1852</v>
      </c>
    </row>
    <row r="9206" spans="1:1" x14ac:dyDescent="0.25">
      <c r="A9206" t="s">
        <v>5915</v>
      </c>
    </row>
    <row r="9207" spans="1:1" x14ac:dyDescent="0.25">
      <c r="A9207" t="s">
        <v>5916</v>
      </c>
    </row>
    <row r="9208" spans="1:1" x14ac:dyDescent="0.25">
      <c r="A9208" t="s">
        <v>5917</v>
      </c>
    </row>
    <row r="9209" spans="1:1" x14ac:dyDescent="0.25">
      <c r="A9209" t="s">
        <v>5918</v>
      </c>
    </row>
    <row r="9210" spans="1:1" x14ac:dyDescent="0.25">
      <c r="A9210" t="s">
        <v>5919</v>
      </c>
    </row>
    <row r="9211" spans="1:1" x14ac:dyDescent="0.25">
      <c r="A9211" t="s">
        <v>5920</v>
      </c>
    </row>
    <row r="9212" spans="1:1" x14ac:dyDescent="0.25">
      <c r="A9212" t="s">
        <v>5921</v>
      </c>
    </row>
    <row r="9213" spans="1:1" x14ac:dyDescent="0.25">
      <c r="A9213" t="s">
        <v>5922</v>
      </c>
    </row>
    <row r="9214" spans="1:1" x14ac:dyDescent="0.25">
      <c r="A9214" t="s">
        <v>1794</v>
      </c>
    </row>
    <row r="9215" spans="1:1" x14ac:dyDescent="0.25">
      <c r="A9215" t="s">
        <v>5923</v>
      </c>
    </row>
    <row r="9216" spans="1:1" x14ac:dyDescent="0.25">
      <c r="A9216" t="s">
        <v>1877</v>
      </c>
    </row>
    <row r="9217" spans="1:1" x14ac:dyDescent="0.25">
      <c r="A9217" t="s">
        <v>5283</v>
      </c>
    </row>
    <row r="9218" spans="1:1" x14ac:dyDescent="0.25">
      <c r="A9218" t="s">
        <v>5924</v>
      </c>
    </row>
    <row r="9219" spans="1:1" x14ac:dyDescent="0.25">
      <c r="A9219" t="s">
        <v>5925</v>
      </c>
    </row>
    <row r="9220" spans="1:1" x14ac:dyDescent="0.25">
      <c r="A9220" t="s">
        <v>5926</v>
      </c>
    </row>
    <row r="9222" spans="1:1" x14ac:dyDescent="0.25">
      <c r="A9222" t="s">
        <v>5927</v>
      </c>
    </row>
    <row r="9223" spans="1:1" x14ac:dyDescent="0.25">
      <c r="A9223" t="s">
        <v>5928</v>
      </c>
    </row>
    <row r="9225" spans="1:1" x14ac:dyDescent="0.25">
      <c r="A9225" t="s">
        <v>5929</v>
      </c>
    </row>
    <row r="9227" spans="1:1" x14ac:dyDescent="0.25">
      <c r="A9227" t="s">
        <v>5930</v>
      </c>
    </row>
    <row r="9228" spans="1:1" x14ac:dyDescent="0.25">
      <c r="A9228" t="s">
        <v>5931</v>
      </c>
    </row>
    <row r="9229" spans="1:1" x14ac:dyDescent="0.25">
      <c r="A9229" t="s">
        <v>5932</v>
      </c>
    </row>
    <row r="9230" spans="1:1" x14ac:dyDescent="0.25">
      <c r="A9230" t="s">
        <v>5933</v>
      </c>
    </row>
    <row r="9231" spans="1:1" x14ac:dyDescent="0.25">
      <c r="A9231" t="s">
        <v>5934</v>
      </c>
    </row>
    <row r="9232" spans="1:1" x14ac:dyDescent="0.25">
      <c r="A9232" t="s">
        <v>5935</v>
      </c>
    </row>
    <row r="9234" spans="1:1" x14ac:dyDescent="0.25">
      <c r="A9234" t="s">
        <v>5936</v>
      </c>
    </row>
    <row r="9235" spans="1:1" x14ac:dyDescent="0.25">
      <c r="A9235" t="s">
        <v>5937</v>
      </c>
    </row>
    <row r="9236" spans="1:1" x14ac:dyDescent="0.25">
      <c r="A9236" t="s">
        <v>5938</v>
      </c>
    </row>
    <row r="9237" spans="1:1" x14ac:dyDescent="0.25">
      <c r="A9237" t="s">
        <v>1788</v>
      </c>
    </row>
    <row r="9238" spans="1:1" x14ac:dyDescent="0.25">
      <c r="A9238" t="s">
        <v>1789</v>
      </c>
    </row>
    <row r="9239" spans="1:1" x14ac:dyDescent="0.25">
      <c r="A9239" t="s">
        <v>1904</v>
      </c>
    </row>
    <row r="9240" spans="1:1" x14ac:dyDescent="0.25">
      <c r="A9240" t="s">
        <v>5939</v>
      </c>
    </row>
    <row r="9241" spans="1:1" x14ac:dyDescent="0.25">
      <c r="A9241" t="s">
        <v>5940</v>
      </c>
    </row>
    <row r="9242" spans="1:1" x14ac:dyDescent="0.25">
      <c r="A9242" t="s">
        <v>2600</v>
      </c>
    </row>
    <row r="9244" spans="1:1" x14ac:dyDescent="0.25">
      <c r="A9244" t="s">
        <v>3789</v>
      </c>
    </row>
    <row r="9245" spans="1:1" x14ac:dyDescent="0.25">
      <c r="A9245" t="s">
        <v>5941</v>
      </c>
    </row>
    <row r="9246" spans="1:1" x14ac:dyDescent="0.25">
      <c r="A9246" t="s">
        <v>5905</v>
      </c>
    </row>
    <row r="9247" spans="1:1" x14ac:dyDescent="0.25">
      <c r="A9247" t="s">
        <v>5942</v>
      </c>
    </row>
    <row r="9248" spans="1:1" x14ac:dyDescent="0.25">
      <c r="A9248" t="s">
        <v>5943</v>
      </c>
    </row>
    <row r="9249" spans="1:1" x14ac:dyDescent="0.25">
      <c r="A9249" t="s">
        <v>5944</v>
      </c>
    </row>
    <row r="9250" spans="1:1" x14ac:dyDescent="0.25">
      <c r="A9250" t="s">
        <v>5945</v>
      </c>
    </row>
    <row r="9251" spans="1:1" x14ac:dyDescent="0.25">
      <c r="A9251" t="s">
        <v>3801</v>
      </c>
    </row>
    <row r="9252" spans="1:1" x14ac:dyDescent="0.25">
      <c r="A9252" t="s">
        <v>2749</v>
      </c>
    </row>
    <row r="9254" spans="1:1" x14ac:dyDescent="0.25">
      <c r="A9254" t="s">
        <v>1775</v>
      </c>
    </row>
    <row r="9256" spans="1:1" x14ac:dyDescent="0.25">
      <c r="A9256" t="s">
        <v>1927</v>
      </c>
    </row>
    <row r="9257" spans="1:1" x14ac:dyDescent="0.25">
      <c r="A9257" t="s">
        <v>5946</v>
      </c>
    </row>
    <row r="9258" spans="1:1" x14ac:dyDescent="0.25">
      <c r="A9258" t="s">
        <v>1926</v>
      </c>
    </row>
    <row r="9260" spans="1:1" x14ac:dyDescent="0.25">
      <c r="A9260" t="s">
        <v>1775</v>
      </c>
    </row>
    <row r="9262" spans="1:1" x14ac:dyDescent="0.25">
      <c r="A9262" t="s">
        <v>2037</v>
      </c>
    </row>
    <row r="9263" spans="1:1" x14ac:dyDescent="0.25">
      <c r="A9263" t="s">
        <v>5947</v>
      </c>
    </row>
    <row r="9264" spans="1:1" x14ac:dyDescent="0.25">
      <c r="A9264" t="s">
        <v>5948</v>
      </c>
    </row>
    <row r="9265" spans="1:1" x14ac:dyDescent="0.25">
      <c r="A9265" t="s">
        <v>1931</v>
      </c>
    </row>
    <row r="9266" spans="1:1" x14ac:dyDescent="0.25">
      <c r="A9266" t="s">
        <v>5949</v>
      </c>
    </row>
    <row r="9267" spans="1:1" x14ac:dyDescent="0.25">
      <c r="A9267" t="s">
        <v>1934</v>
      </c>
    </row>
    <row r="9268" spans="1:1" x14ac:dyDescent="0.25">
      <c r="A9268" t="s">
        <v>5950</v>
      </c>
    </row>
    <row r="9269" spans="1:1" x14ac:dyDescent="0.25">
      <c r="A9269" t="s">
        <v>1942</v>
      </c>
    </row>
    <row r="9271" spans="1:1" x14ac:dyDescent="0.25">
      <c r="A9271" t="s">
        <v>2043</v>
      </c>
    </row>
    <row r="9273" spans="1:1" x14ac:dyDescent="0.25">
      <c r="A9273" t="s">
        <v>1775</v>
      </c>
    </row>
    <row r="9275" spans="1:1" x14ac:dyDescent="0.25">
      <c r="A9275" t="s">
        <v>5951</v>
      </c>
    </row>
    <row r="9277" spans="1:1" x14ac:dyDescent="0.25">
      <c r="A9277" t="s">
        <v>1775</v>
      </c>
    </row>
    <row r="9279" spans="1:1" x14ac:dyDescent="0.25">
      <c r="A9279" t="s">
        <v>5952</v>
      </c>
    </row>
    <row r="9280" spans="1:1" x14ac:dyDescent="0.25">
      <c r="A9280" t="s">
        <v>2440</v>
      </c>
    </row>
    <row r="9282" spans="1:1" x14ac:dyDescent="0.25">
      <c r="A9282" t="s">
        <v>2682</v>
      </c>
    </row>
    <row r="9283" spans="1:1" x14ac:dyDescent="0.25">
      <c r="A9283" t="s">
        <v>5953</v>
      </c>
    </row>
    <row r="9284" spans="1:1" x14ac:dyDescent="0.25">
      <c r="A9284" t="s">
        <v>3343</v>
      </c>
    </row>
    <row r="9285" spans="1:1" x14ac:dyDescent="0.25">
      <c r="A9285" t="s">
        <v>5954</v>
      </c>
    </row>
    <row r="9286" spans="1:1" x14ac:dyDescent="0.25">
      <c r="A9286" t="s">
        <v>5955</v>
      </c>
    </row>
    <row r="9287" spans="1:1" x14ac:dyDescent="0.25">
      <c r="A9287" t="s">
        <v>5956</v>
      </c>
    </row>
    <row r="9288" spans="1:1" x14ac:dyDescent="0.25">
      <c r="A9288" t="s">
        <v>5957</v>
      </c>
    </row>
    <row r="9289" spans="1:1" x14ac:dyDescent="0.25">
      <c r="A9289" t="s">
        <v>5958</v>
      </c>
    </row>
    <row r="9290" spans="1:1" x14ac:dyDescent="0.25">
      <c r="A9290" t="s">
        <v>5959</v>
      </c>
    </row>
    <row r="9291" spans="1:1" x14ac:dyDescent="0.25">
      <c r="A9291" t="s">
        <v>2686</v>
      </c>
    </row>
    <row r="9293" spans="1:1" x14ac:dyDescent="0.25">
      <c r="A9293" t="s">
        <v>2440</v>
      </c>
    </row>
    <row r="9295" spans="1:1" x14ac:dyDescent="0.25">
      <c r="A9295" t="s">
        <v>2682</v>
      </c>
    </row>
    <row r="9296" spans="1:1" x14ac:dyDescent="0.25">
      <c r="A9296" t="s">
        <v>5960</v>
      </c>
    </row>
    <row r="9297" spans="1:1" x14ac:dyDescent="0.25">
      <c r="A9297" t="s">
        <v>3343</v>
      </c>
    </row>
    <row r="9298" spans="1:1" x14ac:dyDescent="0.25">
      <c r="A9298" t="s">
        <v>5961</v>
      </c>
    </row>
    <row r="9299" spans="1:1" x14ac:dyDescent="0.25">
      <c r="A9299" t="s">
        <v>5962</v>
      </c>
    </row>
    <row r="9300" spans="1:1" x14ac:dyDescent="0.25">
      <c r="A9300" t="s">
        <v>5963</v>
      </c>
    </row>
    <row r="9301" spans="1:1" x14ac:dyDescent="0.25">
      <c r="A9301" t="s">
        <v>5964</v>
      </c>
    </row>
    <row r="9302" spans="1:1" x14ac:dyDescent="0.25">
      <c r="A9302" t="s">
        <v>5965</v>
      </c>
    </row>
    <row r="9303" spans="1:1" x14ac:dyDescent="0.25">
      <c r="A9303" t="s">
        <v>2686</v>
      </c>
    </row>
    <row r="9305" spans="1:1" x14ac:dyDescent="0.25">
      <c r="A9305" t="s">
        <v>2440</v>
      </c>
    </row>
    <row r="9307" spans="1:1" x14ac:dyDescent="0.25">
      <c r="A9307" t="s">
        <v>5966</v>
      </c>
    </row>
    <row r="9308" spans="1:1" x14ac:dyDescent="0.25">
      <c r="A9308" t="s">
        <v>5967</v>
      </c>
    </row>
    <row r="9309" spans="1:1" x14ac:dyDescent="0.25">
      <c r="A9309" t="s">
        <v>5968</v>
      </c>
    </row>
    <row r="9310" spans="1:1" x14ac:dyDescent="0.25">
      <c r="A9310" t="s">
        <v>1942</v>
      </c>
    </row>
    <row r="9312" spans="1:1" x14ac:dyDescent="0.25">
      <c r="A9312" t="s">
        <v>2440</v>
      </c>
    </row>
    <row r="9314" spans="1:1" x14ac:dyDescent="0.25">
      <c r="A9314" t="s">
        <v>5969</v>
      </c>
    </row>
    <row r="9316" spans="1:1" x14ac:dyDescent="0.25">
      <c r="A9316" t="s">
        <v>2440</v>
      </c>
    </row>
    <row r="9318" spans="1:1" x14ac:dyDescent="0.25">
      <c r="A9318" t="s">
        <v>2682</v>
      </c>
    </row>
    <row r="9319" spans="1:1" x14ac:dyDescent="0.25">
      <c r="A9319" t="s">
        <v>5970</v>
      </c>
    </row>
    <row r="9320" spans="1:1" x14ac:dyDescent="0.25">
      <c r="A9320" t="s">
        <v>3343</v>
      </c>
    </row>
    <row r="9321" spans="1:1" x14ac:dyDescent="0.25">
      <c r="A9321" t="s">
        <v>5971</v>
      </c>
    </row>
    <row r="9322" spans="1:1" x14ac:dyDescent="0.25">
      <c r="A9322" t="s">
        <v>5972</v>
      </c>
    </row>
    <row r="9323" spans="1:1" x14ac:dyDescent="0.25">
      <c r="A9323" t="s">
        <v>5973</v>
      </c>
    </row>
    <row r="9324" spans="1:1" x14ac:dyDescent="0.25">
      <c r="A9324" t="s">
        <v>5974</v>
      </c>
    </row>
    <row r="9325" spans="1:1" x14ac:dyDescent="0.25">
      <c r="A9325" t="s">
        <v>5975</v>
      </c>
    </row>
    <row r="9326" spans="1:1" x14ac:dyDescent="0.25">
      <c r="A9326" t="s">
        <v>5976</v>
      </c>
    </row>
    <row r="9327" spans="1:1" x14ac:dyDescent="0.25">
      <c r="A9327" t="s">
        <v>5977</v>
      </c>
    </row>
    <row r="9328" spans="1:1" x14ac:dyDescent="0.25">
      <c r="A9328" t="s">
        <v>5978</v>
      </c>
    </row>
    <row r="9329" spans="1:1" x14ac:dyDescent="0.25">
      <c r="A9329" t="s">
        <v>5979</v>
      </c>
    </row>
    <row r="9330" spans="1:1" x14ac:dyDescent="0.25">
      <c r="A9330" t="s">
        <v>5964</v>
      </c>
    </row>
    <row r="9331" spans="1:1" x14ac:dyDescent="0.25">
      <c r="A9331" t="s">
        <v>5980</v>
      </c>
    </row>
    <row r="9332" spans="1:1" x14ac:dyDescent="0.25">
      <c r="A9332" t="s">
        <v>2686</v>
      </c>
    </row>
    <row r="9334" spans="1:1" x14ac:dyDescent="0.25">
      <c r="A9334" t="s">
        <v>2440</v>
      </c>
    </row>
    <row r="9336" spans="1:1" x14ac:dyDescent="0.25">
      <c r="A9336" t="s">
        <v>5981</v>
      </c>
    </row>
    <row r="9337" spans="1:1" x14ac:dyDescent="0.25">
      <c r="A9337" t="s">
        <v>5967</v>
      </c>
    </row>
    <row r="9338" spans="1:1" x14ac:dyDescent="0.25">
      <c r="A9338" t="s">
        <v>5968</v>
      </c>
    </row>
    <row r="9339" spans="1:1" x14ac:dyDescent="0.25">
      <c r="A9339" t="s">
        <v>1942</v>
      </c>
    </row>
    <row r="9341" spans="1:1" x14ac:dyDescent="0.25">
      <c r="A9341" t="s">
        <v>2440</v>
      </c>
    </row>
    <row r="9343" spans="1:1" x14ac:dyDescent="0.25">
      <c r="A9343" t="s">
        <v>5982</v>
      </c>
    </row>
    <row r="9345" spans="1:1" x14ac:dyDescent="0.25">
      <c r="A9345" t="s">
        <v>2440</v>
      </c>
    </row>
    <row r="9347" spans="1:1" x14ac:dyDescent="0.25">
      <c r="A9347" t="s">
        <v>2682</v>
      </c>
    </row>
    <row r="9348" spans="1:1" x14ac:dyDescent="0.25">
      <c r="A9348" t="s">
        <v>5983</v>
      </c>
    </row>
    <row r="9349" spans="1:1" x14ac:dyDescent="0.25">
      <c r="A9349" t="s">
        <v>3343</v>
      </c>
    </row>
    <row r="9350" spans="1:1" x14ac:dyDescent="0.25">
      <c r="A9350" t="s">
        <v>5984</v>
      </c>
    </row>
    <row r="9351" spans="1:1" x14ac:dyDescent="0.25">
      <c r="A9351" t="s">
        <v>5985</v>
      </c>
    </row>
    <row r="9352" spans="1:1" x14ac:dyDescent="0.25">
      <c r="A9352" t="s">
        <v>5986</v>
      </c>
    </row>
    <row r="9353" spans="1:1" x14ac:dyDescent="0.25">
      <c r="A9353" t="s">
        <v>5987</v>
      </c>
    </row>
    <row r="9354" spans="1:1" x14ac:dyDescent="0.25">
      <c r="A9354" t="s">
        <v>5988</v>
      </c>
    </row>
    <row r="9355" spans="1:1" x14ac:dyDescent="0.25">
      <c r="A9355" t="s">
        <v>5964</v>
      </c>
    </row>
    <row r="9356" spans="1:1" x14ac:dyDescent="0.25">
      <c r="A9356" t="s">
        <v>5980</v>
      </c>
    </row>
    <row r="9357" spans="1:1" x14ac:dyDescent="0.25">
      <c r="A9357" t="s">
        <v>2686</v>
      </c>
    </row>
    <row r="9358" spans="1:1" x14ac:dyDescent="0.25">
      <c r="A9358" t="s">
        <v>2749</v>
      </c>
    </row>
    <row r="9360" spans="1:1" x14ac:dyDescent="0.25">
      <c r="A9360" t="s">
        <v>1775</v>
      </c>
    </row>
    <row r="9362" spans="1:1" x14ac:dyDescent="0.25">
      <c r="A9362" t="s">
        <v>5989</v>
      </c>
    </row>
    <row r="9363" spans="1:1" x14ac:dyDescent="0.25">
      <c r="A9363" t="s">
        <v>2544</v>
      </c>
    </row>
    <row r="9364" spans="1:1" x14ac:dyDescent="0.25">
      <c r="A9364" t="s">
        <v>5990</v>
      </c>
    </row>
    <row r="9365" spans="1:1" x14ac:dyDescent="0.25">
      <c r="A9365" t="s">
        <v>2446</v>
      </c>
    </row>
    <row r="9366" spans="1:1" x14ac:dyDescent="0.25">
      <c r="A9366" t="s">
        <v>5991</v>
      </c>
    </row>
    <row r="9367" spans="1:1" x14ac:dyDescent="0.25">
      <c r="A9367" t="s">
        <v>2448</v>
      </c>
    </row>
    <row r="9368" spans="1:1" x14ac:dyDescent="0.25">
      <c r="A9368" t="s">
        <v>5992</v>
      </c>
    </row>
    <row r="9369" spans="1:1" x14ac:dyDescent="0.25">
      <c r="A9369" t="s">
        <v>2453</v>
      </c>
    </row>
    <row r="9371" spans="1:1" x14ac:dyDescent="0.25">
      <c r="A9371" t="s">
        <v>2549</v>
      </c>
    </row>
    <row r="9373" spans="1:1" x14ac:dyDescent="0.25">
      <c r="A9373" t="s">
        <v>2544</v>
      </c>
    </row>
    <row r="9374" spans="1:1" x14ac:dyDescent="0.25">
      <c r="A9374" t="s">
        <v>5993</v>
      </c>
    </row>
    <row r="9375" spans="1:1" x14ac:dyDescent="0.25">
      <c r="A9375" t="s">
        <v>2446</v>
      </c>
    </row>
    <row r="9376" spans="1:1" x14ac:dyDescent="0.25">
      <c r="A9376" t="s">
        <v>5994</v>
      </c>
    </row>
    <row r="9377" spans="1:1" x14ac:dyDescent="0.25">
      <c r="A9377" t="s">
        <v>2448</v>
      </c>
    </row>
    <row r="9378" spans="1:1" x14ac:dyDescent="0.25">
      <c r="A9378" t="s">
        <v>5995</v>
      </c>
    </row>
    <row r="9379" spans="1:1" x14ac:dyDescent="0.25">
      <c r="A9379" t="s">
        <v>2453</v>
      </c>
    </row>
    <row r="9381" spans="1:1" x14ac:dyDescent="0.25">
      <c r="A9381" t="s">
        <v>2549</v>
      </c>
    </row>
    <row r="9383" spans="1:1" x14ac:dyDescent="0.25">
      <c r="A9383" t="s">
        <v>2544</v>
      </c>
    </row>
    <row r="9384" spans="1:1" x14ac:dyDescent="0.25">
      <c r="A9384" t="s">
        <v>5996</v>
      </c>
    </row>
    <row r="9385" spans="1:1" x14ac:dyDescent="0.25">
      <c r="A9385" t="s">
        <v>2446</v>
      </c>
    </row>
    <row r="9386" spans="1:1" x14ac:dyDescent="0.25">
      <c r="A9386" t="s">
        <v>5997</v>
      </c>
    </row>
    <row r="9387" spans="1:1" x14ac:dyDescent="0.25">
      <c r="A9387" t="s">
        <v>2448</v>
      </c>
    </row>
    <row r="9388" spans="1:1" x14ac:dyDescent="0.25">
      <c r="A9388" t="s">
        <v>5998</v>
      </c>
    </row>
    <row r="9389" spans="1:1" x14ac:dyDescent="0.25">
      <c r="A9389" t="s">
        <v>2453</v>
      </c>
    </row>
    <row r="9391" spans="1:1" x14ac:dyDescent="0.25">
      <c r="A9391" t="s">
        <v>2549</v>
      </c>
    </row>
    <row r="9393" spans="1:1" x14ac:dyDescent="0.25">
      <c r="A9393" t="s">
        <v>2544</v>
      </c>
    </row>
    <row r="9394" spans="1:1" x14ac:dyDescent="0.25">
      <c r="A9394" t="s">
        <v>5999</v>
      </c>
    </row>
    <row r="9395" spans="1:1" x14ac:dyDescent="0.25">
      <c r="A9395" t="s">
        <v>2446</v>
      </c>
    </row>
    <row r="9396" spans="1:1" x14ac:dyDescent="0.25">
      <c r="A9396" t="s">
        <v>6000</v>
      </c>
    </row>
    <row r="9397" spans="1:1" x14ac:dyDescent="0.25">
      <c r="A9397" t="s">
        <v>2448</v>
      </c>
    </row>
    <row r="9398" spans="1:1" x14ac:dyDescent="0.25">
      <c r="A9398" t="s">
        <v>6001</v>
      </c>
    </row>
    <row r="9399" spans="1:1" x14ac:dyDescent="0.25">
      <c r="A9399" t="s">
        <v>2453</v>
      </c>
    </row>
    <row r="9401" spans="1:1" x14ac:dyDescent="0.25">
      <c r="A9401" t="s">
        <v>2549</v>
      </c>
    </row>
    <row r="9403" spans="1:1" x14ac:dyDescent="0.25">
      <c r="A9403" t="s">
        <v>2544</v>
      </c>
    </row>
    <row r="9404" spans="1:1" x14ac:dyDescent="0.25">
      <c r="A9404" t="s">
        <v>6002</v>
      </c>
    </row>
    <row r="9405" spans="1:1" x14ac:dyDescent="0.25">
      <c r="A9405" t="s">
        <v>2446</v>
      </c>
    </row>
    <row r="9406" spans="1:1" x14ac:dyDescent="0.25">
      <c r="A9406" t="s">
        <v>6003</v>
      </c>
    </row>
    <row r="9407" spans="1:1" x14ac:dyDescent="0.25">
      <c r="A9407" t="s">
        <v>2448</v>
      </c>
    </row>
    <row r="9408" spans="1:1" x14ac:dyDescent="0.25">
      <c r="A9408" t="s">
        <v>6004</v>
      </c>
    </row>
    <row r="9409" spans="1:1" x14ac:dyDescent="0.25">
      <c r="A9409" t="s">
        <v>2453</v>
      </c>
    </row>
    <row r="9411" spans="1:1" x14ac:dyDescent="0.25">
      <c r="A9411" t="s">
        <v>2549</v>
      </c>
    </row>
    <row r="9413" spans="1:1" x14ac:dyDescent="0.25">
      <c r="A9413" t="s">
        <v>2544</v>
      </c>
    </row>
    <row r="9414" spans="1:1" x14ac:dyDescent="0.25">
      <c r="A9414" t="s">
        <v>6005</v>
      </c>
    </row>
    <row r="9415" spans="1:1" x14ac:dyDescent="0.25">
      <c r="A9415" t="s">
        <v>2446</v>
      </c>
    </row>
    <row r="9416" spans="1:1" x14ac:dyDescent="0.25">
      <c r="A9416" t="s">
        <v>6006</v>
      </c>
    </row>
    <row r="9417" spans="1:1" x14ac:dyDescent="0.25">
      <c r="A9417" t="s">
        <v>2448</v>
      </c>
    </row>
    <row r="9418" spans="1:1" x14ac:dyDescent="0.25">
      <c r="A9418" t="s">
        <v>6007</v>
      </c>
    </row>
    <row r="9419" spans="1:1" x14ac:dyDescent="0.25">
      <c r="A9419" t="s">
        <v>2453</v>
      </c>
    </row>
    <row r="9421" spans="1:1" x14ac:dyDescent="0.25">
      <c r="A9421" t="s">
        <v>2549</v>
      </c>
    </row>
    <row r="9423" spans="1:1" x14ac:dyDescent="0.25">
      <c r="A9423" t="s">
        <v>2544</v>
      </c>
    </row>
    <row r="9424" spans="1:1" x14ac:dyDescent="0.25">
      <c r="A9424" t="s">
        <v>6008</v>
      </c>
    </row>
    <row r="9425" spans="1:1" x14ac:dyDescent="0.25">
      <c r="A9425" t="s">
        <v>2446</v>
      </c>
    </row>
    <row r="9426" spans="1:1" x14ac:dyDescent="0.25">
      <c r="A9426" t="s">
        <v>6009</v>
      </c>
    </row>
    <row r="9427" spans="1:1" x14ac:dyDescent="0.25">
      <c r="A9427" t="s">
        <v>2448</v>
      </c>
    </row>
    <row r="9428" spans="1:1" x14ac:dyDescent="0.25">
      <c r="A9428" t="s">
        <v>6010</v>
      </c>
    </row>
    <row r="9429" spans="1:1" x14ac:dyDescent="0.25">
      <c r="A9429" t="s">
        <v>2453</v>
      </c>
    </row>
    <row r="9431" spans="1:1" x14ac:dyDescent="0.25">
      <c r="A9431" t="s">
        <v>2549</v>
      </c>
    </row>
    <row r="9433" spans="1:1" x14ac:dyDescent="0.25">
      <c r="A9433" t="s">
        <v>2544</v>
      </c>
    </row>
    <row r="9434" spans="1:1" x14ac:dyDescent="0.25">
      <c r="A9434" t="s">
        <v>6011</v>
      </c>
    </row>
    <row r="9435" spans="1:1" x14ac:dyDescent="0.25">
      <c r="A9435" t="s">
        <v>2446</v>
      </c>
    </row>
    <row r="9436" spans="1:1" x14ac:dyDescent="0.25">
      <c r="A9436" t="s">
        <v>6012</v>
      </c>
    </row>
    <row r="9437" spans="1:1" x14ac:dyDescent="0.25">
      <c r="A9437" t="s">
        <v>2448</v>
      </c>
    </row>
    <row r="9438" spans="1:1" x14ac:dyDescent="0.25">
      <c r="A9438" t="s">
        <v>6013</v>
      </c>
    </row>
    <row r="9439" spans="1:1" x14ac:dyDescent="0.25">
      <c r="A9439" t="s">
        <v>6014</v>
      </c>
    </row>
    <row r="9440" spans="1:1" x14ac:dyDescent="0.25">
      <c r="A9440" t="s">
        <v>6015</v>
      </c>
    </row>
    <row r="9441" spans="1:1" x14ac:dyDescent="0.25">
      <c r="A9441" t="s">
        <v>6016</v>
      </c>
    </row>
    <row r="9442" spans="1:1" x14ac:dyDescent="0.25">
      <c r="A9442" t="s">
        <v>6017</v>
      </c>
    </row>
    <row r="9443" spans="1:1" x14ac:dyDescent="0.25">
      <c r="A9443" t="s">
        <v>6018</v>
      </c>
    </row>
    <row r="9444" spans="1:1" x14ac:dyDescent="0.25">
      <c r="A9444" t="s">
        <v>6019</v>
      </c>
    </row>
    <row r="9445" spans="1:1" x14ac:dyDescent="0.25">
      <c r="A9445" t="s">
        <v>1940</v>
      </c>
    </row>
    <row r="9446" spans="1:1" x14ac:dyDescent="0.25">
      <c r="A9446" t="s">
        <v>6020</v>
      </c>
    </row>
    <row r="9447" spans="1:1" x14ac:dyDescent="0.25">
      <c r="A9447" t="s">
        <v>2453</v>
      </c>
    </row>
    <row r="9449" spans="1:1" x14ac:dyDescent="0.25">
      <c r="A9449" t="s">
        <v>2549</v>
      </c>
    </row>
    <row r="9451" spans="1:1" x14ac:dyDescent="0.25">
      <c r="A9451" t="s">
        <v>2544</v>
      </c>
    </row>
    <row r="9452" spans="1:1" x14ac:dyDescent="0.25">
      <c r="A9452" t="s">
        <v>6021</v>
      </c>
    </row>
    <row r="9453" spans="1:1" x14ac:dyDescent="0.25">
      <c r="A9453" t="s">
        <v>2446</v>
      </c>
    </row>
    <row r="9454" spans="1:1" x14ac:dyDescent="0.25">
      <c r="A9454" t="s">
        <v>6022</v>
      </c>
    </row>
    <row r="9455" spans="1:1" x14ac:dyDescent="0.25">
      <c r="A9455" t="s">
        <v>2448</v>
      </c>
    </row>
    <row r="9456" spans="1:1" x14ac:dyDescent="0.25">
      <c r="A9456" t="s">
        <v>6023</v>
      </c>
    </row>
    <row r="9458" spans="1:1" x14ac:dyDescent="0.25">
      <c r="A9458" t="s">
        <v>6024</v>
      </c>
    </row>
    <row r="9459" spans="1:1" x14ac:dyDescent="0.25">
      <c r="A9459" t="s">
        <v>6025</v>
      </c>
    </row>
    <row r="9460" spans="1:1" x14ac:dyDescent="0.25">
      <c r="A9460" t="s">
        <v>6026</v>
      </c>
    </row>
    <row r="9461" spans="1:1" x14ac:dyDescent="0.25">
      <c r="A9461" t="s">
        <v>6027</v>
      </c>
    </row>
    <row r="9462" spans="1:1" x14ac:dyDescent="0.25">
      <c r="A9462" t="s">
        <v>6028</v>
      </c>
    </row>
    <row r="9463" spans="1:1" x14ac:dyDescent="0.25">
      <c r="A9463" t="s">
        <v>6029</v>
      </c>
    </row>
    <row r="9464" spans="1:1" x14ac:dyDescent="0.25">
      <c r="A9464" t="s">
        <v>6030</v>
      </c>
    </row>
    <row r="9465" spans="1:1" x14ac:dyDescent="0.25">
      <c r="A9465" t="s">
        <v>6031</v>
      </c>
    </row>
    <row r="9466" spans="1:1" x14ac:dyDescent="0.25">
      <c r="A9466" t="s">
        <v>1940</v>
      </c>
    </row>
    <row r="9467" spans="1:1" x14ac:dyDescent="0.25">
      <c r="A9467" t="s">
        <v>6032</v>
      </c>
    </row>
    <row r="9468" spans="1:1" x14ac:dyDescent="0.25">
      <c r="A9468" t="s">
        <v>2453</v>
      </c>
    </row>
    <row r="9470" spans="1:1" x14ac:dyDescent="0.25">
      <c r="A9470" t="s">
        <v>2549</v>
      </c>
    </row>
    <row r="9472" spans="1:1" x14ac:dyDescent="0.25">
      <c r="A9472" t="s">
        <v>2544</v>
      </c>
    </row>
    <row r="9473" spans="1:1" x14ac:dyDescent="0.25">
      <c r="A9473" t="s">
        <v>6033</v>
      </c>
    </row>
    <row r="9474" spans="1:1" x14ac:dyDescent="0.25">
      <c r="A9474" t="s">
        <v>2446</v>
      </c>
    </row>
    <row r="9475" spans="1:1" x14ac:dyDescent="0.25">
      <c r="A9475" t="s">
        <v>6034</v>
      </c>
    </row>
    <row r="9476" spans="1:1" x14ac:dyDescent="0.25">
      <c r="A9476" t="s">
        <v>2448</v>
      </c>
    </row>
    <row r="9477" spans="1:1" x14ac:dyDescent="0.25">
      <c r="A9477" t="s">
        <v>6035</v>
      </c>
    </row>
    <row r="9478" spans="1:1" x14ac:dyDescent="0.25">
      <c r="A9478" t="s">
        <v>6036</v>
      </c>
    </row>
    <row r="9479" spans="1:1" x14ac:dyDescent="0.25">
      <c r="A9479" t="s">
        <v>6037</v>
      </c>
    </row>
    <row r="9480" spans="1:1" x14ac:dyDescent="0.25">
      <c r="A9480" t="s">
        <v>6038</v>
      </c>
    </row>
    <row r="9481" spans="1:1" x14ac:dyDescent="0.25">
      <c r="A9481" t="s">
        <v>6039</v>
      </c>
    </row>
    <row r="9483" spans="1:1" x14ac:dyDescent="0.25">
      <c r="A9483" t="s">
        <v>6040</v>
      </c>
    </row>
    <row r="9484" spans="1:1" x14ac:dyDescent="0.25">
      <c r="A9484" t="s">
        <v>2453</v>
      </c>
    </row>
    <row r="9486" spans="1:1" x14ac:dyDescent="0.25">
      <c r="A9486" t="s">
        <v>2549</v>
      </c>
    </row>
    <row r="9488" spans="1:1" x14ac:dyDescent="0.25">
      <c r="A9488" t="s">
        <v>2544</v>
      </c>
    </row>
    <row r="9489" spans="1:1" x14ac:dyDescent="0.25">
      <c r="A9489" t="s">
        <v>6041</v>
      </c>
    </row>
    <row r="9490" spans="1:1" x14ac:dyDescent="0.25">
      <c r="A9490" t="s">
        <v>2446</v>
      </c>
    </row>
    <row r="9491" spans="1:1" x14ac:dyDescent="0.25">
      <c r="A9491" t="s">
        <v>6042</v>
      </c>
    </row>
    <row r="9492" spans="1:1" x14ac:dyDescent="0.25">
      <c r="A9492" t="s">
        <v>2448</v>
      </c>
    </row>
    <row r="9493" spans="1:1" x14ac:dyDescent="0.25">
      <c r="A9493" t="s">
        <v>6043</v>
      </c>
    </row>
    <row r="9494" spans="1:1" x14ac:dyDescent="0.25">
      <c r="A9494" t="s">
        <v>6044</v>
      </c>
    </row>
    <row r="9495" spans="1:1" x14ac:dyDescent="0.25">
      <c r="A9495" t="s">
        <v>6045</v>
      </c>
    </row>
    <row r="9497" spans="1:1" x14ac:dyDescent="0.25">
      <c r="A9497" t="s">
        <v>6046</v>
      </c>
    </row>
    <row r="9498" spans="1:1" x14ac:dyDescent="0.25">
      <c r="A9498" t="s">
        <v>6047</v>
      </c>
    </row>
    <row r="9500" spans="1:1" x14ac:dyDescent="0.25">
      <c r="A9500" t="s">
        <v>6048</v>
      </c>
    </row>
    <row r="9501" spans="1:1" x14ac:dyDescent="0.25">
      <c r="A9501" t="s">
        <v>6049</v>
      </c>
    </row>
    <row r="9502" spans="1:1" x14ac:dyDescent="0.25">
      <c r="A9502" t="s">
        <v>1940</v>
      </c>
    </row>
    <row r="9503" spans="1:1" x14ac:dyDescent="0.25">
      <c r="A9503" t="s">
        <v>6050</v>
      </c>
    </row>
    <row r="9505" spans="1:1" x14ac:dyDescent="0.25">
      <c r="A9505" t="s">
        <v>6051</v>
      </c>
    </row>
    <row r="9506" spans="1:1" x14ac:dyDescent="0.25">
      <c r="A9506" t="s">
        <v>2453</v>
      </c>
    </row>
    <row r="9508" spans="1:1" x14ac:dyDescent="0.25">
      <c r="A9508" t="s">
        <v>2549</v>
      </c>
    </row>
    <row r="9510" spans="1:1" x14ac:dyDescent="0.25">
      <c r="A9510" t="s">
        <v>2544</v>
      </c>
    </row>
    <row r="9511" spans="1:1" x14ac:dyDescent="0.25">
      <c r="A9511" t="s">
        <v>6052</v>
      </c>
    </row>
    <row r="9512" spans="1:1" x14ac:dyDescent="0.25">
      <c r="A9512" t="s">
        <v>2446</v>
      </c>
    </row>
    <row r="9513" spans="1:1" x14ac:dyDescent="0.25">
      <c r="A9513" t="s">
        <v>6053</v>
      </c>
    </row>
    <row r="9514" spans="1:1" x14ac:dyDescent="0.25">
      <c r="A9514" t="s">
        <v>2448</v>
      </c>
    </row>
    <row r="9515" spans="1:1" x14ac:dyDescent="0.25">
      <c r="A9515" t="s">
        <v>6054</v>
      </c>
    </row>
    <row r="9516" spans="1:1" x14ac:dyDescent="0.25">
      <c r="A9516" t="s">
        <v>2453</v>
      </c>
    </row>
    <row r="9518" spans="1:1" x14ac:dyDescent="0.25">
      <c r="A9518" t="s">
        <v>2549</v>
      </c>
    </row>
    <row r="9520" spans="1:1" x14ac:dyDescent="0.25">
      <c r="A9520" t="s">
        <v>2544</v>
      </c>
    </row>
    <row r="9521" spans="1:1" x14ac:dyDescent="0.25">
      <c r="A9521" t="s">
        <v>6055</v>
      </c>
    </row>
    <row r="9522" spans="1:1" x14ac:dyDescent="0.25">
      <c r="A9522" t="s">
        <v>2446</v>
      </c>
    </row>
    <row r="9523" spans="1:1" x14ac:dyDescent="0.25">
      <c r="A9523" t="s">
        <v>6056</v>
      </c>
    </row>
    <row r="9524" spans="1:1" x14ac:dyDescent="0.25">
      <c r="A9524" t="s">
        <v>2448</v>
      </c>
    </row>
    <row r="9525" spans="1:1" x14ac:dyDescent="0.25">
      <c r="A9525" t="s">
        <v>6057</v>
      </c>
    </row>
    <row r="9526" spans="1:1" x14ac:dyDescent="0.25">
      <c r="A9526" t="s">
        <v>6058</v>
      </c>
    </row>
    <row r="9527" spans="1:1" x14ac:dyDescent="0.25">
      <c r="A9527" t="s">
        <v>6059</v>
      </c>
    </row>
    <row r="9528" spans="1:1" x14ac:dyDescent="0.25">
      <c r="A9528" t="s">
        <v>6060</v>
      </c>
    </row>
    <row r="9529" spans="1:1" x14ac:dyDescent="0.25">
      <c r="A9529" t="s">
        <v>6061</v>
      </c>
    </row>
    <row r="9530" spans="1:1" x14ac:dyDescent="0.25">
      <c r="A9530" t="s">
        <v>6062</v>
      </c>
    </row>
    <row r="9531" spans="1:1" x14ac:dyDescent="0.25">
      <c r="A9531" t="s">
        <v>6063</v>
      </c>
    </row>
    <row r="9532" spans="1:1" x14ac:dyDescent="0.25">
      <c r="A9532" t="s">
        <v>1940</v>
      </c>
    </row>
    <row r="9533" spans="1:1" x14ac:dyDescent="0.25">
      <c r="A9533" t="s">
        <v>6064</v>
      </c>
    </row>
    <row r="9534" spans="1:1" x14ac:dyDescent="0.25">
      <c r="A9534" t="s">
        <v>2453</v>
      </c>
    </row>
    <row r="9536" spans="1:1" x14ac:dyDescent="0.25">
      <c r="A9536" t="s">
        <v>2549</v>
      </c>
    </row>
    <row r="9538" spans="1:1" x14ac:dyDescent="0.25">
      <c r="A9538" t="s">
        <v>2544</v>
      </c>
    </row>
    <row r="9539" spans="1:1" x14ac:dyDescent="0.25">
      <c r="A9539" t="s">
        <v>6065</v>
      </c>
    </row>
    <row r="9540" spans="1:1" x14ac:dyDescent="0.25">
      <c r="A9540" t="s">
        <v>2446</v>
      </c>
    </row>
    <row r="9541" spans="1:1" x14ac:dyDescent="0.25">
      <c r="A9541" t="s">
        <v>6066</v>
      </c>
    </row>
    <row r="9542" spans="1:1" x14ac:dyDescent="0.25">
      <c r="A9542" t="s">
        <v>2448</v>
      </c>
    </row>
    <row r="9543" spans="1:1" x14ac:dyDescent="0.25">
      <c r="A9543" t="s">
        <v>6067</v>
      </c>
    </row>
    <row r="9544" spans="1:1" x14ac:dyDescent="0.25">
      <c r="A9544" t="s">
        <v>2453</v>
      </c>
    </row>
    <row r="9546" spans="1:1" x14ac:dyDescent="0.25">
      <c r="A9546" t="s">
        <v>2549</v>
      </c>
    </row>
    <row r="9548" spans="1:1" x14ac:dyDescent="0.25">
      <c r="A9548" t="s">
        <v>2544</v>
      </c>
    </row>
    <row r="9549" spans="1:1" x14ac:dyDescent="0.25">
      <c r="A9549" t="s">
        <v>6068</v>
      </c>
    </row>
    <row r="9550" spans="1:1" x14ac:dyDescent="0.25">
      <c r="A9550" t="s">
        <v>2446</v>
      </c>
    </row>
    <row r="9551" spans="1:1" x14ac:dyDescent="0.25">
      <c r="A9551" t="s">
        <v>6069</v>
      </c>
    </row>
    <row r="9552" spans="1:1" x14ac:dyDescent="0.25">
      <c r="A9552" t="s">
        <v>2448</v>
      </c>
    </row>
    <row r="9553" spans="1:1" x14ac:dyDescent="0.25">
      <c r="A9553" t="s">
        <v>6070</v>
      </c>
    </row>
    <row r="9554" spans="1:1" x14ac:dyDescent="0.25">
      <c r="A9554" t="s">
        <v>6071</v>
      </c>
    </row>
    <row r="9555" spans="1:1" x14ac:dyDescent="0.25">
      <c r="A9555" t="s">
        <v>6072</v>
      </c>
    </row>
    <row r="9556" spans="1:1" x14ac:dyDescent="0.25">
      <c r="A9556" t="s">
        <v>6060</v>
      </c>
    </row>
    <row r="9557" spans="1:1" x14ac:dyDescent="0.25">
      <c r="A9557" t="s">
        <v>6073</v>
      </c>
    </row>
    <row r="9558" spans="1:1" x14ac:dyDescent="0.25">
      <c r="A9558" t="s">
        <v>6062</v>
      </c>
    </row>
    <row r="9559" spans="1:1" x14ac:dyDescent="0.25">
      <c r="A9559" t="s">
        <v>6074</v>
      </c>
    </row>
    <row r="9560" spans="1:1" x14ac:dyDescent="0.25">
      <c r="A9560" t="s">
        <v>1940</v>
      </c>
    </row>
    <row r="9561" spans="1:1" x14ac:dyDescent="0.25">
      <c r="A9561" t="s">
        <v>6075</v>
      </c>
    </row>
    <row r="9562" spans="1:1" x14ac:dyDescent="0.25">
      <c r="A9562" t="s">
        <v>2453</v>
      </c>
    </row>
    <row r="9564" spans="1:1" x14ac:dyDescent="0.25">
      <c r="A9564" t="s">
        <v>2549</v>
      </c>
    </row>
    <row r="9566" spans="1:1" x14ac:dyDescent="0.25">
      <c r="A9566" t="s">
        <v>2440</v>
      </c>
    </row>
    <row r="9568" spans="1:1" x14ac:dyDescent="0.25">
      <c r="A9568" t="s">
        <v>2544</v>
      </c>
    </row>
    <row r="9569" spans="1:1" x14ac:dyDescent="0.25">
      <c r="A9569" t="s">
        <v>6076</v>
      </c>
    </row>
    <row r="9570" spans="1:1" x14ac:dyDescent="0.25">
      <c r="A9570" t="s">
        <v>2446</v>
      </c>
    </row>
    <row r="9571" spans="1:1" x14ac:dyDescent="0.25">
      <c r="A9571" t="s">
        <v>6077</v>
      </c>
    </row>
    <row r="9572" spans="1:1" x14ac:dyDescent="0.25">
      <c r="A9572" t="s">
        <v>2448</v>
      </c>
    </row>
    <row r="9573" spans="1:1" x14ac:dyDescent="0.25">
      <c r="A9573" t="s">
        <v>6078</v>
      </c>
    </row>
    <row r="9574" spans="1:1" x14ac:dyDescent="0.25">
      <c r="A9574" t="s">
        <v>6079</v>
      </c>
    </row>
    <row r="9575" spans="1:1" x14ac:dyDescent="0.25">
      <c r="A9575" t="s">
        <v>6080</v>
      </c>
    </row>
    <row r="9576" spans="1:1" x14ac:dyDescent="0.25">
      <c r="A9576" t="s">
        <v>6081</v>
      </c>
    </row>
    <row r="9577" spans="1:1" x14ac:dyDescent="0.25">
      <c r="A9577" t="s">
        <v>6082</v>
      </c>
    </row>
    <row r="9578" spans="1:1" x14ac:dyDescent="0.25">
      <c r="A9578" t="s">
        <v>6083</v>
      </c>
    </row>
    <row r="9579" spans="1:1" x14ac:dyDescent="0.25">
      <c r="A9579" t="s">
        <v>6084</v>
      </c>
    </row>
    <row r="9580" spans="1:1" x14ac:dyDescent="0.25">
      <c r="A9580" t="s">
        <v>6085</v>
      </c>
    </row>
    <row r="9581" spans="1:1" x14ac:dyDescent="0.25">
      <c r="A9581" t="s">
        <v>6086</v>
      </c>
    </row>
    <row r="9582" spans="1:1" x14ac:dyDescent="0.25">
      <c r="A9582" t="s">
        <v>6084</v>
      </c>
    </row>
    <row r="9583" spans="1:1" x14ac:dyDescent="0.25">
      <c r="A9583" t="s">
        <v>6087</v>
      </c>
    </row>
    <row r="9584" spans="1:1" x14ac:dyDescent="0.25">
      <c r="A9584" t="s">
        <v>6088</v>
      </c>
    </row>
    <row r="9585" spans="1:1" x14ac:dyDescent="0.25">
      <c r="A9585" t="s">
        <v>6089</v>
      </c>
    </row>
    <row r="9586" spans="1:1" x14ac:dyDescent="0.25">
      <c r="A9586" t="s">
        <v>6090</v>
      </c>
    </row>
    <row r="9587" spans="1:1" x14ac:dyDescent="0.25">
      <c r="A9587" t="s">
        <v>6091</v>
      </c>
    </row>
    <row r="9588" spans="1:1" x14ac:dyDescent="0.25">
      <c r="A9588" t="s">
        <v>6087</v>
      </c>
    </row>
    <row r="9589" spans="1:1" x14ac:dyDescent="0.25">
      <c r="A9589" t="s">
        <v>6092</v>
      </c>
    </row>
    <row r="9590" spans="1:1" x14ac:dyDescent="0.25">
      <c r="A9590" t="s">
        <v>6093</v>
      </c>
    </row>
    <row r="9591" spans="1:1" x14ac:dyDescent="0.25">
      <c r="A9591" t="s">
        <v>6094</v>
      </c>
    </row>
    <row r="9592" spans="1:1" x14ac:dyDescent="0.25">
      <c r="A9592" t="s">
        <v>6087</v>
      </c>
    </row>
    <row r="9593" spans="1:1" x14ac:dyDescent="0.25">
      <c r="A9593" t="s">
        <v>6092</v>
      </c>
    </row>
    <row r="9594" spans="1:1" x14ac:dyDescent="0.25">
      <c r="A9594" t="s">
        <v>6095</v>
      </c>
    </row>
    <row r="9595" spans="1:1" x14ac:dyDescent="0.25">
      <c r="A9595" t="s">
        <v>2453</v>
      </c>
    </row>
    <row r="9597" spans="1:1" x14ac:dyDescent="0.25">
      <c r="A9597" t="s">
        <v>2549</v>
      </c>
    </row>
    <row r="9599" spans="1:1" x14ac:dyDescent="0.25">
      <c r="A9599" t="s">
        <v>2544</v>
      </c>
    </row>
    <row r="9600" spans="1:1" x14ac:dyDescent="0.25">
      <c r="A9600" t="s">
        <v>6096</v>
      </c>
    </row>
    <row r="9601" spans="1:1" x14ac:dyDescent="0.25">
      <c r="A9601" t="s">
        <v>2446</v>
      </c>
    </row>
    <row r="9602" spans="1:1" x14ac:dyDescent="0.25">
      <c r="A9602" t="s">
        <v>6097</v>
      </c>
    </row>
    <row r="9603" spans="1:1" x14ac:dyDescent="0.25">
      <c r="A9603" t="s">
        <v>2448</v>
      </c>
    </row>
    <row r="9605" spans="1:1" x14ac:dyDescent="0.25">
      <c r="A9605" t="s">
        <v>6098</v>
      </c>
    </row>
    <row r="9606" spans="1:1" x14ac:dyDescent="0.25">
      <c r="A9606" t="s">
        <v>6099</v>
      </c>
    </row>
    <row r="9607" spans="1:1" x14ac:dyDescent="0.25">
      <c r="A9607" t="s">
        <v>6100</v>
      </c>
    </row>
    <row r="9609" spans="1:1" x14ac:dyDescent="0.25">
      <c r="A9609" t="s">
        <v>6101</v>
      </c>
    </row>
    <row r="9610" spans="1:1" x14ac:dyDescent="0.25">
      <c r="A9610" t="s">
        <v>6102</v>
      </c>
    </row>
    <row r="9612" spans="1:1" x14ac:dyDescent="0.25">
      <c r="A9612" t="s">
        <v>6103</v>
      </c>
    </row>
    <row r="9613" spans="1:1" x14ac:dyDescent="0.25">
      <c r="A9613" t="s">
        <v>6104</v>
      </c>
    </row>
    <row r="9614" spans="1:1" x14ac:dyDescent="0.25">
      <c r="A9614" t="s">
        <v>6105</v>
      </c>
    </row>
    <row r="9615" spans="1:1" x14ac:dyDescent="0.25">
      <c r="A9615" t="s">
        <v>6106</v>
      </c>
    </row>
    <row r="9617" spans="1:1" x14ac:dyDescent="0.25">
      <c r="A9617" t="s">
        <v>6107</v>
      </c>
    </row>
    <row r="9618" spans="1:1" x14ac:dyDescent="0.25">
      <c r="A9618" t="s">
        <v>6108</v>
      </c>
    </row>
    <row r="9620" spans="1:1" x14ac:dyDescent="0.25">
      <c r="A9620" t="s">
        <v>6109</v>
      </c>
    </row>
    <row r="9621" spans="1:1" x14ac:dyDescent="0.25">
      <c r="A9621" t="s">
        <v>6110</v>
      </c>
    </row>
    <row r="9622" spans="1:1" x14ac:dyDescent="0.25">
      <c r="A9622" t="s">
        <v>6111</v>
      </c>
    </row>
    <row r="9623" spans="1:1" x14ac:dyDescent="0.25">
      <c r="A9623" t="s">
        <v>6112</v>
      </c>
    </row>
    <row r="9624" spans="1:1" x14ac:dyDescent="0.25">
      <c r="A9624" t="s">
        <v>6113</v>
      </c>
    </row>
    <row r="9625" spans="1:1" x14ac:dyDescent="0.25">
      <c r="A9625" t="s">
        <v>6114</v>
      </c>
    </row>
    <row r="9626" spans="1:1" x14ac:dyDescent="0.25">
      <c r="A9626" t="s">
        <v>2453</v>
      </c>
    </row>
    <row r="9628" spans="1:1" x14ac:dyDescent="0.25">
      <c r="A9628" t="s">
        <v>2549</v>
      </c>
    </row>
    <row r="9629" spans="1:1" x14ac:dyDescent="0.25">
      <c r="A9629" t="s">
        <v>2749</v>
      </c>
    </row>
    <row r="9631" spans="1:1" x14ac:dyDescent="0.25">
      <c r="A9631" t="s">
        <v>6115</v>
      </c>
    </row>
    <row r="9632" spans="1:1" x14ac:dyDescent="0.25">
      <c r="A9632" t="s">
        <v>2544</v>
      </c>
    </row>
    <row r="9633" spans="1:1" x14ac:dyDescent="0.25">
      <c r="A9633" t="s">
        <v>6116</v>
      </c>
    </row>
    <row r="9634" spans="1:1" x14ac:dyDescent="0.25">
      <c r="A9634" t="s">
        <v>2446</v>
      </c>
    </row>
    <row r="9635" spans="1:1" x14ac:dyDescent="0.25">
      <c r="A9635" t="s">
        <v>6117</v>
      </c>
    </row>
    <row r="9636" spans="1:1" x14ac:dyDescent="0.25">
      <c r="A9636" t="s">
        <v>2448</v>
      </c>
    </row>
    <row r="9637" spans="1:1" x14ac:dyDescent="0.25">
      <c r="A9637" t="s">
        <v>6118</v>
      </c>
    </row>
    <row r="9638" spans="1:1" x14ac:dyDescent="0.25">
      <c r="A9638" t="s">
        <v>2453</v>
      </c>
    </row>
    <row r="9640" spans="1:1" x14ac:dyDescent="0.25">
      <c r="A9640" t="s">
        <v>2549</v>
      </c>
    </row>
    <row r="9642" spans="1:1" x14ac:dyDescent="0.25">
      <c r="A9642" t="s">
        <v>2544</v>
      </c>
    </row>
    <row r="9643" spans="1:1" x14ac:dyDescent="0.25">
      <c r="A9643" t="s">
        <v>6119</v>
      </c>
    </row>
    <row r="9644" spans="1:1" x14ac:dyDescent="0.25">
      <c r="A9644" t="s">
        <v>2446</v>
      </c>
    </row>
    <row r="9645" spans="1:1" x14ac:dyDescent="0.25">
      <c r="A9645" t="s">
        <v>6120</v>
      </c>
    </row>
    <row r="9646" spans="1:1" x14ac:dyDescent="0.25">
      <c r="A9646" t="s">
        <v>2448</v>
      </c>
    </row>
    <row r="9647" spans="1:1" x14ac:dyDescent="0.25">
      <c r="A9647" t="s">
        <v>6121</v>
      </c>
    </row>
    <row r="9648" spans="1:1" x14ac:dyDescent="0.25">
      <c r="A9648" t="s">
        <v>2453</v>
      </c>
    </row>
    <row r="9650" spans="1:1" x14ac:dyDescent="0.25">
      <c r="A9650" t="s">
        <v>2549</v>
      </c>
    </row>
    <row r="9652" spans="1:1" x14ac:dyDescent="0.25">
      <c r="A9652" t="s">
        <v>2544</v>
      </c>
    </row>
    <row r="9653" spans="1:1" x14ac:dyDescent="0.25">
      <c r="A9653" t="s">
        <v>6122</v>
      </c>
    </row>
    <row r="9654" spans="1:1" x14ac:dyDescent="0.25">
      <c r="A9654" t="s">
        <v>2446</v>
      </c>
    </row>
    <row r="9655" spans="1:1" x14ac:dyDescent="0.25">
      <c r="A9655" t="s">
        <v>6123</v>
      </c>
    </row>
    <row r="9656" spans="1:1" x14ac:dyDescent="0.25">
      <c r="A9656" t="s">
        <v>2448</v>
      </c>
    </row>
    <row r="9657" spans="1:1" x14ac:dyDescent="0.25">
      <c r="A9657" t="s">
        <v>6124</v>
      </c>
    </row>
    <row r="9658" spans="1:1" x14ac:dyDescent="0.25">
      <c r="A9658" t="s">
        <v>2453</v>
      </c>
    </row>
    <row r="9660" spans="1:1" x14ac:dyDescent="0.25">
      <c r="A9660" t="s">
        <v>2549</v>
      </c>
    </row>
    <row r="9662" spans="1:1" x14ac:dyDescent="0.25">
      <c r="A9662" t="s">
        <v>2544</v>
      </c>
    </row>
    <row r="9663" spans="1:1" x14ac:dyDescent="0.25">
      <c r="A9663" t="s">
        <v>6125</v>
      </c>
    </row>
    <row r="9664" spans="1:1" x14ac:dyDescent="0.25">
      <c r="A9664" t="s">
        <v>2446</v>
      </c>
    </row>
    <row r="9665" spans="1:1" x14ac:dyDescent="0.25">
      <c r="A9665" t="s">
        <v>6126</v>
      </c>
    </row>
    <row r="9666" spans="1:1" x14ac:dyDescent="0.25">
      <c r="A9666" t="s">
        <v>2448</v>
      </c>
    </row>
    <row r="9667" spans="1:1" x14ac:dyDescent="0.25">
      <c r="A9667" t="s">
        <v>6127</v>
      </c>
    </row>
    <row r="9668" spans="1:1" x14ac:dyDescent="0.25">
      <c r="A9668" t="s">
        <v>2453</v>
      </c>
    </row>
    <row r="9670" spans="1:1" x14ac:dyDescent="0.25">
      <c r="A9670" t="s">
        <v>2549</v>
      </c>
    </row>
    <row r="9672" spans="1:1" x14ac:dyDescent="0.25">
      <c r="A9672" t="s">
        <v>2544</v>
      </c>
    </row>
    <row r="9673" spans="1:1" x14ac:dyDescent="0.25">
      <c r="A9673" t="s">
        <v>6128</v>
      </c>
    </row>
    <row r="9674" spans="1:1" x14ac:dyDescent="0.25">
      <c r="A9674" t="s">
        <v>2446</v>
      </c>
    </row>
    <row r="9675" spans="1:1" x14ac:dyDescent="0.25">
      <c r="A9675" t="s">
        <v>6129</v>
      </c>
    </row>
    <row r="9676" spans="1:1" x14ac:dyDescent="0.25">
      <c r="A9676" t="s">
        <v>2448</v>
      </c>
    </row>
    <row r="9677" spans="1:1" x14ac:dyDescent="0.25">
      <c r="A9677" t="s">
        <v>6130</v>
      </c>
    </row>
    <row r="9678" spans="1:1" x14ac:dyDescent="0.25">
      <c r="A9678" t="s">
        <v>6131</v>
      </c>
    </row>
    <row r="9679" spans="1:1" x14ac:dyDescent="0.25">
      <c r="A9679" t="s">
        <v>6132</v>
      </c>
    </row>
    <row r="9680" spans="1:1" x14ac:dyDescent="0.25">
      <c r="A9680" t="s">
        <v>6133</v>
      </c>
    </row>
    <row r="9681" spans="1:1" x14ac:dyDescent="0.25">
      <c r="A9681" t="s">
        <v>6134</v>
      </c>
    </row>
    <row r="9682" spans="1:1" x14ac:dyDescent="0.25">
      <c r="A9682" t="s">
        <v>2453</v>
      </c>
    </row>
    <row r="9684" spans="1:1" x14ac:dyDescent="0.25">
      <c r="A9684" t="s">
        <v>2549</v>
      </c>
    </row>
    <row r="9686" spans="1:1" x14ac:dyDescent="0.25">
      <c r="A9686" t="s">
        <v>2544</v>
      </c>
    </row>
    <row r="9687" spans="1:1" x14ac:dyDescent="0.25">
      <c r="A9687" t="s">
        <v>6135</v>
      </c>
    </row>
    <row r="9688" spans="1:1" x14ac:dyDescent="0.25">
      <c r="A9688" t="s">
        <v>2446</v>
      </c>
    </row>
    <row r="9689" spans="1:1" x14ac:dyDescent="0.25">
      <c r="A9689" t="s">
        <v>6136</v>
      </c>
    </row>
    <row r="9690" spans="1:1" x14ac:dyDescent="0.25">
      <c r="A9690" t="s">
        <v>2448</v>
      </c>
    </row>
    <row r="9691" spans="1:1" x14ac:dyDescent="0.25">
      <c r="A9691" t="s">
        <v>6137</v>
      </c>
    </row>
    <row r="9692" spans="1:1" x14ac:dyDescent="0.25">
      <c r="A9692" t="s">
        <v>6138</v>
      </c>
    </row>
    <row r="9693" spans="1:1" x14ac:dyDescent="0.25">
      <c r="A9693" t="s">
        <v>6139</v>
      </c>
    </row>
    <row r="9694" spans="1:1" x14ac:dyDescent="0.25">
      <c r="A9694" t="s">
        <v>6140</v>
      </c>
    </row>
    <row r="9695" spans="1:1" x14ac:dyDescent="0.25">
      <c r="A9695" t="s">
        <v>6134</v>
      </c>
    </row>
    <row r="9696" spans="1:1" x14ac:dyDescent="0.25">
      <c r="A9696" t="s">
        <v>2453</v>
      </c>
    </row>
    <row r="9698" spans="1:1" x14ac:dyDescent="0.25">
      <c r="A9698" t="s">
        <v>2549</v>
      </c>
    </row>
    <row r="9700" spans="1:1" x14ac:dyDescent="0.25">
      <c r="A9700" t="s">
        <v>2544</v>
      </c>
    </row>
    <row r="9701" spans="1:1" x14ac:dyDescent="0.25">
      <c r="A9701" t="s">
        <v>6141</v>
      </c>
    </row>
    <row r="9702" spans="1:1" x14ac:dyDescent="0.25">
      <c r="A9702" t="s">
        <v>2446</v>
      </c>
    </row>
    <row r="9703" spans="1:1" x14ac:dyDescent="0.25">
      <c r="A9703" t="s">
        <v>6142</v>
      </c>
    </row>
    <row r="9704" spans="1:1" x14ac:dyDescent="0.25">
      <c r="A9704" t="s">
        <v>2448</v>
      </c>
    </row>
    <row r="9705" spans="1:1" x14ac:dyDescent="0.25">
      <c r="A9705" t="s">
        <v>6143</v>
      </c>
    </row>
    <row r="9706" spans="1:1" x14ac:dyDescent="0.25">
      <c r="A9706" t="s">
        <v>2453</v>
      </c>
    </row>
    <row r="9708" spans="1:1" x14ac:dyDescent="0.25">
      <c r="A9708" t="s">
        <v>2549</v>
      </c>
    </row>
    <row r="9710" spans="1:1" x14ac:dyDescent="0.25">
      <c r="A9710" t="s">
        <v>2544</v>
      </c>
    </row>
    <row r="9711" spans="1:1" x14ac:dyDescent="0.25">
      <c r="A9711" t="s">
        <v>6144</v>
      </c>
    </row>
    <row r="9712" spans="1:1" x14ac:dyDescent="0.25">
      <c r="A9712" t="s">
        <v>2446</v>
      </c>
    </row>
    <row r="9713" spans="1:1" x14ac:dyDescent="0.25">
      <c r="A9713" t="s">
        <v>6145</v>
      </c>
    </row>
    <row r="9714" spans="1:1" x14ac:dyDescent="0.25">
      <c r="A9714" t="s">
        <v>2448</v>
      </c>
    </row>
    <row r="9715" spans="1:1" x14ac:dyDescent="0.25">
      <c r="A9715" t="s">
        <v>6146</v>
      </c>
    </row>
    <row r="9716" spans="1:1" x14ac:dyDescent="0.25">
      <c r="A9716" t="s">
        <v>6014</v>
      </c>
    </row>
    <row r="9717" spans="1:1" x14ac:dyDescent="0.25">
      <c r="A9717" t="s">
        <v>6147</v>
      </c>
    </row>
    <row r="9718" spans="1:1" x14ac:dyDescent="0.25">
      <c r="A9718" t="s">
        <v>6016</v>
      </c>
    </row>
    <row r="9719" spans="1:1" x14ac:dyDescent="0.25">
      <c r="A9719" t="s">
        <v>6148</v>
      </c>
    </row>
    <row r="9720" spans="1:1" x14ac:dyDescent="0.25">
      <c r="A9720" t="s">
        <v>6018</v>
      </c>
    </row>
    <row r="9721" spans="1:1" x14ac:dyDescent="0.25">
      <c r="A9721" t="s">
        <v>6149</v>
      </c>
    </row>
    <row r="9722" spans="1:1" x14ac:dyDescent="0.25">
      <c r="A9722" t="s">
        <v>1940</v>
      </c>
    </row>
    <row r="9723" spans="1:1" x14ac:dyDescent="0.25">
      <c r="A9723" t="s">
        <v>6150</v>
      </c>
    </row>
    <row r="9724" spans="1:1" x14ac:dyDescent="0.25">
      <c r="A9724" t="s">
        <v>2453</v>
      </c>
    </row>
    <row r="9726" spans="1:1" x14ac:dyDescent="0.25">
      <c r="A9726" t="s">
        <v>2549</v>
      </c>
    </row>
    <row r="9728" spans="1:1" x14ac:dyDescent="0.25">
      <c r="A9728" t="s">
        <v>2544</v>
      </c>
    </row>
    <row r="9729" spans="1:1" x14ac:dyDescent="0.25">
      <c r="A9729" t="s">
        <v>6151</v>
      </c>
    </row>
    <row r="9730" spans="1:1" x14ac:dyDescent="0.25">
      <c r="A9730" t="s">
        <v>2446</v>
      </c>
    </row>
    <row r="9731" spans="1:1" x14ac:dyDescent="0.25">
      <c r="A9731" t="s">
        <v>6152</v>
      </c>
    </row>
    <row r="9732" spans="1:1" x14ac:dyDescent="0.25">
      <c r="A9732" t="s">
        <v>2448</v>
      </c>
    </row>
    <row r="9733" spans="1:1" x14ac:dyDescent="0.25">
      <c r="A9733" t="s">
        <v>6153</v>
      </c>
    </row>
    <row r="9735" spans="1:1" x14ac:dyDescent="0.25">
      <c r="A9735" t="s">
        <v>6024</v>
      </c>
    </row>
    <row r="9736" spans="1:1" x14ac:dyDescent="0.25">
      <c r="A9736" t="s">
        <v>6154</v>
      </c>
    </row>
    <row r="9737" spans="1:1" x14ac:dyDescent="0.25">
      <c r="A9737" t="s">
        <v>6026</v>
      </c>
    </row>
    <row r="9738" spans="1:1" x14ac:dyDescent="0.25">
      <c r="A9738" t="s">
        <v>6155</v>
      </c>
    </row>
    <row r="9739" spans="1:1" x14ac:dyDescent="0.25">
      <c r="A9739" t="s">
        <v>6028</v>
      </c>
    </row>
    <row r="9740" spans="1:1" x14ac:dyDescent="0.25">
      <c r="A9740" t="s">
        <v>6156</v>
      </c>
    </row>
    <row r="9741" spans="1:1" x14ac:dyDescent="0.25">
      <c r="A9741" t="s">
        <v>6030</v>
      </c>
    </row>
    <row r="9742" spans="1:1" x14ac:dyDescent="0.25">
      <c r="A9742" t="s">
        <v>6157</v>
      </c>
    </row>
    <row r="9743" spans="1:1" x14ac:dyDescent="0.25">
      <c r="A9743" t="s">
        <v>1940</v>
      </c>
    </row>
    <row r="9744" spans="1:1" x14ac:dyDescent="0.25">
      <c r="A9744" t="s">
        <v>6158</v>
      </c>
    </row>
    <row r="9745" spans="1:1" x14ac:dyDescent="0.25">
      <c r="A9745" t="s">
        <v>2453</v>
      </c>
    </row>
    <row r="9747" spans="1:1" x14ac:dyDescent="0.25">
      <c r="A9747" t="s">
        <v>2549</v>
      </c>
    </row>
    <row r="9749" spans="1:1" x14ac:dyDescent="0.25">
      <c r="A9749" t="s">
        <v>2544</v>
      </c>
    </row>
    <row r="9750" spans="1:1" x14ac:dyDescent="0.25">
      <c r="A9750" t="s">
        <v>6159</v>
      </c>
    </row>
    <row r="9751" spans="1:1" x14ac:dyDescent="0.25">
      <c r="A9751" t="s">
        <v>2446</v>
      </c>
    </row>
    <row r="9752" spans="1:1" x14ac:dyDescent="0.25">
      <c r="A9752" t="s">
        <v>6160</v>
      </c>
    </row>
    <row r="9753" spans="1:1" x14ac:dyDescent="0.25">
      <c r="A9753" t="s">
        <v>2448</v>
      </c>
    </row>
    <row r="9754" spans="1:1" x14ac:dyDescent="0.25">
      <c r="A9754" t="s">
        <v>6161</v>
      </c>
    </row>
    <row r="9755" spans="1:1" x14ac:dyDescent="0.25">
      <c r="A9755" t="s">
        <v>6162</v>
      </c>
    </row>
    <row r="9756" spans="1:1" x14ac:dyDescent="0.25">
      <c r="A9756" t="s">
        <v>6163</v>
      </c>
    </row>
    <row r="9757" spans="1:1" x14ac:dyDescent="0.25">
      <c r="A9757" t="s">
        <v>6164</v>
      </c>
    </row>
    <row r="9758" spans="1:1" x14ac:dyDescent="0.25">
      <c r="A9758" t="s">
        <v>6165</v>
      </c>
    </row>
    <row r="9760" spans="1:1" x14ac:dyDescent="0.25">
      <c r="A9760" t="s">
        <v>6166</v>
      </c>
    </row>
    <row r="9761" spans="1:1" x14ac:dyDescent="0.25">
      <c r="A9761" t="s">
        <v>2453</v>
      </c>
    </row>
    <row r="9763" spans="1:1" x14ac:dyDescent="0.25">
      <c r="A9763" t="s">
        <v>2549</v>
      </c>
    </row>
    <row r="9765" spans="1:1" x14ac:dyDescent="0.25">
      <c r="A9765" t="s">
        <v>2544</v>
      </c>
    </row>
    <row r="9766" spans="1:1" x14ac:dyDescent="0.25">
      <c r="A9766" t="s">
        <v>6167</v>
      </c>
    </row>
    <row r="9767" spans="1:1" x14ac:dyDescent="0.25">
      <c r="A9767" t="s">
        <v>2446</v>
      </c>
    </row>
    <row r="9768" spans="1:1" x14ac:dyDescent="0.25">
      <c r="A9768" t="s">
        <v>6168</v>
      </c>
    </row>
    <row r="9769" spans="1:1" x14ac:dyDescent="0.25">
      <c r="A9769" t="s">
        <v>2448</v>
      </c>
    </row>
    <row r="9771" spans="1:1" x14ac:dyDescent="0.25">
      <c r="A9771" t="s">
        <v>6043</v>
      </c>
    </row>
    <row r="9772" spans="1:1" x14ac:dyDescent="0.25">
      <c r="A9772" t="s">
        <v>6169</v>
      </c>
    </row>
    <row r="9773" spans="1:1" x14ac:dyDescent="0.25">
      <c r="A9773" t="s">
        <v>6170</v>
      </c>
    </row>
    <row r="9775" spans="1:1" x14ac:dyDescent="0.25">
      <c r="A9775" t="s">
        <v>6171</v>
      </c>
    </row>
    <row r="9776" spans="1:1" x14ac:dyDescent="0.25">
      <c r="A9776" t="s">
        <v>6172</v>
      </c>
    </row>
    <row r="9778" spans="1:1" x14ac:dyDescent="0.25">
      <c r="A9778" t="s">
        <v>6048</v>
      </c>
    </row>
    <row r="9779" spans="1:1" x14ac:dyDescent="0.25">
      <c r="A9779" t="s">
        <v>6049</v>
      </c>
    </row>
    <row r="9780" spans="1:1" x14ac:dyDescent="0.25">
      <c r="A9780" t="s">
        <v>1940</v>
      </c>
    </row>
    <row r="9781" spans="1:1" x14ac:dyDescent="0.25">
      <c r="A9781" t="s">
        <v>6050</v>
      </c>
    </row>
    <row r="9783" spans="1:1" x14ac:dyDescent="0.25">
      <c r="A9783" t="s">
        <v>6173</v>
      </c>
    </row>
    <row r="9784" spans="1:1" x14ac:dyDescent="0.25">
      <c r="A9784" t="s">
        <v>2453</v>
      </c>
    </row>
    <row r="9786" spans="1:1" x14ac:dyDescent="0.25">
      <c r="A9786" t="s">
        <v>2549</v>
      </c>
    </row>
    <row r="9788" spans="1:1" x14ac:dyDescent="0.25">
      <c r="A9788" t="s">
        <v>2544</v>
      </c>
    </row>
    <row r="9789" spans="1:1" x14ac:dyDescent="0.25">
      <c r="A9789" t="s">
        <v>6174</v>
      </c>
    </row>
    <row r="9790" spans="1:1" x14ac:dyDescent="0.25">
      <c r="A9790" t="s">
        <v>2446</v>
      </c>
    </row>
    <row r="9791" spans="1:1" x14ac:dyDescent="0.25">
      <c r="A9791" t="s">
        <v>6175</v>
      </c>
    </row>
    <row r="9792" spans="1:1" x14ac:dyDescent="0.25">
      <c r="A9792" t="s">
        <v>2448</v>
      </c>
    </row>
    <row r="9793" spans="1:1" x14ac:dyDescent="0.25">
      <c r="A9793" t="s">
        <v>6176</v>
      </c>
    </row>
    <row r="9794" spans="1:1" x14ac:dyDescent="0.25">
      <c r="A9794" t="s">
        <v>2453</v>
      </c>
    </row>
    <row r="9796" spans="1:1" x14ac:dyDescent="0.25">
      <c r="A9796" t="s">
        <v>2549</v>
      </c>
    </row>
    <row r="9798" spans="1:1" x14ac:dyDescent="0.25">
      <c r="A9798" t="s">
        <v>2544</v>
      </c>
    </row>
    <row r="9799" spans="1:1" x14ac:dyDescent="0.25">
      <c r="A9799" t="s">
        <v>6177</v>
      </c>
    </row>
    <row r="9800" spans="1:1" x14ac:dyDescent="0.25">
      <c r="A9800" t="s">
        <v>2446</v>
      </c>
    </row>
    <row r="9801" spans="1:1" x14ac:dyDescent="0.25">
      <c r="A9801" t="s">
        <v>6178</v>
      </c>
    </row>
    <row r="9802" spans="1:1" x14ac:dyDescent="0.25">
      <c r="A9802" t="s">
        <v>2448</v>
      </c>
    </row>
    <row r="9803" spans="1:1" x14ac:dyDescent="0.25">
      <c r="A9803" t="s">
        <v>6179</v>
      </c>
    </row>
    <row r="9804" spans="1:1" x14ac:dyDescent="0.25">
      <c r="A9804" t="s">
        <v>6058</v>
      </c>
    </row>
    <row r="9805" spans="1:1" x14ac:dyDescent="0.25">
      <c r="A9805" t="s">
        <v>6180</v>
      </c>
    </row>
    <row r="9806" spans="1:1" x14ac:dyDescent="0.25">
      <c r="A9806" t="s">
        <v>6060</v>
      </c>
    </row>
    <row r="9807" spans="1:1" x14ac:dyDescent="0.25">
      <c r="A9807" t="s">
        <v>6181</v>
      </c>
    </row>
    <row r="9808" spans="1:1" x14ac:dyDescent="0.25">
      <c r="A9808" t="s">
        <v>6062</v>
      </c>
    </row>
    <row r="9809" spans="1:1" x14ac:dyDescent="0.25">
      <c r="A9809" t="s">
        <v>6182</v>
      </c>
    </row>
    <row r="9810" spans="1:1" x14ac:dyDescent="0.25">
      <c r="A9810" t="s">
        <v>1940</v>
      </c>
    </row>
    <row r="9811" spans="1:1" x14ac:dyDescent="0.25">
      <c r="A9811" t="s">
        <v>6183</v>
      </c>
    </row>
    <row r="9812" spans="1:1" x14ac:dyDescent="0.25">
      <c r="A9812" t="s">
        <v>2453</v>
      </c>
    </row>
    <row r="9814" spans="1:1" x14ac:dyDescent="0.25">
      <c r="A9814" t="s">
        <v>2549</v>
      </c>
    </row>
    <row r="9816" spans="1:1" x14ac:dyDescent="0.25">
      <c r="A9816" t="s">
        <v>2544</v>
      </c>
    </row>
    <row r="9817" spans="1:1" x14ac:dyDescent="0.25">
      <c r="A9817" t="s">
        <v>6184</v>
      </c>
    </row>
    <row r="9818" spans="1:1" x14ac:dyDescent="0.25">
      <c r="A9818" t="s">
        <v>2446</v>
      </c>
    </row>
    <row r="9819" spans="1:1" x14ac:dyDescent="0.25">
      <c r="A9819" t="s">
        <v>6185</v>
      </c>
    </row>
    <row r="9820" spans="1:1" x14ac:dyDescent="0.25">
      <c r="A9820" t="s">
        <v>2448</v>
      </c>
    </row>
    <row r="9821" spans="1:1" x14ac:dyDescent="0.25">
      <c r="A9821" t="s">
        <v>6186</v>
      </c>
    </row>
    <row r="9822" spans="1:1" x14ac:dyDescent="0.25">
      <c r="A9822" t="s">
        <v>2453</v>
      </c>
    </row>
    <row r="9824" spans="1:1" x14ac:dyDescent="0.25">
      <c r="A9824" t="s">
        <v>2549</v>
      </c>
    </row>
    <row r="9826" spans="1:1" x14ac:dyDescent="0.25">
      <c r="A9826" t="s">
        <v>2544</v>
      </c>
    </row>
    <row r="9827" spans="1:1" x14ac:dyDescent="0.25">
      <c r="A9827" t="s">
        <v>6187</v>
      </c>
    </row>
    <row r="9828" spans="1:1" x14ac:dyDescent="0.25">
      <c r="A9828" t="s">
        <v>2446</v>
      </c>
    </row>
    <row r="9829" spans="1:1" x14ac:dyDescent="0.25">
      <c r="A9829" t="s">
        <v>6188</v>
      </c>
    </row>
    <row r="9830" spans="1:1" x14ac:dyDescent="0.25">
      <c r="A9830" t="s">
        <v>2448</v>
      </c>
    </row>
    <row r="9831" spans="1:1" x14ac:dyDescent="0.25">
      <c r="A9831" t="s">
        <v>6189</v>
      </c>
    </row>
    <row r="9832" spans="1:1" x14ac:dyDescent="0.25">
      <c r="A9832" t="s">
        <v>6071</v>
      </c>
    </row>
    <row r="9833" spans="1:1" x14ac:dyDescent="0.25">
      <c r="A9833" t="s">
        <v>6190</v>
      </c>
    </row>
    <row r="9834" spans="1:1" x14ac:dyDescent="0.25">
      <c r="A9834" t="s">
        <v>6060</v>
      </c>
    </row>
    <row r="9835" spans="1:1" x14ac:dyDescent="0.25">
      <c r="A9835" t="s">
        <v>6191</v>
      </c>
    </row>
    <row r="9836" spans="1:1" x14ac:dyDescent="0.25">
      <c r="A9836" t="s">
        <v>6062</v>
      </c>
    </row>
    <row r="9837" spans="1:1" x14ac:dyDescent="0.25">
      <c r="A9837" t="s">
        <v>6192</v>
      </c>
    </row>
    <row r="9838" spans="1:1" x14ac:dyDescent="0.25">
      <c r="A9838" t="s">
        <v>1940</v>
      </c>
    </row>
    <row r="9839" spans="1:1" x14ac:dyDescent="0.25">
      <c r="A9839" t="s">
        <v>6193</v>
      </c>
    </row>
    <row r="9840" spans="1:1" x14ac:dyDescent="0.25">
      <c r="A9840" t="s">
        <v>2453</v>
      </c>
    </row>
    <row r="9842" spans="1:1" x14ac:dyDescent="0.25">
      <c r="A9842" t="s">
        <v>2549</v>
      </c>
    </row>
    <row r="9844" spans="1:1" x14ac:dyDescent="0.25">
      <c r="A9844" t="s">
        <v>2440</v>
      </c>
    </row>
    <row r="9846" spans="1:1" x14ac:dyDescent="0.25">
      <c r="A9846" t="s">
        <v>2544</v>
      </c>
    </row>
    <row r="9847" spans="1:1" x14ac:dyDescent="0.25">
      <c r="A9847" t="s">
        <v>6194</v>
      </c>
    </row>
    <row r="9848" spans="1:1" x14ac:dyDescent="0.25">
      <c r="A9848" t="s">
        <v>2446</v>
      </c>
    </row>
    <row r="9849" spans="1:1" x14ac:dyDescent="0.25">
      <c r="A9849" t="s">
        <v>6195</v>
      </c>
    </row>
    <row r="9850" spans="1:1" x14ac:dyDescent="0.25">
      <c r="A9850" t="s">
        <v>2448</v>
      </c>
    </row>
    <row r="9851" spans="1:1" x14ac:dyDescent="0.25">
      <c r="A9851" t="s">
        <v>6196</v>
      </c>
    </row>
    <row r="9852" spans="1:1" x14ac:dyDescent="0.25">
      <c r="A9852" t="s">
        <v>6197</v>
      </c>
    </row>
    <row r="9853" spans="1:1" x14ac:dyDescent="0.25">
      <c r="A9853" t="s">
        <v>6198</v>
      </c>
    </row>
    <row r="9854" spans="1:1" x14ac:dyDescent="0.25">
      <c r="A9854" t="s">
        <v>6199</v>
      </c>
    </row>
    <row r="9855" spans="1:1" x14ac:dyDescent="0.25">
      <c r="A9855" t="s">
        <v>6200</v>
      </c>
    </row>
    <row r="9856" spans="1:1" x14ac:dyDescent="0.25">
      <c r="A9856" t="s">
        <v>6201</v>
      </c>
    </row>
    <row r="9857" spans="1:1" x14ac:dyDescent="0.25">
      <c r="A9857" t="s">
        <v>6202</v>
      </c>
    </row>
    <row r="9858" spans="1:1" x14ac:dyDescent="0.25">
      <c r="A9858" t="s">
        <v>6203</v>
      </c>
    </row>
    <row r="9859" spans="1:1" x14ac:dyDescent="0.25">
      <c r="A9859" t="s">
        <v>6204</v>
      </c>
    </row>
    <row r="9860" spans="1:1" x14ac:dyDescent="0.25">
      <c r="A9860" t="s">
        <v>6202</v>
      </c>
    </row>
    <row r="9861" spans="1:1" x14ac:dyDescent="0.25">
      <c r="A9861" t="s">
        <v>6205</v>
      </c>
    </row>
    <row r="9862" spans="1:1" x14ac:dyDescent="0.25">
      <c r="A9862" t="s">
        <v>6206</v>
      </c>
    </row>
    <row r="9863" spans="1:1" x14ac:dyDescent="0.25">
      <c r="A9863" t="s">
        <v>6207</v>
      </c>
    </row>
    <row r="9864" spans="1:1" x14ac:dyDescent="0.25">
      <c r="A9864" t="s">
        <v>6208</v>
      </c>
    </row>
    <row r="9865" spans="1:1" x14ac:dyDescent="0.25">
      <c r="A9865" t="s">
        <v>6209</v>
      </c>
    </row>
    <row r="9866" spans="1:1" x14ac:dyDescent="0.25">
      <c r="A9866" t="s">
        <v>6205</v>
      </c>
    </row>
    <row r="9867" spans="1:1" x14ac:dyDescent="0.25">
      <c r="A9867" t="s">
        <v>6210</v>
      </c>
    </row>
    <row r="9868" spans="1:1" x14ac:dyDescent="0.25">
      <c r="A9868" t="s">
        <v>6211</v>
      </c>
    </row>
    <row r="9869" spans="1:1" x14ac:dyDescent="0.25">
      <c r="A9869" t="s">
        <v>6212</v>
      </c>
    </row>
    <row r="9870" spans="1:1" x14ac:dyDescent="0.25">
      <c r="A9870" t="s">
        <v>6205</v>
      </c>
    </row>
    <row r="9871" spans="1:1" x14ac:dyDescent="0.25">
      <c r="A9871" t="s">
        <v>6210</v>
      </c>
    </row>
    <row r="9872" spans="1:1" x14ac:dyDescent="0.25">
      <c r="A9872" t="s">
        <v>6213</v>
      </c>
    </row>
    <row r="9873" spans="1:1" x14ac:dyDescent="0.25">
      <c r="A9873" t="s">
        <v>2453</v>
      </c>
    </row>
    <row r="9875" spans="1:1" x14ac:dyDescent="0.25">
      <c r="A9875" t="s">
        <v>2549</v>
      </c>
    </row>
    <row r="9877" spans="1:1" x14ac:dyDescent="0.25">
      <c r="A9877" t="s">
        <v>2544</v>
      </c>
    </row>
    <row r="9878" spans="1:1" x14ac:dyDescent="0.25">
      <c r="A9878" t="s">
        <v>6214</v>
      </c>
    </row>
    <row r="9879" spans="1:1" x14ac:dyDescent="0.25">
      <c r="A9879" t="s">
        <v>2446</v>
      </c>
    </row>
    <row r="9880" spans="1:1" x14ac:dyDescent="0.25">
      <c r="A9880" t="s">
        <v>6215</v>
      </c>
    </row>
    <row r="9881" spans="1:1" x14ac:dyDescent="0.25">
      <c r="A9881" t="s">
        <v>2448</v>
      </c>
    </row>
    <row r="9884" spans="1:1" x14ac:dyDescent="0.25">
      <c r="A9884" t="s">
        <v>6216</v>
      </c>
    </row>
    <row r="9885" spans="1:1" x14ac:dyDescent="0.25">
      <c r="A9885" t="s">
        <v>6099</v>
      </c>
    </row>
    <row r="9886" spans="1:1" x14ac:dyDescent="0.25">
      <c r="A9886" t="s">
        <v>6100</v>
      </c>
    </row>
    <row r="9888" spans="1:1" x14ac:dyDescent="0.25">
      <c r="A9888" t="s">
        <v>6217</v>
      </c>
    </row>
    <row r="9889" spans="1:1" x14ac:dyDescent="0.25">
      <c r="A9889" t="s">
        <v>6218</v>
      </c>
    </row>
    <row r="9891" spans="1:1" x14ac:dyDescent="0.25">
      <c r="A9891" t="s">
        <v>6219</v>
      </c>
    </row>
    <row r="9892" spans="1:1" x14ac:dyDescent="0.25">
      <c r="A9892" t="s">
        <v>6104</v>
      </c>
    </row>
    <row r="9893" spans="1:1" x14ac:dyDescent="0.25">
      <c r="A9893" t="s">
        <v>6105</v>
      </c>
    </row>
    <row r="9894" spans="1:1" x14ac:dyDescent="0.25">
      <c r="A9894" t="s">
        <v>6106</v>
      </c>
    </row>
    <row r="9896" spans="1:1" x14ac:dyDescent="0.25">
      <c r="A9896" t="s">
        <v>6220</v>
      </c>
    </row>
    <row r="9897" spans="1:1" x14ac:dyDescent="0.25">
      <c r="A9897" t="s">
        <v>6221</v>
      </c>
    </row>
    <row r="9899" spans="1:1" x14ac:dyDescent="0.25">
      <c r="A9899" t="s">
        <v>6222</v>
      </c>
    </row>
    <row r="9900" spans="1:1" x14ac:dyDescent="0.25">
      <c r="A9900" t="s">
        <v>6110</v>
      </c>
    </row>
    <row r="9901" spans="1:1" x14ac:dyDescent="0.25">
      <c r="A9901" t="s">
        <v>6223</v>
      </c>
    </row>
    <row r="9902" spans="1:1" x14ac:dyDescent="0.25">
      <c r="A9902" t="s">
        <v>6112</v>
      </c>
    </row>
    <row r="9903" spans="1:1" x14ac:dyDescent="0.25">
      <c r="A9903" t="s">
        <v>6224</v>
      </c>
    </row>
    <row r="9904" spans="1:1" x14ac:dyDescent="0.25">
      <c r="A9904" t="s">
        <v>6114</v>
      </c>
    </row>
    <row r="9905" spans="1:1" x14ac:dyDescent="0.25">
      <c r="A9905" t="s">
        <v>2453</v>
      </c>
    </row>
    <row r="9907" spans="1:1" x14ac:dyDescent="0.25">
      <c r="A9907" t="s">
        <v>2549</v>
      </c>
    </row>
    <row r="9908" spans="1:1" x14ac:dyDescent="0.25">
      <c r="A9908" t="s">
        <v>2749</v>
      </c>
    </row>
    <row r="9910" spans="1:1" x14ac:dyDescent="0.25">
      <c r="A9910" t="s">
        <v>1775</v>
      </c>
    </row>
    <row r="9912" spans="1:1" x14ac:dyDescent="0.25">
      <c r="A9912" t="s">
        <v>6225</v>
      </c>
    </row>
    <row r="9913" spans="1:1" x14ac:dyDescent="0.25">
      <c r="A9913" t="s">
        <v>2544</v>
      </c>
    </row>
    <row r="9914" spans="1:1" x14ac:dyDescent="0.25">
      <c r="A9914" t="s">
        <v>6226</v>
      </c>
    </row>
    <row r="9915" spans="1:1" x14ac:dyDescent="0.25">
      <c r="A9915" t="s">
        <v>2446</v>
      </c>
    </row>
    <row r="9916" spans="1:1" x14ac:dyDescent="0.25">
      <c r="A9916" t="s">
        <v>6227</v>
      </c>
    </row>
    <row r="9917" spans="1:1" x14ac:dyDescent="0.25">
      <c r="A9917" t="s">
        <v>2448</v>
      </c>
    </row>
    <row r="9918" spans="1:1" x14ac:dyDescent="0.25">
      <c r="A9918" t="s">
        <v>6228</v>
      </c>
    </row>
    <row r="9919" spans="1:1" x14ac:dyDescent="0.25">
      <c r="A9919" t="s">
        <v>6229</v>
      </c>
    </row>
    <row r="9920" spans="1:1" x14ac:dyDescent="0.25">
      <c r="A9920" t="s">
        <v>6230</v>
      </c>
    </row>
    <row r="9921" spans="1:1" x14ac:dyDescent="0.25">
      <c r="A9921" t="s">
        <v>2453</v>
      </c>
    </row>
    <row r="9923" spans="1:1" x14ac:dyDescent="0.25">
      <c r="A9923" t="s">
        <v>2549</v>
      </c>
    </row>
    <row r="9925" spans="1:1" x14ac:dyDescent="0.25">
      <c r="A9925" t="s">
        <v>2544</v>
      </c>
    </row>
    <row r="9926" spans="1:1" x14ac:dyDescent="0.25">
      <c r="A9926" t="s">
        <v>6231</v>
      </c>
    </row>
    <row r="9927" spans="1:1" x14ac:dyDescent="0.25">
      <c r="A9927" t="s">
        <v>2446</v>
      </c>
    </row>
    <row r="9928" spans="1:1" x14ac:dyDescent="0.25">
      <c r="A9928" t="s">
        <v>6232</v>
      </c>
    </row>
    <row r="9929" spans="1:1" x14ac:dyDescent="0.25">
      <c r="A9929" t="s">
        <v>2448</v>
      </c>
    </row>
    <row r="9930" spans="1:1" x14ac:dyDescent="0.25">
      <c r="A9930" t="s">
        <v>6233</v>
      </c>
    </row>
    <row r="9931" spans="1:1" x14ac:dyDescent="0.25">
      <c r="A9931" t="s">
        <v>6234</v>
      </c>
    </row>
    <row r="9932" spans="1:1" x14ac:dyDescent="0.25">
      <c r="A9932" t="s">
        <v>2453</v>
      </c>
    </row>
    <row r="9934" spans="1:1" x14ac:dyDescent="0.25">
      <c r="A9934" t="s">
        <v>2549</v>
      </c>
    </row>
    <row r="9936" spans="1:1" x14ac:dyDescent="0.25">
      <c r="A9936" t="s">
        <v>2544</v>
      </c>
    </row>
    <row r="9937" spans="1:1" x14ac:dyDescent="0.25">
      <c r="A9937" t="s">
        <v>6235</v>
      </c>
    </row>
    <row r="9938" spans="1:1" x14ac:dyDescent="0.25">
      <c r="A9938" t="s">
        <v>2446</v>
      </c>
    </row>
    <row r="9939" spans="1:1" x14ac:dyDescent="0.25">
      <c r="A9939" t="s">
        <v>6236</v>
      </c>
    </row>
    <row r="9940" spans="1:1" x14ac:dyDescent="0.25">
      <c r="A9940" t="s">
        <v>2448</v>
      </c>
    </row>
    <row r="9941" spans="1:1" x14ac:dyDescent="0.25">
      <c r="A9941" t="s">
        <v>6237</v>
      </c>
    </row>
    <row r="9942" spans="1:1" x14ac:dyDescent="0.25">
      <c r="A9942" t="s">
        <v>6238</v>
      </c>
    </row>
    <row r="9943" spans="1:1" x14ac:dyDescent="0.25">
      <c r="A9943" t="s">
        <v>2453</v>
      </c>
    </row>
    <row r="9945" spans="1:1" x14ac:dyDescent="0.25">
      <c r="A9945" t="s">
        <v>2549</v>
      </c>
    </row>
    <row r="9947" spans="1:1" x14ac:dyDescent="0.25">
      <c r="A9947" t="s">
        <v>2544</v>
      </c>
    </row>
    <row r="9948" spans="1:1" x14ac:dyDescent="0.25">
      <c r="A9948" t="s">
        <v>6239</v>
      </c>
    </row>
    <row r="9949" spans="1:1" x14ac:dyDescent="0.25">
      <c r="A9949" t="s">
        <v>2446</v>
      </c>
    </row>
    <row r="9950" spans="1:1" x14ac:dyDescent="0.25">
      <c r="A9950" t="s">
        <v>6240</v>
      </c>
    </row>
    <row r="9951" spans="1:1" x14ac:dyDescent="0.25">
      <c r="A9951" t="s">
        <v>2448</v>
      </c>
    </row>
    <row r="9952" spans="1:1" x14ac:dyDescent="0.25">
      <c r="A9952" t="s">
        <v>6241</v>
      </c>
    </row>
    <row r="9953" spans="1:1" x14ac:dyDescent="0.25">
      <c r="A9953" t="s">
        <v>6242</v>
      </c>
    </row>
    <row r="9954" spans="1:1" x14ac:dyDescent="0.25">
      <c r="A9954" t="s">
        <v>2453</v>
      </c>
    </row>
    <row r="9956" spans="1:1" x14ac:dyDescent="0.25">
      <c r="A9956" t="s">
        <v>2549</v>
      </c>
    </row>
    <row r="9958" spans="1:1" x14ac:dyDescent="0.25">
      <c r="A9958" t="s">
        <v>2544</v>
      </c>
    </row>
    <row r="9959" spans="1:1" x14ac:dyDescent="0.25">
      <c r="A9959" t="s">
        <v>6243</v>
      </c>
    </row>
    <row r="9960" spans="1:1" x14ac:dyDescent="0.25">
      <c r="A9960" t="s">
        <v>2446</v>
      </c>
    </row>
    <row r="9961" spans="1:1" x14ac:dyDescent="0.25">
      <c r="A9961" t="s">
        <v>6244</v>
      </c>
    </row>
    <row r="9962" spans="1:1" x14ac:dyDescent="0.25">
      <c r="A9962" t="s">
        <v>2448</v>
      </c>
    </row>
    <row r="9963" spans="1:1" x14ac:dyDescent="0.25">
      <c r="A9963" t="s">
        <v>6245</v>
      </c>
    </row>
    <row r="9964" spans="1:1" x14ac:dyDescent="0.25">
      <c r="A9964" t="s">
        <v>6229</v>
      </c>
    </row>
    <row r="9965" spans="1:1" x14ac:dyDescent="0.25">
      <c r="A9965" t="s">
        <v>6246</v>
      </c>
    </row>
    <row r="9966" spans="1:1" x14ac:dyDescent="0.25">
      <c r="A9966" t="s">
        <v>2453</v>
      </c>
    </row>
    <row r="9968" spans="1:1" x14ac:dyDescent="0.25">
      <c r="A9968" t="s">
        <v>2549</v>
      </c>
    </row>
    <row r="9970" spans="1:1" x14ac:dyDescent="0.25">
      <c r="A9970" t="s">
        <v>2544</v>
      </c>
    </row>
    <row r="9971" spans="1:1" x14ac:dyDescent="0.25">
      <c r="A9971" t="s">
        <v>6247</v>
      </c>
    </row>
    <row r="9972" spans="1:1" x14ac:dyDescent="0.25">
      <c r="A9972" t="s">
        <v>2446</v>
      </c>
    </row>
    <row r="9973" spans="1:1" x14ac:dyDescent="0.25">
      <c r="A9973" t="s">
        <v>6248</v>
      </c>
    </row>
    <row r="9974" spans="1:1" x14ac:dyDescent="0.25">
      <c r="A9974" t="s">
        <v>2448</v>
      </c>
    </row>
    <row r="9975" spans="1:1" x14ac:dyDescent="0.25">
      <c r="A9975" t="s">
        <v>6249</v>
      </c>
    </row>
    <row r="9976" spans="1:1" x14ac:dyDescent="0.25">
      <c r="A9976" t="s">
        <v>6250</v>
      </c>
    </row>
    <row r="9977" spans="1:1" x14ac:dyDescent="0.25">
      <c r="A9977" t="s">
        <v>2453</v>
      </c>
    </row>
    <row r="9979" spans="1:1" x14ac:dyDescent="0.25">
      <c r="A9979" t="s">
        <v>2549</v>
      </c>
    </row>
    <row r="9981" spans="1:1" x14ac:dyDescent="0.25">
      <c r="A9981" t="s">
        <v>2544</v>
      </c>
    </row>
    <row r="9982" spans="1:1" x14ac:dyDescent="0.25">
      <c r="A9982" t="s">
        <v>6251</v>
      </c>
    </row>
    <row r="9983" spans="1:1" x14ac:dyDescent="0.25">
      <c r="A9983" t="s">
        <v>2446</v>
      </c>
    </row>
    <row r="9984" spans="1:1" x14ac:dyDescent="0.25">
      <c r="A9984" t="s">
        <v>6252</v>
      </c>
    </row>
    <row r="9985" spans="1:1" x14ac:dyDescent="0.25">
      <c r="A9985" t="s">
        <v>2448</v>
      </c>
    </row>
    <row r="9986" spans="1:1" x14ac:dyDescent="0.25">
      <c r="A9986" t="s">
        <v>6253</v>
      </c>
    </row>
    <row r="9987" spans="1:1" x14ac:dyDescent="0.25">
      <c r="A9987" t="s">
        <v>6254</v>
      </c>
    </row>
    <row r="9988" spans="1:1" x14ac:dyDescent="0.25">
      <c r="A9988" t="s">
        <v>2453</v>
      </c>
    </row>
    <row r="9990" spans="1:1" x14ac:dyDescent="0.25">
      <c r="A9990" t="s">
        <v>2549</v>
      </c>
    </row>
    <row r="9992" spans="1:1" x14ac:dyDescent="0.25">
      <c r="A9992" t="s">
        <v>2544</v>
      </c>
    </row>
    <row r="9993" spans="1:1" x14ac:dyDescent="0.25">
      <c r="A9993" t="s">
        <v>6255</v>
      </c>
    </row>
    <row r="9994" spans="1:1" x14ac:dyDescent="0.25">
      <c r="A9994" t="s">
        <v>2446</v>
      </c>
    </row>
    <row r="9995" spans="1:1" x14ac:dyDescent="0.25">
      <c r="A9995" t="s">
        <v>6256</v>
      </c>
    </row>
    <row r="9996" spans="1:1" x14ac:dyDescent="0.25">
      <c r="A9996" t="s">
        <v>2448</v>
      </c>
    </row>
    <row r="9997" spans="1:1" x14ac:dyDescent="0.25">
      <c r="A9997" t="s">
        <v>6257</v>
      </c>
    </row>
    <row r="9998" spans="1:1" x14ac:dyDescent="0.25">
      <c r="A9998" t="s">
        <v>6258</v>
      </c>
    </row>
    <row r="9999" spans="1:1" x14ac:dyDescent="0.25">
      <c r="A9999" t="s">
        <v>2453</v>
      </c>
    </row>
    <row r="10001" spans="1:1" x14ac:dyDescent="0.25">
      <c r="A10001" t="s">
        <v>2549</v>
      </c>
    </row>
    <row r="10003" spans="1:1" x14ac:dyDescent="0.25">
      <c r="A10003" t="s">
        <v>2544</v>
      </c>
    </row>
    <row r="10004" spans="1:1" x14ac:dyDescent="0.25">
      <c r="A10004" t="s">
        <v>6259</v>
      </c>
    </row>
    <row r="10005" spans="1:1" x14ac:dyDescent="0.25">
      <c r="A10005" t="s">
        <v>2446</v>
      </c>
    </row>
    <row r="10006" spans="1:1" x14ac:dyDescent="0.25">
      <c r="A10006" t="s">
        <v>6260</v>
      </c>
    </row>
    <row r="10007" spans="1:1" x14ac:dyDescent="0.25">
      <c r="A10007" t="s">
        <v>2448</v>
      </c>
    </row>
    <row r="10008" spans="1:1" x14ac:dyDescent="0.25">
      <c r="A10008" t="s">
        <v>6261</v>
      </c>
    </row>
    <row r="10009" spans="1:1" x14ac:dyDescent="0.25">
      <c r="A10009" t="s">
        <v>6262</v>
      </c>
    </row>
    <row r="10010" spans="1:1" x14ac:dyDescent="0.25">
      <c r="A10010" t="s">
        <v>6263</v>
      </c>
    </row>
    <row r="10011" spans="1:1" x14ac:dyDescent="0.25">
      <c r="A10011" t="s">
        <v>2453</v>
      </c>
    </row>
    <row r="10013" spans="1:1" x14ac:dyDescent="0.25">
      <c r="A10013" t="s">
        <v>2549</v>
      </c>
    </row>
    <row r="10015" spans="1:1" x14ac:dyDescent="0.25">
      <c r="A10015" t="s">
        <v>2544</v>
      </c>
    </row>
    <row r="10016" spans="1:1" x14ac:dyDescent="0.25">
      <c r="A10016" t="s">
        <v>6264</v>
      </c>
    </row>
    <row r="10017" spans="1:1" x14ac:dyDescent="0.25">
      <c r="A10017" t="s">
        <v>2446</v>
      </c>
    </row>
    <row r="10018" spans="1:1" x14ac:dyDescent="0.25">
      <c r="A10018" t="s">
        <v>6265</v>
      </c>
    </row>
    <row r="10019" spans="1:1" x14ac:dyDescent="0.25">
      <c r="A10019" t="s">
        <v>2448</v>
      </c>
    </row>
    <row r="10020" spans="1:1" x14ac:dyDescent="0.25">
      <c r="A10020" t="s">
        <v>2724</v>
      </c>
    </row>
    <row r="10021" spans="1:1" x14ac:dyDescent="0.25">
      <c r="A10021" t="s">
        <v>6266</v>
      </c>
    </row>
    <row r="10022" spans="1:1" x14ac:dyDescent="0.25">
      <c r="A10022" t="s">
        <v>6267</v>
      </c>
    </row>
    <row r="10023" spans="1:1" x14ac:dyDescent="0.25">
      <c r="A10023" t="s">
        <v>6268</v>
      </c>
    </row>
    <row r="10024" spans="1:1" x14ac:dyDescent="0.25">
      <c r="A10024" t="s">
        <v>2453</v>
      </c>
    </row>
    <row r="10026" spans="1:1" x14ac:dyDescent="0.25">
      <c r="A10026" t="s">
        <v>2549</v>
      </c>
    </row>
    <row r="10028" spans="1:1" x14ac:dyDescent="0.25">
      <c r="A10028" t="s">
        <v>2544</v>
      </c>
    </row>
    <row r="10029" spans="1:1" x14ac:dyDescent="0.25">
      <c r="A10029" t="s">
        <v>6269</v>
      </c>
    </row>
    <row r="10030" spans="1:1" x14ac:dyDescent="0.25">
      <c r="A10030" t="s">
        <v>2446</v>
      </c>
    </row>
    <row r="10031" spans="1:1" x14ac:dyDescent="0.25">
      <c r="A10031" t="s">
        <v>6270</v>
      </c>
    </row>
    <row r="10032" spans="1:1" x14ac:dyDescent="0.25">
      <c r="A10032" t="s">
        <v>2448</v>
      </c>
    </row>
    <row r="10033" spans="1:1" x14ac:dyDescent="0.25">
      <c r="A10033" t="s">
        <v>6261</v>
      </c>
    </row>
    <row r="10034" spans="1:1" x14ac:dyDescent="0.25">
      <c r="A10034" t="s">
        <v>6262</v>
      </c>
    </row>
    <row r="10035" spans="1:1" x14ac:dyDescent="0.25">
      <c r="A10035" t="s">
        <v>6271</v>
      </c>
    </row>
    <row r="10036" spans="1:1" x14ac:dyDescent="0.25">
      <c r="A10036" t="s">
        <v>2453</v>
      </c>
    </row>
    <row r="10038" spans="1:1" x14ac:dyDescent="0.25">
      <c r="A10038" t="s">
        <v>2549</v>
      </c>
    </row>
    <row r="10040" spans="1:1" x14ac:dyDescent="0.25">
      <c r="A10040" t="s">
        <v>2544</v>
      </c>
    </row>
    <row r="10041" spans="1:1" x14ac:dyDescent="0.25">
      <c r="A10041" t="s">
        <v>6272</v>
      </c>
    </row>
    <row r="10042" spans="1:1" x14ac:dyDescent="0.25">
      <c r="A10042" t="s">
        <v>2446</v>
      </c>
    </row>
    <row r="10043" spans="1:1" x14ac:dyDescent="0.25">
      <c r="A10043" t="s">
        <v>6273</v>
      </c>
    </row>
    <row r="10044" spans="1:1" x14ac:dyDescent="0.25">
      <c r="A10044" t="s">
        <v>2448</v>
      </c>
    </row>
    <row r="10045" spans="1:1" x14ac:dyDescent="0.25">
      <c r="A10045" t="s">
        <v>6274</v>
      </c>
    </row>
    <row r="10046" spans="1:1" x14ac:dyDescent="0.25">
      <c r="A10046" t="s">
        <v>6275</v>
      </c>
    </row>
    <row r="10047" spans="1:1" x14ac:dyDescent="0.25">
      <c r="A10047" t="s">
        <v>6276</v>
      </c>
    </row>
    <row r="10048" spans="1:1" x14ac:dyDescent="0.25">
      <c r="A10048" t="s">
        <v>2453</v>
      </c>
    </row>
    <row r="10050" spans="1:1" x14ac:dyDescent="0.25">
      <c r="A10050" t="s">
        <v>2549</v>
      </c>
    </row>
    <row r="10052" spans="1:1" x14ac:dyDescent="0.25">
      <c r="A10052" t="s">
        <v>2544</v>
      </c>
    </row>
    <row r="10053" spans="1:1" x14ac:dyDescent="0.25">
      <c r="A10053" t="s">
        <v>6277</v>
      </c>
    </row>
    <row r="10054" spans="1:1" x14ac:dyDescent="0.25">
      <c r="A10054" t="s">
        <v>2446</v>
      </c>
    </row>
    <row r="10055" spans="1:1" x14ac:dyDescent="0.25">
      <c r="A10055" t="s">
        <v>6278</v>
      </c>
    </row>
    <row r="10056" spans="1:1" x14ac:dyDescent="0.25">
      <c r="A10056" t="s">
        <v>2448</v>
      </c>
    </row>
    <row r="10057" spans="1:1" x14ac:dyDescent="0.25">
      <c r="A10057" t="s">
        <v>6279</v>
      </c>
    </row>
    <row r="10058" spans="1:1" x14ac:dyDescent="0.25">
      <c r="A10058" t="s">
        <v>6280</v>
      </c>
    </row>
    <row r="10059" spans="1:1" x14ac:dyDescent="0.25">
      <c r="A10059" t="s">
        <v>6281</v>
      </c>
    </row>
    <row r="10060" spans="1:1" x14ac:dyDescent="0.25">
      <c r="A10060" t="s">
        <v>2453</v>
      </c>
    </row>
    <row r="10062" spans="1:1" x14ac:dyDescent="0.25">
      <c r="A10062" t="s">
        <v>2549</v>
      </c>
    </row>
    <row r="10064" spans="1:1" x14ac:dyDescent="0.25">
      <c r="A10064" t="s">
        <v>2544</v>
      </c>
    </row>
    <row r="10065" spans="1:1" x14ac:dyDescent="0.25">
      <c r="A10065" t="s">
        <v>6282</v>
      </c>
    </row>
    <row r="10066" spans="1:1" x14ac:dyDescent="0.25">
      <c r="A10066" t="s">
        <v>2446</v>
      </c>
    </row>
    <row r="10067" spans="1:1" x14ac:dyDescent="0.25">
      <c r="A10067" t="s">
        <v>6283</v>
      </c>
    </row>
    <row r="10068" spans="1:1" x14ac:dyDescent="0.25">
      <c r="A10068" t="s">
        <v>2448</v>
      </c>
    </row>
    <row r="10069" spans="1:1" x14ac:dyDescent="0.25">
      <c r="A10069" t="s">
        <v>6284</v>
      </c>
    </row>
    <row r="10070" spans="1:1" x14ac:dyDescent="0.25">
      <c r="A10070" t="s">
        <v>6285</v>
      </c>
    </row>
    <row r="10071" spans="1:1" x14ac:dyDescent="0.25">
      <c r="A10071" t="s">
        <v>6286</v>
      </c>
    </row>
    <row r="10072" spans="1:1" x14ac:dyDescent="0.25">
      <c r="A10072" t="s">
        <v>2453</v>
      </c>
    </row>
    <row r="10074" spans="1:1" x14ac:dyDescent="0.25">
      <c r="A10074" t="s">
        <v>2549</v>
      </c>
    </row>
    <row r="10076" spans="1:1" x14ac:dyDescent="0.25">
      <c r="A10076" t="s">
        <v>2544</v>
      </c>
    </row>
    <row r="10077" spans="1:1" x14ac:dyDescent="0.25">
      <c r="A10077" t="s">
        <v>6287</v>
      </c>
    </row>
    <row r="10078" spans="1:1" x14ac:dyDescent="0.25">
      <c r="A10078" t="s">
        <v>2446</v>
      </c>
    </row>
    <row r="10079" spans="1:1" x14ac:dyDescent="0.25">
      <c r="A10079" t="s">
        <v>6288</v>
      </c>
    </row>
    <row r="10080" spans="1:1" x14ac:dyDescent="0.25">
      <c r="A10080" t="s">
        <v>2448</v>
      </c>
    </row>
    <row r="10081" spans="1:1" x14ac:dyDescent="0.25">
      <c r="A10081" t="s">
        <v>6289</v>
      </c>
    </row>
    <row r="10082" spans="1:1" x14ac:dyDescent="0.25">
      <c r="A10082" t="s">
        <v>6290</v>
      </c>
    </row>
    <row r="10083" spans="1:1" x14ac:dyDescent="0.25">
      <c r="A10083" t="s">
        <v>6291</v>
      </c>
    </row>
    <row r="10084" spans="1:1" x14ac:dyDescent="0.25">
      <c r="A10084" t="s">
        <v>2453</v>
      </c>
    </row>
    <row r="10086" spans="1:1" x14ac:dyDescent="0.25">
      <c r="A10086" t="s">
        <v>2549</v>
      </c>
    </row>
    <row r="10088" spans="1:1" x14ac:dyDescent="0.25">
      <c r="A10088" t="s">
        <v>2544</v>
      </c>
    </row>
    <row r="10089" spans="1:1" x14ac:dyDescent="0.25">
      <c r="A10089" t="s">
        <v>6292</v>
      </c>
    </row>
    <row r="10090" spans="1:1" x14ac:dyDescent="0.25">
      <c r="A10090" t="s">
        <v>2446</v>
      </c>
    </row>
    <row r="10091" spans="1:1" x14ac:dyDescent="0.25">
      <c r="A10091" t="s">
        <v>6293</v>
      </c>
    </row>
    <row r="10092" spans="1:1" x14ac:dyDescent="0.25">
      <c r="A10092" t="s">
        <v>2448</v>
      </c>
    </row>
    <row r="10093" spans="1:1" x14ac:dyDescent="0.25">
      <c r="A10093" t="s">
        <v>6294</v>
      </c>
    </row>
    <row r="10094" spans="1:1" x14ac:dyDescent="0.25">
      <c r="A10094" t="s">
        <v>6295</v>
      </c>
    </row>
    <row r="10095" spans="1:1" x14ac:dyDescent="0.25">
      <c r="A10095" t="s">
        <v>6296</v>
      </c>
    </row>
    <row r="10096" spans="1:1" x14ac:dyDescent="0.25">
      <c r="A10096" t="s">
        <v>2453</v>
      </c>
    </row>
    <row r="10098" spans="1:1" x14ac:dyDescent="0.25">
      <c r="A10098" t="s">
        <v>2549</v>
      </c>
    </row>
    <row r="10100" spans="1:1" x14ac:dyDescent="0.25">
      <c r="A10100" t="s">
        <v>2544</v>
      </c>
    </row>
    <row r="10101" spans="1:1" x14ac:dyDescent="0.25">
      <c r="A10101" t="s">
        <v>6297</v>
      </c>
    </row>
    <row r="10102" spans="1:1" x14ac:dyDescent="0.25">
      <c r="A10102" t="s">
        <v>2446</v>
      </c>
    </row>
    <row r="10103" spans="1:1" x14ac:dyDescent="0.25">
      <c r="A10103" t="s">
        <v>6298</v>
      </c>
    </row>
    <row r="10104" spans="1:1" x14ac:dyDescent="0.25">
      <c r="A10104" t="s">
        <v>2448</v>
      </c>
    </row>
    <row r="10105" spans="1:1" x14ac:dyDescent="0.25">
      <c r="A10105" t="s">
        <v>6299</v>
      </c>
    </row>
    <row r="10106" spans="1:1" x14ac:dyDescent="0.25">
      <c r="A10106" t="s">
        <v>6300</v>
      </c>
    </row>
    <row r="10107" spans="1:1" x14ac:dyDescent="0.25">
      <c r="A10107" t="s">
        <v>6301</v>
      </c>
    </row>
    <row r="10108" spans="1:1" x14ac:dyDescent="0.25">
      <c r="A10108" t="s">
        <v>6302</v>
      </c>
    </row>
    <row r="10109" spans="1:1" x14ac:dyDescent="0.25">
      <c r="A10109" t="s">
        <v>6303</v>
      </c>
    </row>
    <row r="10110" spans="1:1" x14ac:dyDescent="0.25">
      <c r="A10110" t="s">
        <v>2453</v>
      </c>
    </row>
    <row r="10112" spans="1:1" x14ac:dyDescent="0.25">
      <c r="A10112" t="s">
        <v>2549</v>
      </c>
    </row>
    <row r="10114" spans="1:1" x14ac:dyDescent="0.25">
      <c r="A10114" t="s">
        <v>2544</v>
      </c>
    </row>
    <row r="10115" spans="1:1" x14ac:dyDescent="0.25">
      <c r="A10115" t="s">
        <v>6304</v>
      </c>
    </row>
    <row r="10116" spans="1:1" x14ac:dyDescent="0.25">
      <c r="A10116" t="s">
        <v>2446</v>
      </c>
    </row>
    <row r="10117" spans="1:1" x14ac:dyDescent="0.25">
      <c r="A10117" t="s">
        <v>6305</v>
      </c>
    </row>
    <row r="10118" spans="1:1" x14ac:dyDescent="0.25">
      <c r="A10118" t="s">
        <v>2448</v>
      </c>
    </row>
    <row r="10119" spans="1:1" x14ac:dyDescent="0.25">
      <c r="A10119" t="s">
        <v>6306</v>
      </c>
    </row>
    <row r="10120" spans="1:1" x14ac:dyDescent="0.25">
      <c r="A10120" t="s">
        <v>6307</v>
      </c>
    </row>
    <row r="10121" spans="1:1" x14ac:dyDescent="0.25">
      <c r="A10121" t="s">
        <v>6308</v>
      </c>
    </row>
    <row r="10122" spans="1:1" x14ac:dyDescent="0.25">
      <c r="A10122" t="s">
        <v>6309</v>
      </c>
    </row>
    <row r="10123" spans="1:1" x14ac:dyDescent="0.25">
      <c r="A10123" t="s">
        <v>6310</v>
      </c>
    </row>
    <row r="10124" spans="1:1" x14ac:dyDescent="0.25">
      <c r="A10124" t="s">
        <v>6311</v>
      </c>
    </row>
    <row r="10125" spans="1:1" x14ac:dyDescent="0.25">
      <c r="A10125" t="s">
        <v>2453</v>
      </c>
    </row>
    <row r="10127" spans="1:1" x14ac:dyDescent="0.25">
      <c r="A10127" t="s">
        <v>2549</v>
      </c>
    </row>
    <row r="10129" spans="1:1" x14ac:dyDescent="0.25">
      <c r="A10129" t="s">
        <v>2544</v>
      </c>
    </row>
    <row r="10130" spans="1:1" x14ac:dyDescent="0.25">
      <c r="A10130" t="s">
        <v>6312</v>
      </c>
    </row>
    <row r="10131" spans="1:1" x14ac:dyDescent="0.25">
      <c r="A10131" t="s">
        <v>2446</v>
      </c>
    </row>
    <row r="10132" spans="1:1" x14ac:dyDescent="0.25">
      <c r="A10132" t="s">
        <v>6313</v>
      </c>
    </row>
    <row r="10133" spans="1:1" x14ac:dyDescent="0.25">
      <c r="A10133" t="s">
        <v>2448</v>
      </c>
    </row>
    <row r="10134" spans="1:1" x14ac:dyDescent="0.25">
      <c r="A10134" t="s">
        <v>6314</v>
      </c>
    </row>
    <row r="10135" spans="1:1" x14ac:dyDescent="0.25">
      <c r="A10135" t="s">
        <v>6315</v>
      </c>
    </row>
    <row r="10136" spans="1:1" x14ac:dyDescent="0.25">
      <c r="A10136" t="s">
        <v>1940</v>
      </c>
    </row>
    <row r="10137" spans="1:1" x14ac:dyDescent="0.25">
      <c r="A10137" t="s">
        <v>6316</v>
      </c>
    </row>
    <row r="10138" spans="1:1" x14ac:dyDescent="0.25">
      <c r="A10138" t="s">
        <v>6317</v>
      </c>
    </row>
    <row r="10139" spans="1:1" x14ac:dyDescent="0.25">
      <c r="A10139" t="s">
        <v>6318</v>
      </c>
    </row>
    <row r="10140" spans="1:1" x14ac:dyDescent="0.25">
      <c r="A10140" t="s">
        <v>1940</v>
      </c>
    </row>
    <row r="10141" spans="1:1" x14ac:dyDescent="0.25">
      <c r="A10141" t="s">
        <v>6319</v>
      </c>
    </row>
    <row r="10142" spans="1:1" x14ac:dyDescent="0.25">
      <c r="A10142" t="s">
        <v>6320</v>
      </c>
    </row>
    <row r="10143" spans="1:1" x14ac:dyDescent="0.25">
      <c r="A10143" t="s">
        <v>6321</v>
      </c>
    </row>
    <row r="10144" spans="1:1" x14ac:dyDescent="0.25">
      <c r="A10144" t="s">
        <v>2453</v>
      </c>
    </row>
    <row r="10146" spans="1:1" x14ac:dyDescent="0.25">
      <c r="A10146" t="s">
        <v>2549</v>
      </c>
    </row>
    <row r="10148" spans="1:1" x14ac:dyDescent="0.25">
      <c r="A10148" t="s">
        <v>2544</v>
      </c>
    </row>
    <row r="10149" spans="1:1" x14ac:dyDescent="0.25">
      <c r="A10149" t="s">
        <v>6322</v>
      </c>
    </row>
    <row r="10150" spans="1:1" x14ac:dyDescent="0.25">
      <c r="A10150" t="s">
        <v>2446</v>
      </c>
    </row>
    <row r="10151" spans="1:1" x14ac:dyDescent="0.25">
      <c r="A10151" t="s">
        <v>6323</v>
      </c>
    </row>
    <row r="10152" spans="1:1" x14ac:dyDescent="0.25">
      <c r="A10152" t="s">
        <v>2448</v>
      </c>
    </row>
    <row r="10153" spans="1:1" x14ac:dyDescent="0.25">
      <c r="A10153" t="s">
        <v>6324</v>
      </c>
    </row>
    <row r="10154" spans="1:1" x14ac:dyDescent="0.25">
      <c r="A10154" t="s">
        <v>6325</v>
      </c>
    </row>
    <row r="10155" spans="1:1" x14ac:dyDescent="0.25">
      <c r="A10155" t="s">
        <v>6326</v>
      </c>
    </row>
    <row r="10156" spans="1:1" x14ac:dyDescent="0.25">
      <c r="A10156" t="s">
        <v>2453</v>
      </c>
    </row>
    <row r="10158" spans="1:1" x14ac:dyDescent="0.25">
      <c r="A10158" t="s">
        <v>2549</v>
      </c>
    </row>
    <row r="10160" spans="1:1" x14ac:dyDescent="0.25">
      <c r="A10160" t="s">
        <v>2544</v>
      </c>
    </row>
    <row r="10161" spans="1:1" x14ac:dyDescent="0.25">
      <c r="A10161" t="s">
        <v>6327</v>
      </c>
    </row>
    <row r="10162" spans="1:1" x14ac:dyDescent="0.25">
      <c r="A10162" t="s">
        <v>2446</v>
      </c>
    </row>
    <row r="10163" spans="1:1" x14ac:dyDescent="0.25">
      <c r="A10163" t="s">
        <v>6328</v>
      </c>
    </row>
    <row r="10164" spans="1:1" x14ac:dyDescent="0.25">
      <c r="A10164" t="s">
        <v>2448</v>
      </c>
    </row>
    <row r="10165" spans="1:1" x14ac:dyDescent="0.25">
      <c r="A10165" t="s">
        <v>6329</v>
      </c>
    </row>
    <row r="10166" spans="1:1" x14ac:dyDescent="0.25">
      <c r="A10166" t="s">
        <v>6330</v>
      </c>
    </row>
    <row r="10167" spans="1:1" x14ac:dyDescent="0.25">
      <c r="A10167" t="s">
        <v>6331</v>
      </c>
    </row>
    <row r="10168" spans="1:1" x14ac:dyDescent="0.25">
      <c r="A10168" t="s">
        <v>6332</v>
      </c>
    </row>
    <row r="10169" spans="1:1" x14ac:dyDescent="0.25">
      <c r="A10169" t="s">
        <v>6333</v>
      </c>
    </row>
    <row r="10170" spans="1:1" x14ac:dyDescent="0.25">
      <c r="A10170" t="s">
        <v>2659</v>
      </c>
    </row>
    <row r="10172" spans="1:1" x14ac:dyDescent="0.25">
      <c r="A10172" t="s">
        <v>6334</v>
      </c>
    </row>
    <row r="10173" spans="1:1" x14ac:dyDescent="0.25">
      <c r="A10173" t="s">
        <v>2453</v>
      </c>
    </row>
    <row r="10175" spans="1:1" x14ac:dyDescent="0.25">
      <c r="A10175" t="s">
        <v>2549</v>
      </c>
    </row>
    <row r="10177" spans="1:1" x14ac:dyDescent="0.25">
      <c r="A10177" t="s">
        <v>2544</v>
      </c>
    </row>
    <row r="10178" spans="1:1" x14ac:dyDescent="0.25">
      <c r="A10178" t="s">
        <v>6335</v>
      </c>
    </row>
    <row r="10179" spans="1:1" x14ac:dyDescent="0.25">
      <c r="A10179" t="s">
        <v>2446</v>
      </c>
    </row>
    <row r="10180" spans="1:1" x14ac:dyDescent="0.25">
      <c r="A10180" t="s">
        <v>6336</v>
      </c>
    </row>
    <row r="10181" spans="1:1" x14ac:dyDescent="0.25">
      <c r="A10181" t="s">
        <v>2448</v>
      </c>
    </row>
    <row r="10182" spans="1:1" x14ac:dyDescent="0.25">
      <c r="A10182" t="s">
        <v>6337</v>
      </c>
    </row>
    <row r="10183" spans="1:1" x14ac:dyDescent="0.25">
      <c r="A10183" t="s">
        <v>6338</v>
      </c>
    </row>
    <row r="10184" spans="1:1" x14ac:dyDescent="0.25">
      <c r="A10184" t="s">
        <v>6339</v>
      </c>
    </row>
    <row r="10185" spans="1:1" x14ac:dyDescent="0.25">
      <c r="A10185" t="s">
        <v>6340</v>
      </c>
    </row>
    <row r="10186" spans="1:1" x14ac:dyDescent="0.25">
      <c r="A10186" t="s">
        <v>6341</v>
      </c>
    </row>
    <row r="10187" spans="1:1" x14ac:dyDescent="0.25">
      <c r="A10187" t="s">
        <v>6342</v>
      </c>
    </row>
    <row r="10188" spans="1:1" x14ac:dyDescent="0.25">
      <c r="A10188" t="s">
        <v>6343</v>
      </c>
    </row>
    <row r="10189" spans="1:1" x14ac:dyDescent="0.25">
      <c r="A10189" t="s">
        <v>2453</v>
      </c>
    </row>
    <row r="10191" spans="1:1" x14ac:dyDescent="0.25">
      <c r="A10191" t="s">
        <v>2549</v>
      </c>
    </row>
    <row r="10193" spans="1:1" x14ac:dyDescent="0.25">
      <c r="A10193" t="s">
        <v>2544</v>
      </c>
    </row>
    <row r="10194" spans="1:1" x14ac:dyDescent="0.25">
      <c r="A10194" t="s">
        <v>6344</v>
      </c>
    </row>
    <row r="10195" spans="1:1" x14ac:dyDescent="0.25">
      <c r="A10195" t="s">
        <v>2446</v>
      </c>
    </row>
    <row r="10196" spans="1:1" x14ac:dyDescent="0.25">
      <c r="A10196" t="s">
        <v>6345</v>
      </c>
    </row>
    <row r="10197" spans="1:1" x14ac:dyDescent="0.25">
      <c r="A10197" t="s">
        <v>2448</v>
      </c>
    </row>
    <row r="10198" spans="1:1" x14ac:dyDescent="0.25">
      <c r="A10198" t="s">
        <v>6346</v>
      </c>
    </row>
    <row r="10199" spans="1:1" x14ac:dyDescent="0.25">
      <c r="A10199" t="s">
        <v>6347</v>
      </c>
    </row>
    <row r="10200" spans="1:1" x14ac:dyDescent="0.25">
      <c r="A10200" t="s">
        <v>2453</v>
      </c>
    </row>
    <row r="10202" spans="1:1" x14ac:dyDescent="0.25">
      <c r="A10202" t="s">
        <v>2549</v>
      </c>
    </row>
    <row r="10203" spans="1:1" x14ac:dyDescent="0.25">
      <c r="A10203" t="s">
        <v>2749</v>
      </c>
    </row>
    <row r="10204" spans="1:1" x14ac:dyDescent="0.25">
      <c r="A10204" t="s">
        <v>6348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3"/>
  <sheetViews>
    <sheetView workbookViewId="0">
      <selection sqref="A1:XFD1048576"/>
    </sheetView>
  </sheetViews>
  <sheetFormatPr defaultRowHeight="15" x14ac:dyDescent="0.25"/>
  <cols>
    <col min="1" max="1" width="30" customWidth="1"/>
    <col min="2" max="2" width="25" customWidth="1"/>
    <col min="3" max="3" width="45" customWidth="1"/>
    <col min="4" max="4" width="35" customWidth="1"/>
    <col min="5" max="5" width="45" customWidth="1"/>
  </cols>
  <sheetData>
    <row r="1" spans="1:5" ht="15.75" x14ac:dyDescent="0.25">
      <c r="A1" s="243" t="s">
        <v>424</v>
      </c>
      <c r="B1" s="236"/>
      <c r="C1" s="236"/>
      <c r="D1" s="236"/>
      <c r="E1" s="237"/>
    </row>
    <row r="2" spans="1:5" x14ac:dyDescent="0.25">
      <c r="A2" s="235" t="s">
        <v>425</v>
      </c>
      <c r="B2" s="236"/>
      <c r="C2" s="236"/>
      <c r="D2" s="236"/>
      <c r="E2" s="237"/>
    </row>
    <row r="3" spans="1:5" x14ac:dyDescent="0.25">
      <c r="A3" s="233" t="s">
        <v>426</v>
      </c>
      <c r="B3" s="208" t="s">
        <v>427</v>
      </c>
      <c r="C3" s="209" t="s">
        <v>428</v>
      </c>
      <c r="D3" s="209" t="s">
        <v>429</v>
      </c>
      <c r="E3" s="209"/>
    </row>
    <row r="4" spans="1:5" ht="24" x14ac:dyDescent="0.25">
      <c r="A4" s="233" t="s">
        <v>430</v>
      </c>
      <c r="B4" s="210" t="s">
        <v>431</v>
      </c>
      <c r="C4" s="209" t="s">
        <v>432</v>
      </c>
      <c r="D4" s="211" t="s">
        <v>433</v>
      </c>
    </row>
    <row r="5" spans="1:5" x14ac:dyDescent="0.25">
      <c r="A5" s="233" t="s">
        <v>434</v>
      </c>
      <c r="B5" s="212" t="s">
        <v>435</v>
      </c>
      <c r="C5" s="209" t="s">
        <v>436</v>
      </c>
      <c r="D5" s="211" t="s">
        <v>437</v>
      </c>
    </row>
    <row r="6" spans="1:5" ht="24" x14ac:dyDescent="0.25">
      <c r="A6" s="233" t="s">
        <v>438</v>
      </c>
      <c r="B6" s="213" t="s">
        <v>439</v>
      </c>
      <c r="C6" s="209" t="s">
        <v>440</v>
      </c>
      <c r="D6" s="211" t="s">
        <v>441</v>
      </c>
    </row>
    <row r="7" spans="1:5" x14ac:dyDescent="0.25">
      <c r="A7" s="233" t="s">
        <v>442</v>
      </c>
      <c r="B7" s="214" t="s">
        <v>443</v>
      </c>
      <c r="C7" s="209" t="s">
        <v>444</v>
      </c>
      <c r="D7" s="211" t="s">
        <v>445</v>
      </c>
    </row>
    <row r="8" spans="1:5" x14ac:dyDescent="0.25">
      <c r="A8" s="233" t="s">
        <v>446</v>
      </c>
      <c r="B8" s="215" t="s">
        <v>447</v>
      </c>
      <c r="C8" s="209" t="s">
        <v>448</v>
      </c>
      <c r="D8" s="211" t="s">
        <v>449</v>
      </c>
    </row>
    <row r="9" spans="1:5" ht="24" x14ac:dyDescent="0.25">
      <c r="A9" s="233" t="s">
        <v>450</v>
      </c>
      <c r="B9" s="216" t="s">
        <v>451</v>
      </c>
      <c r="C9" s="209" t="s">
        <v>452</v>
      </c>
      <c r="D9" s="211" t="s">
        <v>453</v>
      </c>
    </row>
    <row r="10" spans="1:5" ht="24" x14ac:dyDescent="0.25">
      <c r="A10" s="233" t="s">
        <v>454</v>
      </c>
      <c r="B10" s="217" t="s">
        <v>455</v>
      </c>
      <c r="C10" s="209" t="s">
        <v>456</v>
      </c>
      <c r="D10" s="211" t="s">
        <v>457</v>
      </c>
    </row>
    <row r="11" spans="1:5" ht="24" x14ac:dyDescent="0.25">
      <c r="A11" s="233" t="s">
        <v>458</v>
      </c>
      <c r="B11" s="218" t="s">
        <v>459</v>
      </c>
      <c r="C11" s="209" t="s">
        <v>460</v>
      </c>
      <c r="D11" s="211" t="s">
        <v>461</v>
      </c>
    </row>
    <row r="12" spans="1:5" ht="24" x14ac:dyDescent="0.25">
      <c r="A12" s="233" t="s">
        <v>462</v>
      </c>
      <c r="B12" s="219" t="s">
        <v>463</v>
      </c>
      <c r="C12" s="209" t="s">
        <v>464</v>
      </c>
      <c r="D12" s="211" t="s">
        <v>465</v>
      </c>
    </row>
    <row r="13" spans="1:5" ht="24" x14ac:dyDescent="0.25">
      <c r="A13" s="233" t="s">
        <v>466</v>
      </c>
      <c r="B13" s="220" t="s">
        <v>467</v>
      </c>
      <c r="C13" s="209" t="s">
        <v>468</v>
      </c>
      <c r="D13" s="211" t="s">
        <v>469</v>
      </c>
    </row>
    <row r="14" spans="1:5" ht="24" x14ac:dyDescent="0.25">
      <c r="A14" s="233" t="s">
        <v>470</v>
      </c>
      <c r="B14" s="221" t="s">
        <v>471</v>
      </c>
      <c r="C14" s="209" t="s">
        <v>472</v>
      </c>
      <c r="D14" s="211" t="s">
        <v>473</v>
      </c>
    </row>
    <row r="15" spans="1:5" ht="24" x14ac:dyDescent="0.25">
      <c r="A15" s="233" t="s">
        <v>474</v>
      </c>
      <c r="B15" s="219" t="s">
        <v>463</v>
      </c>
      <c r="C15" s="209" t="s">
        <v>475</v>
      </c>
      <c r="D15" s="211" t="s">
        <v>476</v>
      </c>
    </row>
    <row r="16" spans="1:5" x14ac:dyDescent="0.25">
      <c r="A16" s="233" t="s">
        <v>477</v>
      </c>
      <c r="B16" s="222" t="s">
        <v>478</v>
      </c>
      <c r="C16" s="209" t="s">
        <v>479</v>
      </c>
      <c r="D16" s="211" t="s">
        <v>480</v>
      </c>
    </row>
    <row r="17" spans="1:5" ht="24" x14ac:dyDescent="0.25">
      <c r="A17" s="233" t="s">
        <v>481</v>
      </c>
      <c r="B17" s="223" t="s">
        <v>482</v>
      </c>
      <c r="C17" s="209" t="s">
        <v>483</v>
      </c>
      <c r="D17" s="211" t="s">
        <v>484</v>
      </c>
    </row>
    <row r="18" spans="1:5" ht="24" x14ac:dyDescent="0.25">
      <c r="A18" s="233" t="s">
        <v>485</v>
      </c>
      <c r="B18" s="224" t="s">
        <v>486</v>
      </c>
      <c r="C18" s="209" t="s">
        <v>487</v>
      </c>
      <c r="D18" s="211" t="s">
        <v>484</v>
      </c>
    </row>
    <row r="19" spans="1:5" x14ac:dyDescent="0.25">
      <c r="A19" s="233" t="s">
        <v>488</v>
      </c>
      <c r="B19" s="225" t="s">
        <v>489</v>
      </c>
      <c r="C19" s="209" t="s">
        <v>490</v>
      </c>
      <c r="D19" s="211" t="s">
        <v>491</v>
      </c>
    </row>
    <row r="20" spans="1:5" x14ac:dyDescent="0.25">
      <c r="A20" s="233" t="s">
        <v>492</v>
      </c>
      <c r="B20" s="226" t="s">
        <v>493</v>
      </c>
      <c r="C20" s="209" t="s">
        <v>494</v>
      </c>
      <c r="D20" s="211" t="s">
        <v>495</v>
      </c>
    </row>
    <row r="21" spans="1:5" x14ac:dyDescent="0.25">
      <c r="A21" s="233" t="s">
        <v>496</v>
      </c>
      <c r="B21" s="227" t="s">
        <v>497</v>
      </c>
      <c r="C21" s="209" t="s">
        <v>498</v>
      </c>
      <c r="D21" s="211" t="s">
        <v>499</v>
      </c>
    </row>
    <row r="22" spans="1:5" ht="24" x14ac:dyDescent="0.25">
      <c r="A22" s="233" t="s">
        <v>500</v>
      </c>
      <c r="B22" s="219" t="s">
        <v>463</v>
      </c>
      <c r="C22" s="209" t="s">
        <v>501</v>
      </c>
      <c r="D22" s="211" t="s">
        <v>502</v>
      </c>
    </row>
    <row r="23" spans="1:5" ht="24" x14ac:dyDescent="0.25">
      <c r="A23" s="233" t="s">
        <v>503</v>
      </c>
      <c r="B23" s="221" t="s">
        <v>471</v>
      </c>
      <c r="C23" s="209" t="s">
        <v>504</v>
      </c>
      <c r="D23" s="211" t="s">
        <v>505</v>
      </c>
    </row>
    <row r="24" spans="1:5" x14ac:dyDescent="0.25">
      <c r="A24" s="233" t="s">
        <v>506</v>
      </c>
      <c r="B24" s="228" t="s">
        <v>507</v>
      </c>
      <c r="C24" s="209" t="s">
        <v>508</v>
      </c>
      <c r="D24" s="211" t="s">
        <v>509</v>
      </c>
    </row>
    <row r="25" spans="1:5" x14ac:dyDescent="0.25">
      <c r="A25" s="233" t="s">
        <v>510</v>
      </c>
      <c r="B25" s="229" t="s">
        <v>511</v>
      </c>
      <c r="C25" s="209" t="s">
        <v>512</v>
      </c>
      <c r="D25" s="211" t="s">
        <v>513</v>
      </c>
    </row>
    <row r="26" spans="1:5" x14ac:dyDescent="0.25">
      <c r="A26" s="233" t="s">
        <v>514</v>
      </c>
      <c r="B26" s="228" t="s">
        <v>507</v>
      </c>
      <c r="C26" s="209" t="s">
        <v>515</v>
      </c>
      <c r="D26" s="211" t="s">
        <v>516</v>
      </c>
    </row>
    <row r="27" spans="1:5" x14ac:dyDescent="0.25">
      <c r="A27" s="233" t="s">
        <v>517</v>
      </c>
      <c r="B27" s="230" t="s">
        <v>518</v>
      </c>
      <c r="C27" s="209" t="s">
        <v>519</v>
      </c>
      <c r="D27" s="211" t="s">
        <v>520</v>
      </c>
    </row>
    <row r="28" spans="1:5" x14ac:dyDescent="0.25">
      <c r="A28" s="233" t="s">
        <v>521</v>
      </c>
      <c r="B28" s="231" t="s">
        <v>522</v>
      </c>
      <c r="C28" s="209" t="s">
        <v>523</v>
      </c>
      <c r="D28" s="211" t="s">
        <v>524</v>
      </c>
    </row>
    <row r="29" spans="1:5" x14ac:dyDescent="0.25">
      <c r="A29" s="235" t="s">
        <v>525</v>
      </c>
      <c r="B29" s="236"/>
      <c r="C29" s="236"/>
      <c r="D29" s="236"/>
      <c r="E29" s="237"/>
    </row>
    <row r="30" spans="1:5" x14ac:dyDescent="0.25">
      <c r="A30" s="233" t="s">
        <v>426</v>
      </c>
      <c r="B30" s="208" t="s">
        <v>526</v>
      </c>
      <c r="C30" s="209" t="s">
        <v>527</v>
      </c>
      <c r="D30" s="209"/>
      <c r="E30" s="209"/>
    </row>
    <row r="31" spans="1:5" ht="48" x14ac:dyDescent="0.25">
      <c r="A31" s="233" t="s">
        <v>528</v>
      </c>
      <c r="B31" s="209" t="s">
        <v>529</v>
      </c>
      <c r="C31" s="209" t="s">
        <v>530</v>
      </c>
      <c r="D31" s="209"/>
      <c r="E31" s="209"/>
    </row>
    <row r="32" spans="1:5" x14ac:dyDescent="0.25">
      <c r="A32" s="233" t="s">
        <v>531</v>
      </c>
      <c r="B32" s="209" t="s">
        <v>532</v>
      </c>
      <c r="C32" s="209" t="s">
        <v>533</v>
      </c>
      <c r="D32" s="209"/>
      <c r="E32" s="209"/>
    </row>
    <row r="33" spans="1:5" x14ac:dyDescent="0.25">
      <c r="A33" s="233" t="s">
        <v>534</v>
      </c>
      <c r="B33" s="209" t="s">
        <v>535</v>
      </c>
      <c r="C33" s="209" t="s">
        <v>536</v>
      </c>
      <c r="D33" s="209"/>
      <c r="E33" s="209"/>
    </row>
    <row r="34" spans="1:5" ht="24" x14ac:dyDescent="0.25">
      <c r="A34" s="233" t="s">
        <v>537</v>
      </c>
      <c r="B34" s="209" t="s">
        <v>538</v>
      </c>
      <c r="C34" s="209" t="s">
        <v>539</v>
      </c>
      <c r="D34" s="209"/>
      <c r="E34" s="209"/>
    </row>
    <row r="35" spans="1:5" x14ac:dyDescent="0.25">
      <c r="A35" s="233" t="s">
        <v>540</v>
      </c>
      <c r="B35" s="209" t="s">
        <v>458</v>
      </c>
      <c r="C35" s="209" t="s">
        <v>541</v>
      </c>
      <c r="D35" s="209"/>
      <c r="E35" s="209"/>
    </row>
    <row r="36" spans="1:5" x14ac:dyDescent="0.25">
      <c r="A36" s="233" t="s">
        <v>542</v>
      </c>
      <c r="B36" s="209" t="s">
        <v>543</v>
      </c>
      <c r="C36" s="209" t="s">
        <v>544</v>
      </c>
      <c r="D36" s="209"/>
      <c r="E36" s="209"/>
    </row>
    <row r="37" spans="1:5" ht="24" x14ac:dyDescent="0.25">
      <c r="A37" s="233" t="s">
        <v>545</v>
      </c>
      <c r="B37" s="209" t="s">
        <v>546</v>
      </c>
      <c r="C37" s="209" t="s">
        <v>547</v>
      </c>
      <c r="D37" s="209"/>
      <c r="E37" s="209"/>
    </row>
    <row r="38" spans="1:5" x14ac:dyDescent="0.25">
      <c r="A38" s="233" t="s">
        <v>548</v>
      </c>
      <c r="B38" s="209" t="s">
        <v>549</v>
      </c>
      <c r="C38" s="209" t="s">
        <v>550</v>
      </c>
      <c r="D38" s="209"/>
      <c r="E38" s="209"/>
    </row>
    <row r="39" spans="1:5" ht="24" x14ac:dyDescent="0.25">
      <c r="A39" s="233" t="s">
        <v>551</v>
      </c>
      <c r="B39" s="209" t="s">
        <v>552</v>
      </c>
      <c r="C39" s="209" t="s">
        <v>553</v>
      </c>
      <c r="D39" s="209"/>
      <c r="E39" s="209"/>
    </row>
    <row r="40" spans="1:5" x14ac:dyDescent="0.25">
      <c r="A40" s="233" t="s">
        <v>554</v>
      </c>
      <c r="B40" s="209" t="s">
        <v>543</v>
      </c>
      <c r="C40" s="209" t="s">
        <v>555</v>
      </c>
      <c r="D40" s="209"/>
      <c r="E40" s="209"/>
    </row>
    <row r="41" spans="1:5" ht="24" x14ac:dyDescent="0.25">
      <c r="A41" s="233" t="s">
        <v>556</v>
      </c>
      <c r="B41" s="209" t="s">
        <v>557</v>
      </c>
      <c r="C41" s="209" t="s">
        <v>558</v>
      </c>
      <c r="D41" s="209"/>
      <c r="E41" s="209"/>
    </row>
    <row r="42" spans="1:5" ht="24" x14ac:dyDescent="0.25">
      <c r="A42" s="233" t="s">
        <v>559</v>
      </c>
      <c r="B42" s="209" t="s">
        <v>560</v>
      </c>
      <c r="C42" s="209" t="s">
        <v>561</v>
      </c>
      <c r="D42" s="209"/>
      <c r="E42" s="209"/>
    </row>
    <row r="43" spans="1:5" ht="24" x14ac:dyDescent="0.25">
      <c r="A43" s="233" t="s">
        <v>562</v>
      </c>
      <c r="B43" s="209" t="s">
        <v>563</v>
      </c>
      <c r="C43" s="209" t="s">
        <v>564</v>
      </c>
      <c r="D43" s="209"/>
      <c r="E43" s="209"/>
    </row>
    <row r="44" spans="1:5" x14ac:dyDescent="0.25">
      <c r="A44" s="233" t="s">
        <v>565</v>
      </c>
      <c r="B44" s="209" t="s">
        <v>566</v>
      </c>
      <c r="C44" s="209" t="s">
        <v>567</v>
      </c>
      <c r="D44" s="209"/>
      <c r="E44" s="209"/>
    </row>
    <row r="45" spans="1:5" ht="24" x14ac:dyDescent="0.25">
      <c r="A45" s="233" t="s">
        <v>568</v>
      </c>
      <c r="B45" s="209" t="s">
        <v>543</v>
      </c>
      <c r="C45" s="209" t="s">
        <v>569</v>
      </c>
      <c r="D45" s="209"/>
      <c r="E45" s="209"/>
    </row>
    <row r="46" spans="1:5" ht="24" x14ac:dyDescent="0.25">
      <c r="A46" s="233" t="s">
        <v>570</v>
      </c>
      <c r="B46" s="209" t="s">
        <v>571</v>
      </c>
      <c r="C46" s="209" t="s">
        <v>572</v>
      </c>
      <c r="D46" s="209"/>
      <c r="E46" s="209"/>
    </row>
    <row r="47" spans="1:5" x14ac:dyDescent="0.25">
      <c r="A47" s="235" t="s">
        <v>573</v>
      </c>
      <c r="B47" s="236"/>
      <c r="C47" s="236"/>
      <c r="D47" s="236"/>
      <c r="E47" s="237"/>
    </row>
    <row r="48" spans="1:5" x14ac:dyDescent="0.25">
      <c r="A48" s="233" t="s">
        <v>426</v>
      </c>
      <c r="B48" s="208" t="s">
        <v>526</v>
      </c>
      <c r="C48" s="209" t="s">
        <v>527</v>
      </c>
      <c r="D48" s="209"/>
      <c r="E48" s="209"/>
    </row>
    <row r="49" spans="1:5" x14ac:dyDescent="0.25">
      <c r="A49" s="233" t="s">
        <v>574</v>
      </c>
      <c r="B49" s="209" t="s">
        <v>575</v>
      </c>
      <c r="C49" s="209" t="s">
        <v>576</v>
      </c>
      <c r="D49" s="209"/>
      <c r="E49" s="209"/>
    </row>
    <row r="50" spans="1:5" x14ac:dyDescent="0.25">
      <c r="A50" s="233" t="s">
        <v>577</v>
      </c>
      <c r="B50" s="209" t="s">
        <v>578</v>
      </c>
      <c r="C50" s="209" t="s">
        <v>579</v>
      </c>
      <c r="D50" s="209"/>
      <c r="E50" s="209"/>
    </row>
    <row r="51" spans="1:5" x14ac:dyDescent="0.25">
      <c r="A51" s="233" t="s">
        <v>580</v>
      </c>
      <c r="B51" s="209" t="s">
        <v>581</v>
      </c>
      <c r="C51" s="209" t="s">
        <v>582</v>
      </c>
      <c r="D51" s="209"/>
      <c r="E51" s="209"/>
    </row>
    <row r="52" spans="1:5" ht="24" x14ac:dyDescent="0.25">
      <c r="A52" s="233" t="s">
        <v>583</v>
      </c>
      <c r="B52" s="209" t="s">
        <v>584</v>
      </c>
      <c r="C52" s="209" t="s">
        <v>585</v>
      </c>
      <c r="D52" s="209"/>
      <c r="E52" s="209"/>
    </row>
    <row r="53" spans="1:5" x14ac:dyDescent="0.25">
      <c r="A53" s="233" t="s">
        <v>586</v>
      </c>
      <c r="B53" s="209" t="s">
        <v>587</v>
      </c>
      <c r="C53" s="209" t="s">
        <v>588</v>
      </c>
      <c r="D53" s="209"/>
      <c r="E53" s="209"/>
    </row>
    <row r="54" spans="1:5" ht="24" x14ac:dyDescent="0.25">
      <c r="A54" s="233" t="s">
        <v>589</v>
      </c>
      <c r="B54" s="209" t="s">
        <v>590</v>
      </c>
      <c r="C54" s="209" t="s">
        <v>591</v>
      </c>
      <c r="D54" s="209"/>
      <c r="E54" s="209"/>
    </row>
    <row r="55" spans="1:5" x14ac:dyDescent="0.25">
      <c r="A55" s="233" t="s">
        <v>592</v>
      </c>
      <c r="B55" s="209" t="s">
        <v>593</v>
      </c>
      <c r="C55" s="209" t="s">
        <v>594</v>
      </c>
      <c r="D55" s="209"/>
      <c r="E55" s="209"/>
    </row>
    <row r="56" spans="1:5" x14ac:dyDescent="0.25">
      <c r="A56" s="233" t="s">
        <v>595</v>
      </c>
      <c r="B56" s="209" t="s">
        <v>596</v>
      </c>
      <c r="C56" s="209" t="s">
        <v>597</v>
      </c>
      <c r="D56" s="209"/>
      <c r="E56" s="209"/>
    </row>
    <row r="57" spans="1:5" ht="24" x14ac:dyDescent="0.25">
      <c r="A57" s="233" t="s">
        <v>598</v>
      </c>
      <c r="B57" s="209" t="s">
        <v>599</v>
      </c>
      <c r="C57" s="209" t="s">
        <v>600</v>
      </c>
      <c r="D57" s="209"/>
      <c r="E57" s="209"/>
    </row>
    <row r="58" spans="1:5" x14ac:dyDescent="0.25">
      <c r="A58" s="233" t="s">
        <v>601</v>
      </c>
      <c r="B58" s="209" t="s">
        <v>602</v>
      </c>
      <c r="C58" s="209" t="s">
        <v>603</v>
      </c>
      <c r="D58" s="209"/>
      <c r="E58" s="209"/>
    </row>
    <row r="59" spans="1:5" x14ac:dyDescent="0.25">
      <c r="A59" s="233" t="s">
        <v>604</v>
      </c>
      <c r="B59" s="209" t="s">
        <v>581</v>
      </c>
      <c r="C59" s="209" t="s">
        <v>605</v>
      </c>
      <c r="D59" s="209"/>
      <c r="E59" s="209"/>
    </row>
    <row r="60" spans="1:5" x14ac:dyDescent="0.25">
      <c r="A60" s="233" t="s">
        <v>606</v>
      </c>
      <c r="B60" s="209" t="s">
        <v>607</v>
      </c>
      <c r="C60" s="209" t="s">
        <v>608</v>
      </c>
      <c r="D60" s="209"/>
      <c r="E60" s="209"/>
    </row>
    <row r="61" spans="1:5" x14ac:dyDescent="0.25">
      <c r="A61" s="233" t="s">
        <v>609</v>
      </c>
      <c r="B61" s="209" t="s">
        <v>610</v>
      </c>
      <c r="C61" s="209" t="s">
        <v>611</v>
      </c>
      <c r="D61" s="209"/>
      <c r="E61" s="209"/>
    </row>
    <row r="62" spans="1:5" x14ac:dyDescent="0.25">
      <c r="A62" s="233" t="s">
        <v>612</v>
      </c>
      <c r="B62" s="209" t="s">
        <v>613</v>
      </c>
      <c r="C62" s="209" t="s">
        <v>614</v>
      </c>
      <c r="D62" s="209"/>
      <c r="E62" s="209"/>
    </row>
    <row r="63" spans="1:5" x14ac:dyDescent="0.25">
      <c r="A63" s="233" t="s">
        <v>615</v>
      </c>
      <c r="B63" s="209" t="s">
        <v>610</v>
      </c>
      <c r="C63" s="209" t="s">
        <v>616</v>
      </c>
      <c r="D63" s="209"/>
      <c r="E63" s="209"/>
    </row>
    <row r="64" spans="1:5" x14ac:dyDescent="0.25">
      <c r="A64" s="233" t="s">
        <v>617</v>
      </c>
      <c r="B64" s="209" t="s">
        <v>618</v>
      </c>
      <c r="C64" s="209" t="s">
        <v>619</v>
      </c>
      <c r="D64" s="209"/>
      <c r="E64" s="209"/>
    </row>
    <row r="65" spans="1:5" ht="24" x14ac:dyDescent="0.25">
      <c r="A65" s="233" t="s">
        <v>620</v>
      </c>
      <c r="B65" s="209" t="s">
        <v>587</v>
      </c>
      <c r="C65" s="209" t="s">
        <v>621</v>
      </c>
      <c r="D65" s="209"/>
      <c r="E65" s="209"/>
    </row>
    <row r="66" spans="1:5" x14ac:dyDescent="0.25">
      <c r="A66" s="233" t="s">
        <v>622</v>
      </c>
      <c r="B66" s="209" t="s">
        <v>623</v>
      </c>
      <c r="C66" s="209" t="s">
        <v>624</v>
      </c>
      <c r="D66" s="209"/>
      <c r="E66" s="209"/>
    </row>
    <row r="67" spans="1:5" ht="24" x14ac:dyDescent="0.25">
      <c r="A67" s="233" t="s">
        <v>625</v>
      </c>
      <c r="B67" s="209" t="s">
        <v>626</v>
      </c>
      <c r="C67" s="209" t="s">
        <v>627</v>
      </c>
      <c r="D67" s="209"/>
      <c r="E67" s="209"/>
    </row>
    <row r="68" spans="1:5" x14ac:dyDescent="0.25">
      <c r="A68" s="233" t="s">
        <v>628</v>
      </c>
      <c r="B68" s="209" t="s">
        <v>593</v>
      </c>
      <c r="C68" s="209" t="s">
        <v>629</v>
      </c>
      <c r="D68" s="209"/>
      <c r="E68" s="209"/>
    </row>
    <row r="69" spans="1:5" x14ac:dyDescent="0.25">
      <c r="A69" s="233" t="s">
        <v>630</v>
      </c>
      <c r="B69" s="209" t="s">
        <v>631</v>
      </c>
      <c r="C69" s="209" t="s">
        <v>632</v>
      </c>
      <c r="D69" s="209"/>
      <c r="E69" s="209"/>
    </row>
    <row r="70" spans="1:5" ht="15.75" x14ac:dyDescent="0.25">
      <c r="A70" s="243" t="s">
        <v>633</v>
      </c>
      <c r="B70" s="236"/>
      <c r="C70" s="236"/>
      <c r="D70" s="236"/>
      <c r="E70" s="237"/>
    </row>
    <row r="71" spans="1:5" x14ac:dyDescent="0.25">
      <c r="A71" s="235" t="s">
        <v>634</v>
      </c>
      <c r="B71" s="236"/>
      <c r="C71" s="236"/>
      <c r="D71" s="236"/>
      <c r="E71" s="237"/>
    </row>
    <row r="72" spans="1:5" ht="36" x14ac:dyDescent="0.25">
      <c r="A72" s="233" t="s">
        <v>635</v>
      </c>
      <c r="B72" s="209" t="s">
        <v>636</v>
      </c>
      <c r="C72" s="209"/>
      <c r="D72" s="209" t="s">
        <v>637</v>
      </c>
      <c r="E72" s="209"/>
    </row>
    <row r="73" spans="1:5" x14ac:dyDescent="0.25">
      <c r="A73" s="232" t="s">
        <v>638</v>
      </c>
      <c r="B73" s="209"/>
      <c r="C73" s="209"/>
      <c r="D73" s="209"/>
      <c r="E73" s="209"/>
    </row>
    <row r="74" spans="1:5" x14ac:dyDescent="0.25">
      <c r="A74" s="233" t="s">
        <v>639</v>
      </c>
      <c r="B74" s="209" t="s">
        <v>640</v>
      </c>
      <c r="C74" s="209" t="s">
        <v>641</v>
      </c>
      <c r="D74" s="209"/>
      <c r="E74" s="209"/>
    </row>
    <row r="75" spans="1:5" x14ac:dyDescent="0.25">
      <c r="A75" s="233" t="s">
        <v>642</v>
      </c>
      <c r="B75" s="209" t="s">
        <v>643</v>
      </c>
      <c r="C75" s="209" t="s">
        <v>644</v>
      </c>
      <c r="D75" s="209"/>
      <c r="E75" s="209"/>
    </row>
    <row r="76" spans="1:5" ht="24" x14ac:dyDescent="0.25">
      <c r="A76" s="233" t="s">
        <v>645</v>
      </c>
      <c r="B76" s="209" t="s">
        <v>646</v>
      </c>
      <c r="C76" s="209" t="s">
        <v>647</v>
      </c>
      <c r="D76" s="209"/>
      <c r="E76" s="209"/>
    </row>
    <row r="77" spans="1:5" x14ac:dyDescent="0.25">
      <c r="A77" s="233" t="s">
        <v>648</v>
      </c>
      <c r="B77" s="209" t="s">
        <v>649</v>
      </c>
      <c r="C77" s="209" t="s">
        <v>650</v>
      </c>
      <c r="D77" s="209"/>
      <c r="E77" s="209"/>
    </row>
    <row r="78" spans="1:5" x14ac:dyDescent="0.25">
      <c r="A78" s="232" t="s">
        <v>651</v>
      </c>
      <c r="B78" s="209"/>
      <c r="C78" s="209"/>
      <c r="D78" s="209"/>
      <c r="E78" s="209"/>
    </row>
    <row r="79" spans="1:5" ht="24" x14ac:dyDescent="0.25">
      <c r="A79" s="233" t="s">
        <v>652</v>
      </c>
      <c r="B79" s="209"/>
      <c r="C79" s="209"/>
      <c r="D79" s="209"/>
      <c r="E79" s="209"/>
    </row>
    <row r="80" spans="1:5" x14ac:dyDescent="0.25">
      <c r="A80" s="235" t="s">
        <v>653</v>
      </c>
      <c r="B80" s="236"/>
      <c r="C80" s="236"/>
      <c r="D80" s="236"/>
      <c r="E80" s="237"/>
    </row>
    <row r="81" spans="1:5" ht="36" x14ac:dyDescent="0.25">
      <c r="A81" s="233" t="s">
        <v>635</v>
      </c>
      <c r="B81" s="209" t="s">
        <v>654</v>
      </c>
      <c r="C81" s="209"/>
      <c r="D81" s="209" t="s">
        <v>655</v>
      </c>
      <c r="E81" s="209"/>
    </row>
    <row r="82" spans="1:5" x14ac:dyDescent="0.25">
      <c r="A82" s="232" t="s">
        <v>638</v>
      </c>
      <c r="B82" s="209"/>
      <c r="C82" s="209"/>
      <c r="D82" s="209"/>
      <c r="E82" s="209"/>
    </row>
    <row r="83" spans="1:5" x14ac:dyDescent="0.25">
      <c r="A83" s="233" t="s">
        <v>656</v>
      </c>
      <c r="B83" s="209" t="s">
        <v>657</v>
      </c>
      <c r="C83" s="209" t="s">
        <v>658</v>
      </c>
      <c r="D83" s="209"/>
      <c r="E83" s="209"/>
    </row>
    <row r="84" spans="1:5" x14ac:dyDescent="0.25">
      <c r="A84" s="233" t="s">
        <v>648</v>
      </c>
      <c r="B84" s="209" t="s">
        <v>649</v>
      </c>
      <c r="C84" s="209" t="s">
        <v>659</v>
      </c>
      <c r="D84" s="209"/>
      <c r="E84" s="209"/>
    </row>
    <row r="85" spans="1:5" ht="24" x14ac:dyDescent="0.25">
      <c r="A85" s="233" t="s">
        <v>660</v>
      </c>
      <c r="B85" s="209" t="s">
        <v>649</v>
      </c>
      <c r="C85" s="209" t="s">
        <v>661</v>
      </c>
      <c r="D85" s="209"/>
      <c r="E85" s="209"/>
    </row>
    <row r="86" spans="1:5" x14ac:dyDescent="0.25">
      <c r="A86" s="232" t="s">
        <v>651</v>
      </c>
      <c r="B86" s="209"/>
      <c r="C86" s="209"/>
      <c r="D86" s="209"/>
      <c r="E86" s="209"/>
    </row>
    <row r="87" spans="1:5" ht="24" x14ac:dyDescent="0.25">
      <c r="A87" s="233" t="s">
        <v>662</v>
      </c>
      <c r="B87" s="209"/>
      <c r="C87" s="209"/>
      <c r="D87" s="209"/>
      <c r="E87" s="209"/>
    </row>
    <row r="88" spans="1:5" x14ac:dyDescent="0.25">
      <c r="A88" s="235" t="s">
        <v>663</v>
      </c>
      <c r="B88" s="236"/>
      <c r="C88" s="236"/>
      <c r="D88" s="236"/>
      <c r="E88" s="237"/>
    </row>
    <row r="89" spans="1:5" ht="36" x14ac:dyDescent="0.25">
      <c r="A89" s="233" t="s">
        <v>635</v>
      </c>
      <c r="B89" s="209" t="s">
        <v>664</v>
      </c>
      <c r="C89" s="209"/>
      <c r="D89" s="209" t="s">
        <v>665</v>
      </c>
      <c r="E89" s="209"/>
    </row>
    <row r="90" spans="1:5" ht="24" x14ac:dyDescent="0.25">
      <c r="A90" s="233" t="s">
        <v>666</v>
      </c>
      <c r="B90" s="209"/>
      <c r="C90" s="209" t="s">
        <v>667</v>
      </c>
      <c r="D90" s="209"/>
      <c r="E90" s="209"/>
    </row>
    <row r="91" spans="1:5" x14ac:dyDescent="0.25">
      <c r="A91" s="235" t="s">
        <v>668</v>
      </c>
      <c r="B91" s="236"/>
      <c r="C91" s="236"/>
      <c r="D91" s="236"/>
      <c r="E91" s="237"/>
    </row>
    <row r="92" spans="1:5" ht="48" x14ac:dyDescent="0.25">
      <c r="A92" s="233" t="s">
        <v>635</v>
      </c>
      <c r="B92" s="209" t="s">
        <v>669</v>
      </c>
      <c r="C92" s="209"/>
      <c r="D92" s="209" t="s">
        <v>670</v>
      </c>
      <c r="E92" s="209"/>
    </row>
    <row r="93" spans="1:5" ht="36" x14ac:dyDescent="0.25">
      <c r="A93" s="233" t="s">
        <v>671</v>
      </c>
      <c r="B93" s="209"/>
      <c r="C93" s="209" t="s">
        <v>672</v>
      </c>
      <c r="D93" s="209"/>
      <c r="E93" s="209"/>
    </row>
    <row r="94" spans="1:5" x14ac:dyDescent="0.25">
      <c r="A94" s="235" t="s">
        <v>673</v>
      </c>
      <c r="B94" s="236"/>
      <c r="C94" s="236"/>
      <c r="D94" s="236"/>
      <c r="E94" s="237"/>
    </row>
    <row r="95" spans="1:5" ht="60" x14ac:dyDescent="0.25">
      <c r="A95" s="233" t="s">
        <v>635</v>
      </c>
      <c r="B95" s="209" t="s">
        <v>674</v>
      </c>
      <c r="C95" s="209"/>
      <c r="D95" s="209" t="s">
        <v>675</v>
      </c>
      <c r="E95" s="209"/>
    </row>
    <row r="96" spans="1:5" x14ac:dyDescent="0.25">
      <c r="A96" s="232" t="s">
        <v>638</v>
      </c>
      <c r="B96" s="209"/>
      <c r="C96" s="209"/>
      <c r="D96" s="209"/>
      <c r="E96" s="209"/>
    </row>
    <row r="97" spans="1:5" x14ac:dyDescent="0.25">
      <c r="A97" s="233" t="s">
        <v>676</v>
      </c>
      <c r="B97" s="209" t="s">
        <v>677</v>
      </c>
      <c r="C97" s="209" t="s">
        <v>678</v>
      </c>
      <c r="D97" s="209"/>
      <c r="E97" s="209"/>
    </row>
    <row r="98" spans="1:5" x14ac:dyDescent="0.25">
      <c r="A98" s="233" t="s">
        <v>679</v>
      </c>
      <c r="B98" s="209" t="s">
        <v>680</v>
      </c>
      <c r="C98" s="209" t="s">
        <v>681</v>
      </c>
      <c r="D98" s="209"/>
      <c r="E98" s="209"/>
    </row>
    <row r="99" spans="1:5" ht="24" x14ac:dyDescent="0.25">
      <c r="A99" s="233" t="s">
        <v>682</v>
      </c>
      <c r="B99" s="209" t="s">
        <v>381</v>
      </c>
      <c r="C99" s="209" t="s">
        <v>683</v>
      </c>
      <c r="D99" s="209"/>
      <c r="E99" s="209"/>
    </row>
    <row r="100" spans="1:5" ht="36" x14ac:dyDescent="0.25">
      <c r="A100" s="233" t="s">
        <v>684</v>
      </c>
      <c r="B100" s="209" t="s">
        <v>685</v>
      </c>
      <c r="C100" s="209" t="s">
        <v>686</v>
      </c>
      <c r="D100" s="209"/>
      <c r="E100" s="209"/>
    </row>
    <row r="101" spans="1:5" ht="24" x14ac:dyDescent="0.25">
      <c r="A101" s="233" t="s">
        <v>687</v>
      </c>
      <c r="B101" s="209" t="s">
        <v>375</v>
      </c>
      <c r="C101" s="209" t="s">
        <v>688</v>
      </c>
      <c r="D101" s="209"/>
      <c r="E101" s="209"/>
    </row>
    <row r="102" spans="1:5" ht="24" x14ac:dyDescent="0.25">
      <c r="A102" s="233" t="s">
        <v>648</v>
      </c>
      <c r="B102" s="209" t="s">
        <v>649</v>
      </c>
      <c r="C102" s="209" t="s">
        <v>689</v>
      </c>
      <c r="D102" s="209"/>
      <c r="E102" s="209"/>
    </row>
    <row r="103" spans="1:5" x14ac:dyDescent="0.25">
      <c r="A103" s="233" t="s">
        <v>690</v>
      </c>
      <c r="B103" s="209" t="s">
        <v>649</v>
      </c>
      <c r="C103" s="209" t="s">
        <v>691</v>
      </c>
      <c r="D103" s="209"/>
      <c r="E103" s="209"/>
    </row>
    <row r="104" spans="1:5" x14ac:dyDescent="0.25">
      <c r="A104" s="232" t="s">
        <v>651</v>
      </c>
      <c r="B104" s="209"/>
      <c r="C104" s="209"/>
      <c r="D104" s="209"/>
      <c r="E104" s="209"/>
    </row>
    <row r="105" spans="1:5" ht="36" x14ac:dyDescent="0.25">
      <c r="A105" s="233" t="s">
        <v>692</v>
      </c>
      <c r="B105" s="209"/>
      <c r="C105" s="209"/>
      <c r="D105" s="209"/>
      <c r="E105" s="209"/>
    </row>
    <row r="106" spans="1:5" ht="24" x14ac:dyDescent="0.25">
      <c r="A106" s="233" t="s">
        <v>693</v>
      </c>
      <c r="B106" s="209"/>
      <c r="C106" s="209"/>
      <c r="D106" s="209"/>
      <c r="E106" s="209"/>
    </row>
    <row r="107" spans="1:5" x14ac:dyDescent="0.25">
      <c r="A107" s="235" t="s">
        <v>694</v>
      </c>
      <c r="B107" s="236"/>
      <c r="C107" s="236"/>
      <c r="D107" s="236"/>
      <c r="E107" s="237"/>
    </row>
    <row r="108" spans="1:5" ht="72" x14ac:dyDescent="0.25">
      <c r="A108" s="233" t="s">
        <v>635</v>
      </c>
      <c r="B108" s="209" t="s">
        <v>695</v>
      </c>
      <c r="C108" s="209"/>
      <c r="D108" s="209" t="s">
        <v>696</v>
      </c>
      <c r="E108" s="209"/>
    </row>
    <row r="109" spans="1:5" x14ac:dyDescent="0.25">
      <c r="A109" s="232" t="s">
        <v>638</v>
      </c>
      <c r="B109" s="209"/>
      <c r="C109" s="209"/>
      <c r="D109" s="209"/>
      <c r="E109" s="209"/>
    </row>
    <row r="110" spans="1:5" ht="36" x14ac:dyDescent="0.25">
      <c r="A110" s="233" t="s">
        <v>697</v>
      </c>
      <c r="B110" s="209" t="s">
        <v>698</v>
      </c>
      <c r="C110" s="209" t="s">
        <v>699</v>
      </c>
      <c r="D110" s="209"/>
      <c r="E110" s="209"/>
    </row>
    <row r="111" spans="1:5" ht="24" x14ac:dyDescent="0.25">
      <c r="A111" s="233" t="s">
        <v>700</v>
      </c>
      <c r="B111" s="209" t="s">
        <v>698</v>
      </c>
      <c r="C111" s="209" t="s">
        <v>701</v>
      </c>
      <c r="D111" s="209"/>
      <c r="E111" s="209"/>
    </row>
    <row r="112" spans="1:5" x14ac:dyDescent="0.25">
      <c r="A112" s="233" t="s">
        <v>702</v>
      </c>
      <c r="B112" s="209" t="s">
        <v>703</v>
      </c>
      <c r="C112" s="209" t="s">
        <v>704</v>
      </c>
      <c r="D112" s="209"/>
      <c r="E112" s="209"/>
    </row>
    <row r="113" spans="1:5" x14ac:dyDescent="0.25">
      <c r="A113" s="233" t="s">
        <v>648</v>
      </c>
      <c r="B113" s="209" t="s">
        <v>649</v>
      </c>
      <c r="C113" s="209" t="s">
        <v>659</v>
      </c>
      <c r="D113" s="209"/>
      <c r="E113" s="209"/>
    </row>
    <row r="114" spans="1:5" x14ac:dyDescent="0.25">
      <c r="A114" s="232" t="s">
        <v>651</v>
      </c>
      <c r="B114" s="209"/>
      <c r="C114" s="209"/>
      <c r="D114" s="209"/>
      <c r="E114" s="209"/>
    </row>
    <row r="115" spans="1:5" ht="36" x14ac:dyDescent="0.25">
      <c r="A115" s="233" t="s">
        <v>705</v>
      </c>
      <c r="B115" s="209"/>
      <c r="C115" s="209"/>
      <c r="D115" s="209"/>
      <c r="E115" s="209"/>
    </row>
    <row r="116" spans="1:5" x14ac:dyDescent="0.25">
      <c r="A116" s="235" t="s">
        <v>706</v>
      </c>
      <c r="B116" s="236"/>
      <c r="C116" s="236"/>
      <c r="D116" s="236"/>
      <c r="E116" s="237"/>
    </row>
    <row r="117" spans="1:5" ht="60" x14ac:dyDescent="0.25">
      <c r="A117" s="233" t="s">
        <v>635</v>
      </c>
      <c r="B117" s="209" t="s">
        <v>707</v>
      </c>
      <c r="C117" s="209"/>
      <c r="D117" s="209" t="s">
        <v>708</v>
      </c>
      <c r="E117" s="209"/>
    </row>
    <row r="118" spans="1:5" x14ac:dyDescent="0.25">
      <c r="A118" s="232" t="s">
        <v>638</v>
      </c>
      <c r="B118" s="209"/>
      <c r="C118" s="209"/>
      <c r="D118" s="209"/>
      <c r="E118" s="209"/>
    </row>
    <row r="119" spans="1:5" ht="24" x14ac:dyDescent="0.25">
      <c r="A119" s="233" t="s">
        <v>676</v>
      </c>
      <c r="B119" s="209" t="s">
        <v>709</v>
      </c>
      <c r="C119" s="209" t="s">
        <v>710</v>
      </c>
      <c r="D119" s="209"/>
      <c r="E119" s="209"/>
    </row>
    <row r="120" spans="1:5" x14ac:dyDescent="0.25">
      <c r="A120" s="233" t="s">
        <v>679</v>
      </c>
      <c r="B120" s="209" t="s">
        <v>711</v>
      </c>
      <c r="C120" s="209" t="s">
        <v>712</v>
      </c>
      <c r="D120" s="209"/>
      <c r="E120" s="209"/>
    </row>
    <row r="121" spans="1:5" ht="24" x14ac:dyDescent="0.25">
      <c r="A121" s="233" t="s">
        <v>713</v>
      </c>
      <c r="B121" s="209" t="s">
        <v>375</v>
      </c>
      <c r="C121" s="209" t="s">
        <v>714</v>
      </c>
      <c r="D121" s="209"/>
      <c r="E121" s="209"/>
    </row>
    <row r="122" spans="1:5" ht="24" x14ac:dyDescent="0.25">
      <c r="A122" s="233" t="s">
        <v>715</v>
      </c>
      <c r="B122" s="209" t="s">
        <v>375</v>
      </c>
      <c r="C122" s="209" t="s">
        <v>716</v>
      </c>
      <c r="D122" s="209"/>
      <c r="E122" s="209"/>
    </row>
    <row r="123" spans="1:5" x14ac:dyDescent="0.25">
      <c r="A123" s="232" t="s">
        <v>651</v>
      </c>
      <c r="B123" s="209"/>
      <c r="C123" s="209"/>
      <c r="D123" s="209"/>
      <c r="E123" s="209"/>
    </row>
    <row r="124" spans="1:5" ht="36" x14ac:dyDescent="0.25">
      <c r="A124" s="233" t="s">
        <v>717</v>
      </c>
      <c r="B124" s="209"/>
      <c r="C124" s="209"/>
      <c r="D124" s="209"/>
      <c r="E124" s="209"/>
    </row>
    <row r="125" spans="1:5" x14ac:dyDescent="0.25">
      <c r="A125" s="235" t="s">
        <v>718</v>
      </c>
      <c r="B125" s="236"/>
      <c r="C125" s="236"/>
      <c r="D125" s="236"/>
      <c r="E125" s="237"/>
    </row>
    <row r="126" spans="1:5" ht="48" x14ac:dyDescent="0.25">
      <c r="A126" s="233" t="s">
        <v>635</v>
      </c>
      <c r="B126" s="209" t="s">
        <v>719</v>
      </c>
      <c r="C126" s="209"/>
      <c r="D126" s="209" t="s">
        <v>720</v>
      </c>
      <c r="E126" s="209"/>
    </row>
    <row r="127" spans="1:5" x14ac:dyDescent="0.25">
      <c r="A127" s="232" t="s">
        <v>638</v>
      </c>
      <c r="B127" s="209"/>
      <c r="C127" s="209"/>
      <c r="D127" s="209"/>
      <c r="E127" s="209"/>
    </row>
    <row r="128" spans="1:5" x14ac:dyDescent="0.25">
      <c r="A128" s="233" t="s">
        <v>721</v>
      </c>
      <c r="B128" s="209" t="s">
        <v>722</v>
      </c>
      <c r="C128" s="209" t="s">
        <v>723</v>
      </c>
      <c r="D128" s="209"/>
      <c r="E128" s="209"/>
    </row>
    <row r="129" spans="1:5" x14ac:dyDescent="0.25">
      <c r="A129" s="233" t="s">
        <v>639</v>
      </c>
      <c r="B129" s="209" t="s">
        <v>724</v>
      </c>
      <c r="C129" s="209" t="s">
        <v>725</v>
      </c>
      <c r="D129" s="209"/>
      <c r="E129" s="209"/>
    </row>
    <row r="130" spans="1:5" x14ac:dyDescent="0.25">
      <c r="A130" s="233" t="s">
        <v>726</v>
      </c>
      <c r="B130" s="209" t="s">
        <v>649</v>
      </c>
      <c r="C130" s="209" t="s">
        <v>727</v>
      </c>
      <c r="D130" s="209"/>
      <c r="E130" s="209"/>
    </row>
    <row r="131" spans="1:5" ht="24" x14ac:dyDescent="0.25">
      <c r="A131" s="233" t="s">
        <v>728</v>
      </c>
      <c r="B131" s="209" t="s">
        <v>649</v>
      </c>
      <c r="C131" s="209" t="s">
        <v>729</v>
      </c>
      <c r="D131" s="209"/>
      <c r="E131" s="209"/>
    </row>
    <row r="132" spans="1:5" x14ac:dyDescent="0.25">
      <c r="A132" s="233" t="s">
        <v>648</v>
      </c>
      <c r="B132" s="209" t="s">
        <v>649</v>
      </c>
      <c r="C132" s="209" t="s">
        <v>659</v>
      </c>
      <c r="D132" s="209"/>
      <c r="E132" s="209"/>
    </row>
    <row r="133" spans="1:5" x14ac:dyDescent="0.25">
      <c r="A133" s="232" t="s">
        <v>651</v>
      </c>
      <c r="B133" s="209"/>
      <c r="C133" s="209"/>
      <c r="D133" s="209"/>
      <c r="E133" s="209"/>
    </row>
    <row r="134" spans="1:5" ht="24" x14ac:dyDescent="0.25">
      <c r="A134" s="233" t="s">
        <v>730</v>
      </c>
      <c r="B134" s="209"/>
      <c r="C134" s="209"/>
      <c r="D134" s="209"/>
      <c r="E134" s="209"/>
    </row>
    <row r="135" spans="1:5" x14ac:dyDescent="0.25">
      <c r="A135" s="235" t="s">
        <v>731</v>
      </c>
      <c r="B135" s="236"/>
      <c r="C135" s="236"/>
      <c r="D135" s="236"/>
      <c r="E135" s="237"/>
    </row>
    <row r="136" spans="1:5" ht="60" x14ac:dyDescent="0.25">
      <c r="A136" s="233" t="s">
        <v>635</v>
      </c>
      <c r="B136" s="209" t="s">
        <v>732</v>
      </c>
      <c r="C136" s="209"/>
      <c r="D136" s="209" t="s">
        <v>733</v>
      </c>
      <c r="E136" s="209"/>
    </row>
    <row r="137" spans="1:5" x14ac:dyDescent="0.25">
      <c r="A137" s="232" t="s">
        <v>638</v>
      </c>
      <c r="B137" s="209"/>
      <c r="C137" s="209"/>
      <c r="D137" s="209"/>
      <c r="E137" s="209"/>
    </row>
    <row r="138" spans="1:5" ht="24" x14ac:dyDescent="0.25">
      <c r="A138" s="233" t="s">
        <v>682</v>
      </c>
      <c r="B138" s="209" t="s">
        <v>734</v>
      </c>
      <c r="C138" s="209" t="s">
        <v>735</v>
      </c>
      <c r="D138" s="209"/>
      <c r="E138" s="209" t="s">
        <v>736</v>
      </c>
    </row>
    <row r="139" spans="1:5" ht="24" x14ac:dyDescent="0.25">
      <c r="A139" s="233" t="s">
        <v>697</v>
      </c>
      <c r="B139" s="209" t="s">
        <v>375</v>
      </c>
      <c r="C139" s="209" t="s">
        <v>737</v>
      </c>
      <c r="D139" s="209"/>
      <c r="E139" s="209"/>
    </row>
    <row r="140" spans="1:5" ht="24" x14ac:dyDescent="0.25">
      <c r="A140" s="233" t="s">
        <v>700</v>
      </c>
      <c r="B140" s="209" t="s">
        <v>375</v>
      </c>
      <c r="C140" s="209" t="s">
        <v>738</v>
      </c>
      <c r="D140" s="209"/>
      <c r="E140" s="209"/>
    </row>
    <row r="141" spans="1:5" x14ac:dyDescent="0.25">
      <c r="A141" s="233" t="s">
        <v>702</v>
      </c>
      <c r="B141" s="209" t="s">
        <v>703</v>
      </c>
      <c r="C141" s="209" t="s">
        <v>739</v>
      </c>
      <c r="D141" s="209"/>
      <c r="E141" s="209"/>
    </row>
    <row r="142" spans="1:5" x14ac:dyDescent="0.25">
      <c r="A142" s="233" t="s">
        <v>740</v>
      </c>
      <c r="B142" s="209" t="s">
        <v>649</v>
      </c>
      <c r="C142" s="209" t="s">
        <v>741</v>
      </c>
      <c r="D142" s="209"/>
      <c r="E142" s="209" t="s">
        <v>742</v>
      </c>
    </row>
    <row r="143" spans="1:5" ht="24" x14ac:dyDescent="0.25">
      <c r="A143" s="233" t="s">
        <v>743</v>
      </c>
      <c r="B143" s="209" t="s">
        <v>744</v>
      </c>
      <c r="C143" s="209" t="s">
        <v>745</v>
      </c>
      <c r="D143" s="209"/>
      <c r="E143" s="209" t="s">
        <v>746</v>
      </c>
    </row>
    <row r="144" spans="1:5" x14ac:dyDescent="0.25">
      <c r="A144" s="233" t="s">
        <v>747</v>
      </c>
      <c r="B144" s="209" t="s">
        <v>649</v>
      </c>
      <c r="C144" s="209" t="s">
        <v>748</v>
      </c>
      <c r="D144" s="209"/>
      <c r="E144" s="209" t="s">
        <v>749</v>
      </c>
    </row>
    <row r="145" spans="1:5" x14ac:dyDescent="0.25">
      <c r="A145" s="233" t="s">
        <v>648</v>
      </c>
      <c r="B145" s="209" t="s">
        <v>649</v>
      </c>
      <c r="C145" s="209" t="s">
        <v>659</v>
      </c>
      <c r="D145" s="209"/>
      <c r="E145" s="209"/>
    </row>
    <row r="146" spans="1:5" x14ac:dyDescent="0.25">
      <c r="A146" s="232" t="s">
        <v>651</v>
      </c>
      <c r="B146" s="209"/>
      <c r="C146" s="209"/>
      <c r="D146" s="209"/>
      <c r="E146" s="209"/>
    </row>
    <row r="147" spans="1:5" ht="36" x14ac:dyDescent="0.25">
      <c r="A147" s="233" t="s">
        <v>750</v>
      </c>
      <c r="B147" s="209"/>
      <c r="C147" s="209"/>
      <c r="D147" s="209"/>
      <c r="E147" s="209"/>
    </row>
    <row r="148" spans="1:5" x14ac:dyDescent="0.25">
      <c r="A148" s="235" t="s">
        <v>751</v>
      </c>
      <c r="B148" s="236"/>
      <c r="C148" s="236"/>
      <c r="D148" s="236"/>
      <c r="E148" s="237"/>
    </row>
    <row r="149" spans="1:5" ht="48" x14ac:dyDescent="0.25">
      <c r="A149" s="233" t="s">
        <v>635</v>
      </c>
      <c r="B149" s="209" t="s">
        <v>752</v>
      </c>
      <c r="C149" s="209"/>
      <c r="D149" s="209" t="s">
        <v>753</v>
      </c>
      <c r="E149" s="209"/>
    </row>
    <row r="150" spans="1:5" x14ac:dyDescent="0.25">
      <c r="A150" s="232" t="s">
        <v>638</v>
      </c>
      <c r="B150" s="209"/>
      <c r="C150" s="209"/>
      <c r="D150" s="209"/>
      <c r="E150" s="209"/>
    </row>
    <row r="151" spans="1:5" ht="24" x14ac:dyDescent="0.25">
      <c r="A151" s="233" t="s">
        <v>682</v>
      </c>
      <c r="B151" s="209" t="s">
        <v>754</v>
      </c>
      <c r="C151" s="209" t="s">
        <v>755</v>
      </c>
      <c r="D151" s="209"/>
      <c r="E151" s="209" t="s">
        <v>756</v>
      </c>
    </row>
    <row r="152" spans="1:5" ht="24" x14ac:dyDescent="0.25">
      <c r="A152" s="233" t="s">
        <v>757</v>
      </c>
      <c r="B152" s="209" t="s">
        <v>643</v>
      </c>
      <c r="C152" s="209" t="s">
        <v>758</v>
      </c>
      <c r="D152" s="209"/>
      <c r="E152" s="209" t="s">
        <v>759</v>
      </c>
    </row>
    <row r="153" spans="1:5" x14ac:dyDescent="0.25">
      <c r="A153" s="233" t="s">
        <v>743</v>
      </c>
      <c r="B153" s="209" t="s">
        <v>744</v>
      </c>
      <c r="C153" s="209" t="s">
        <v>760</v>
      </c>
      <c r="D153" s="209"/>
      <c r="E153" s="209" t="s">
        <v>761</v>
      </c>
    </row>
    <row r="154" spans="1:5" x14ac:dyDescent="0.25">
      <c r="A154" s="233" t="s">
        <v>740</v>
      </c>
      <c r="B154" s="209" t="s">
        <v>649</v>
      </c>
      <c r="C154" s="209" t="s">
        <v>762</v>
      </c>
      <c r="D154" s="209"/>
      <c r="E154" s="209" t="s">
        <v>742</v>
      </c>
    </row>
    <row r="155" spans="1:5" ht="24" x14ac:dyDescent="0.25">
      <c r="A155" s="233" t="s">
        <v>747</v>
      </c>
      <c r="B155" s="209" t="s">
        <v>649</v>
      </c>
      <c r="C155" s="209" t="s">
        <v>763</v>
      </c>
      <c r="D155" s="209"/>
      <c r="E155" s="209" t="s">
        <v>764</v>
      </c>
    </row>
    <row r="156" spans="1:5" x14ac:dyDescent="0.25">
      <c r="A156" s="233" t="s">
        <v>648</v>
      </c>
      <c r="B156" s="209" t="s">
        <v>649</v>
      </c>
      <c r="C156" s="209" t="s">
        <v>765</v>
      </c>
      <c r="D156" s="209"/>
      <c r="E156" s="209"/>
    </row>
    <row r="157" spans="1:5" x14ac:dyDescent="0.25">
      <c r="A157" s="233" t="s">
        <v>713</v>
      </c>
      <c r="B157" s="209" t="s">
        <v>375</v>
      </c>
      <c r="C157" s="209" t="s">
        <v>766</v>
      </c>
      <c r="D157" s="209"/>
      <c r="E157" s="209"/>
    </row>
    <row r="158" spans="1:5" x14ac:dyDescent="0.25">
      <c r="A158" s="233" t="s">
        <v>715</v>
      </c>
      <c r="B158" s="209" t="s">
        <v>375</v>
      </c>
      <c r="C158" s="209" t="s">
        <v>767</v>
      </c>
      <c r="D158" s="209"/>
      <c r="E158" s="209"/>
    </row>
    <row r="159" spans="1:5" x14ac:dyDescent="0.25">
      <c r="A159" s="232" t="s">
        <v>651</v>
      </c>
      <c r="B159" s="209"/>
      <c r="C159" s="209"/>
      <c r="D159" s="209"/>
      <c r="E159" s="209"/>
    </row>
    <row r="160" spans="1:5" ht="36" x14ac:dyDescent="0.25">
      <c r="A160" s="233" t="s">
        <v>768</v>
      </c>
      <c r="B160" s="209"/>
      <c r="C160" s="209"/>
      <c r="D160" s="209"/>
      <c r="E160" s="209"/>
    </row>
    <row r="161" spans="1:5" x14ac:dyDescent="0.25">
      <c r="A161" s="235" t="s">
        <v>769</v>
      </c>
      <c r="B161" s="236"/>
      <c r="C161" s="236"/>
      <c r="D161" s="236"/>
      <c r="E161" s="237"/>
    </row>
    <row r="162" spans="1:5" ht="48" x14ac:dyDescent="0.25">
      <c r="A162" s="233" t="s">
        <v>635</v>
      </c>
      <c r="B162" s="209" t="s">
        <v>770</v>
      </c>
      <c r="C162" s="209"/>
      <c r="D162" s="209" t="s">
        <v>771</v>
      </c>
      <c r="E162" s="209"/>
    </row>
    <row r="163" spans="1:5" x14ac:dyDescent="0.25">
      <c r="A163" s="232" t="s">
        <v>638</v>
      </c>
      <c r="B163" s="209"/>
      <c r="C163" s="209"/>
      <c r="D163" s="209"/>
      <c r="E163" s="209"/>
    </row>
    <row r="164" spans="1:5" x14ac:dyDescent="0.25">
      <c r="A164" s="233" t="s">
        <v>721</v>
      </c>
      <c r="B164" s="209" t="s">
        <v>709</v>
      </c>
      <c r="C164" s="209" t="s">
        <v>772</v>
      </c>
      <c r="D164" s="209"/>
      <c r="E164" s="209"/>
    </row>
    <row r="165" spans="1:5" x14ac:dyDescent="0.25">
      <c r="A165" s="233" t="s">
        <v>773</v>
      </c>
      <c r="B165" s="209" t="s">
        <v>774</v>
      </c>
      <c r="C165" s="209" t="s">
        <v>775</v>
      </c>
      <c r="D165" s="209"/>
      <c r="E165" s="209"/>
    </row>
    <row r="166" spans="1:5" x14ac:dyDescent="0.25">
      <c r="A166" s="233" t="s">
        <v>648</v>
      </c>
      <c r="B166" s="209" t="s">
        <v>649</v>
      </c>
      <c r="C166" s="209" t="s">
        <v>659</v>
      </c>
      <c r="D166" s="209"/>
      <c r="E166" s="209"/>
    </row>
    <row r="167" spans="1:5" x14ac:dyDescent="0.25">
      <c r="A167" s="232" t="s">
        <v>651</v>
      </c>
      <c r="B167" s="209"/>
      <c r="C167" s="209"/>
      <c r="D167" s="209"/>
      <c r="E167" s="209"/>
    </row>
    <row r="168" spans="1:5" ht="24" x14ac:dyDescent="0.25">
      <c r="A168" s="233" t="s">
        <v>776</v>
      </c>
      <c r="B168" s="209"/>
      <c r="C168" s="209"/>
      <c r="D168" s="209"/>
      <c r="E168" s="209"/>
    </row>
    <row r="169" spans="1:5" x14ac:dyDescent="0.25">
      <c r="A169" s="235" t="s">
        <v>777</v>
      </c>
      <c r="B169" s="236"/>
      <c r="C169" s="236"/>
      <c r="D169" s="236"/>
      <c r="E169" s="237"/>
    </row>
    <row r="170" spans="1:5" ht="48" x14ac:dyDescent="0.25">
      <c r="A170" s="233" t="s">
        <v>635</v>
      </c>
      <c r="B170" s="209" t="s">
        <v>778</v>
      </c>
      <c r="C170" s="209"/>
      <c r="D170" s="209" t="s">
        <v>779</v>
      </c>
      <c r="E170" s="209"/>
    </row>
    <row r="171" spans="1:5" x14ac:dyDescent="0.25">
      <c r="A171" s="232" t="s">
        <v>638</v>
      </c>
      <c r="B171" s="209"/>
      <c r="C171" s="209"/>
      <c r="D171" s="209"/>
      <c r="E171" s="209"/>
    </row>
    <row r="172" spans="1:5" x14ac:dyDescent="0.25">
      <c r="A172" s="233" t="s">
        <v>676</v>
      </c>
      <c r="B172" s="209" t="s">
        <v>722</v>
      </c>
      <c r="C172" s="209" t="s">
        <v>780</v>
      </c>
      <c r="D172" s="209"/>
      <c r="E172" s="209"/>
    </row>
    <row r="173" spans="1:5" x14ac:dyDescent="0.25">
      <c r="A173" s="233" t="s">
        <v>679</v>
      </c>
      <c r="B173" s="209" t="s">
        <v>781</v>
      </c>
      <c r="C173" s="209" t="s">
        <v>782</v>
      </c>
      <c r="D173" s="209"/>
      <c r="E173" s="209"/>
    </row>
    <row r="174" spans="1:5" ht="24" x14ac:dyDescent="0.25">
      <c r="A174" s="233" t="s">
        <v>783</v>
      </c>
      <c r="B174" s="209" t="s">
        <v>649</v>
      </c>
      <c r="C174" s="209" t="s">
        <v>784</v>
      </c>
      <c r="D174" s="209"/>
      <c r="E174" s="209"/>
    </row>
    <row r="175" spans="1:5" ht="24" x14ac:dyDescent="0.25">
      <c r="A175" s="233" t="s">
        <v>648</v>
      </c>
      <c r="B175" s="209" t="s">
        <v>649</v>
      </c>
      <c r="C175" s="209" t="s">
        <v>785</v>
      </c>
      <c r="D175" s="209"/>
      <c r="E175" s="209"/>
    </row>
    <row r="176" spans="1:5" x14ac:dyDescent="0.25">
      <c r="A176" s="232" t="s">
        <v>651</v>
      </c>
      <c r="B176" s="209"/>
      <c r="C176" s="209"/>
      <c r="D176" s="209"/>
      <c r="E176" s="209"/>
    </row>
    <row r="177" spans="1:5" ht="36" x14ac:dyDescent="0.25">
      <c r="A177" s="233" t="s">
        <v>786</v>
      </c>
      <c r="B177" s="209"/>
      <c r="C177" s="209"/>
      <c r="D177" s="209"/>
      <c r="E177" s="209"/>
    </row>
    <row r="178" spans="1:5" x14ac:dyDescent="0.25">
      <c r="A178" s="235" t="s">
        <v>787</v>
      </c>
      <c r="B178" s="236"/>
      <c r="C178" s="236"/>
      <c r="D178" s="236"/>
      <c r="E178" s="237"/>
    </row>
    <row r="179" spans="1:5" ht="60" x14ac:dyDescent="0.25">
      <c r="A179" s="233" t="s">
        <v>635</v>
      </c>
      <c r="B179" s="209" t="s">
        <v>788</v>
      </c>
      <c r="C179" s="209"/>
      <c r="D179" s="209" t="s">
        <v>789</v>
      </c>
      <c r="E179" s="209"/>
    </row>
    <row r="180" spans="1:5" x14ac:dyDescent="0.25">
      <c r="A180" s="232" t="s">
        <v>638</v>
      </c>
      <c r="B180" s="209"/>
      <c r="C180" s="209"/>
      <c r="D180" s="209"/>
      <c r="E180" s="209"/>
    </row>
    <row r="181" spans="1:5" ht="24" x14ac:dyDescent="0.25">
      <c r="A181" s="233" t="s">
        <v>790</v>
      </c>
      <c r="B181" s="209" t="s">
        <v>791</v>
      </c>
      <c r="C181" s="209" t="s">
        <v>792</v>
      </c>
      <c r="D181" s="209"/>
      <c r="E181" s="209"/>
    </row>
    <row r="182" spans="1:5" x14ac:dyDescent="0.25">
      <c r="A182" s="233" t="s">
        <v>783</v>
      </c>
      <c r="B182" s="209" t="s">
        <v>649</v>
      </c>
      <c r="C182" s="209" t="s">
        <v>793</v>
      </c>
      <c r="D182" s="209"/>
      <c r="E182" s="209"/>
    </row>
    <row r="183" spans="1:5" x14ac:dyDescent="0.25">
      <c r="A183" s="233" t="s">
        <v>648</v>
      </c>
      <c r="B183" s="209" t="s">
        <v>649</v>
      </c>
      <c r="C183" s="209" t="s">
        <v>794</v>
      </c>
      <c r="D183" s="209"/>
      <c r="E183" s="209"/>
    </row>
    <row r="184" spans="1:5" x14ac:dyDescent="0.25">
      <c r="A184" s="232" t="s">
        <v>651</v>
      </c>
      <c r="B184" s="209"/>
      <c r="C184" s="209"/>
      <c r="D184" s="209"/>
      <c r="E184" s="209"/>
    </row>
    <row r="185" spans="1:5" ht="36" x14ac:dyDescent="0.25">
      <c r="A185" s="233" t="s">
        <v>795</v>
      </c>
      <c r="B185" s="209"/>
      <c r="C185" s="209"/>
      <c r="D185" s="209"/>
      <c r="E185" s="209"/>
    </row>
    <row r="186" spans="1:5" x14ac:dyDescent="0.25">
      <c r="A186" s="235" t="s">
        <v>796</v>
      </c>
      <c r="B186" s="236"/>
      <c r="C186" s="236"/>
      <c r="D186" s="236"/>
      <c r="E186" s="237"/>
    </row>
    <row r="187" spans="1:5" ht="60" x14ac:dyDescent="0.25">
      <c r="A187" s="233" t="s">
        <v>635</v>
      </c>
      <c r="B187" s="209" t="s">
        <v>797</v>
      </c>
      <c r="C187" s="209"/>
      <c r="D187" s="209" t="s">
        <v>798</v>
      </c>
      <c r="E187" s="209"/>
    </row>
    <row r="188" spans="1:5" x14ac:dyDescent="0.25">
      <c r="A188" s="232" t="s">
        <v>638</v>
      </c>
      <c r="B188" s="209"/>
      <c r="C188" s="209"/>
      <c r="D188" s="209"/>
      <c r="E188" s="209"/>
    </row>
    <row r="189" spans="1:5" ht="36" x14ac:dyDescent="0.25">
      <c r="A189" s="233" t="s">
        <v>799</v>
      </c>
      <c r="B189" s="209" t="s">
        <v>677</v>
      </c>
      <c r="C189" s="209" t="s">
        <v>800</v>
      </c>
      <c r="D189" s="209"/>
      <c r="E189" s="209"/>
    </row>
    <row r="190" spans="1:5" ht="24" x14ac:dyDescent="0.25">
      <c r="A190" s="233" t="s">
        <v>801</v>
      </c>
      <c r="B190" s="209" t="s">
        <v>643</v>
      </c>
      <c r="C190" s="209" t="s">
        <v>802</v>
      </c>
      <c r="D190" s="209"/>
      <c r="E190" s="209"/>
    </row>
    <row r="191" spans="1:5" x14ac:dyDescent="0.25">
      <c r="A191" s="233" t="s">
        <v>690</v>
      </c>
      <c r="B191" s="209" t="s">
        <v>649</v>
      </c>
      <c r="C191" s="209" t="s">
        <v>659</v>
      </c>
      <c r="D191" s="209"/>
      <c r="E191" s="209"/>
    </row>
    <row r="192" spans="1:5" x14ac:dyDescent="0.25">
      <c r="A192" s="232" t="s">
        <v>651</v>
      </c>
      <c r="B192" s="209"/>
      <c r="C192" s="209"/>
      <c r="D192" s="209"/>
      <c r="E192" s="209"/>
    </row>
    <row r="193" spans="1:5" ht="36" x14ac:dyDescent="0.25">
      <c r="A193" s="233" t="s">
        <v>803</v>
      </c>
      <c r="B193" s="209"/>
      <c r="C193" s="209"/>
      <c r="D193" s="209"/>
      <c r="E193" s="209"/>
    </row>
    <row r="194" spans="1:5" x14ac:dyDescent="0.25">
      <c r="A194" s="235" t="s">
        <v>804</v>
      </c>
      <c r="B194" s="236"/>
      <c r="C194" s="236"/>
      <c r="D194" s="236"/>
      <c r="E194" s="237"/>
    </row>
    <row r="195" spans="1:5" ht="84" x14ac:dyDescent="0.25">
      <c r="A195" s="233" t="s">
        <v>635</v>
      </c>
      <c r="B195" s="209" t="s">
        <v>805</v>
      </c>
      <c r="C195" s="209"/>
      <c r="D195" s="209" t="s">
        <v>806</v>
      </c>
      <c r="E195" s="209"/>
    </row>
    <row r="196" spans="1:5" ht="36" x14ac:dyDescent="0.25">
      <c r="A196" s="233" t="s">
        <v>807</v>
      </c>
      <c r="B196" s="209"/>
      <c r="C196" s="209"/>
      <c r="D196" s="209"/>
      <c r="E196" s="209"/>
    </row>
    <row r="197" spans="1:5" x14ac:dyDescent="0.25">
      <c r="A197" s="232" t="s">
        <v>808</v>
      </c>
      <c r="B197" s="209"/>
      <c r="C197" s="209"/>
      <c r="D197" s="209"/>
      <c r="E197" s="209"/>
    </row>
    <row r="198" spans="1:5" ht="36" x14ac:dyDescent="0.25">
      <c r="A198" s="233" t="s">
        <v>809</v>
      </c>
      <c r="B198" s="209"/>
      <c r="C198" s="209"/>
      <c r="D198" s="209"/>
      <c r="E198" s="209"/>
    </row>
    <row r="199" spans="1:5" ht="36" x14ac:dyDescent="0.25">
      <c r="A199" s="233" t="s">
        <v>810</v>
      </c>
      <c r="B199" s="209"/>
      <c r="C199" s="209"/>
      <c r="D199" s="209"/>
      <c r="E199" s="209"/>
    </row>
    <row r="200" spans="1:5" ht="24" x14ac:dyDescent="0.25">
      <c r="A200" s="233" t="s">
        <v>811</v>
      </c>
      <c r="B200" s="209"/>
      <c r="C200" s="209"/>
      <c r="D200" s="209"/>
      <c r="E200" s="209"/>
    </row>
    <row r="201" spans="1:5" ht="24" x14ac:dyDescent="0.25">
      <c r="A201" s="233" t="s">
        <v>812</v>
      </c>
      <c r="B201" s="209"/>
      <c r="C201" s="209"/>
      <c r="D201" s="209"/>
      <c r="E201" s="209"/>
    </row>
    <row r="202" spans="1:5" ht="24" x14ac:dyDescent="0.25">
      <c r="A202" s="233" t="s">
        <v>813</v>
      </c>
      <c r="B202" s="209"/>
      <c r="C202" s="209"/>
      <c r="D202" s="209"/>
      <c r="E202" s="209"/>
    </row>
    <row r="203" spans="1:5" x14ac:dyDescent="0.25">
      <c r="A203" s="235" t="s">
        <v>814</v>
      </c>
      <c r="B203" s="236"/>
      <c r="C203" s="236"/>
      <c r="D203" s="236"/>
      <c r="E203" s="237"/>
    </row>
    <row r="204" spans="1:5" ht="96" x14ac:dyDescent="0.25">
      <c r="A204" s="233" t="s">
        <v>635</v>
      </c>
      <c r="B204" s="209" t="s">
        <v>815</v>
      </c>
      <c r="C204" s="209"/>
      <c r="D204" s="209" t="s">
        <v>816</v>
      </c>
      <c r="E204" s="209"/>
    </row>
    <row r="205" spans="1:5" x14ac:dyDescent="0.25">
      <c r="A205" s="232" t="s">
        <v>638</v>
      </c>
      <c r="B205" s="209"/>
      <c r="C205" s="209"/>
      <c r="D205" s="209"/>
      <c r="E205" s="209"/>
    </row>
    <row r="206" spans="1:5" ht="24" x14ac:dyDescent="0.25">
      <c r="A206" s="233" t="s">
        <v>676</v>
      </c>
      <c r="B206" s="209" t="s">
        <v>677</v>
      </c>
      <c r="C206" s="209" t="s">
        <v>817</v>
      </c>
      <c r="D206" s="209"/>
      <c r="E206" s="209"/>
    </row>
    <row r="207" spans="1:5" x14ac:dyDescent="0.25">
      <c r="A207" s="233" t="s">
        <v>818</v>
      </c>
      <c r="B207" s="209" t="s">
        <v>819</v>
      </c>
      <c r="C207" s="209" t="s">
        <v>820</v>
      </c>
      <c r="D207" s="209"/>
      <c r="E207" s="209"/>
    </row>
    <row r="208" spans="1:5" x14ac:dyDescent="0.25">
      <c r="A208" s="233" t="s">
        <v>821</v>
      </c>
      <c r="B208" s="209" t="s">
        <v>822</v>
      </c>
      <c r="C208" s="209" t="s">
        <v>823</v>
      </c>
      <c r="D208" s="209"/>
      <c r="E208" s="209"/>
    </row>
    <row r="209" spans="1:5" x14ac:dyDescent="0.25">
      <c r="A209" s="233" t="s">
        <v>824</v>
      </c>
      <c r="B209" s="209" t="s">
        <v>825</v>
      </c>
      <c r="C209" s="209" t="s">
        <v>826</v>
      </c>
      <c r="D209" s="209"/>
      <c r="E209" s="209"/>
    </row>
    <row r="210" spans="1:5" ht="24" x14ac:dyDescent="0.25">
      <c r="A210" s="233" t="s">
        <v>827</v>
      </c>
      <c r="B210" s="209" t="s">
        <v>649</v>
      </c>
      <c r="C210" s="209" t="s">
        <v>828</v>
      </c>
      <c r="D210" s="209"/>
      <c r="E210" s="209"/>
    </row>
    <row r="211" spans="1:5" ht="24" x14ac:dyDescent="0.25">
      <c r="A211" s="233" t="s">
        <v>829</v>
      </c>
      <c r="B211" s="209" t="s">
        <v>830</v>
      </c>
      <c r="C211" s="209" t="s">
        <v>831</v>
      </c>
      <c r="D211" s="209"/>
      <c r="E211" s="209"/>
    </row>
    <row r="212" spans="1:5" x14ac:dyDescent="0.25">
      <c r="A212" s="232" t="s">
        <v>808</v>
      </c>
      <c r="B212" s="209"/>
      <c r="C212" s="209"/>
      <c r="D212" s="209"/>
      <c r="E212" s="209"/>
    </row>
    <row r="213" spans="1:5" ht="24" x14ac:dyDescent="0.25">
      <c r="A213" s="233" t="s">
        <v>832</v>
      </c>
      <c r="B213" s="209"/>
      <c r="C213" s="209"/>
      <c r="D213" s="209"/>
      <c r="E213" s="209"/>
    </row>
    <row r="214" spans="1:5" ht="24" x14ac:dyDescent="0.25">
      <c r="A214" s="233" t="s">
        <v>833</v>
      </c>
      <c r="B214" s="209"/>
      <c r="C214" s="209"/>
      <c r="D214" s="209"/>
      <c r="E214" s="209"/>
    </row>
    <row r="215" spans="1:5" ht="48" x14ac:dyDescent="0.25">
      <c r="A215" s="233" t="s">
        <v>834</v>
      </c>
      <c r="B215" s="209"/>
      <c r="C215" s="209"/>
      <c r="D215" s="209"/>
      <c r="E215" s="209"/>
    </row>
    <row r="216" spans="1:5" ht="24" x14ac:dyDescent="0.25">
      <c r="A216" s="233" t="s">
        <v>835</v>
      </c>
      <c r="B216" s="209"/>
      <c r="C216" s="209"/>
      <c r="D216" s="209"/>
      <c r="E216" s="209"/>
    </row>
    <row r="217" spans="1:5" ht="24" x14ac:dyDescent="0.25">
      <c r="A217" s="233" t="s">
        <v>811</v>
      </c>
      <c r="B217" s="209"/>
      <c r="C217" s="209"/>
      <c r="D217" s="209"/>
      <c r="E217" s="209"/>
    </row>
    <row r="218" spans="1:5" x14ac:dyDescent="0.25">
      <c r="A218" s="233" t="s">
        <v>836</v>
      </c>
      <c r="B218" s="209"/>
      <c r="C218" s="209"/>
      <c r="D218" s="209"/>
      <c r="E218" s="209"/>
    </row>
    <row r="219" spans="1:5" ht="15.75" x14ac:dyDescent="0.25">
      <c r="A219" s="243" t="s">
        <v>837</v>
      </c>
      <c r="B219" s="236"/>
      <c r="C219" s="236"/>
      <c r="D219" s="236"/>
      <c r="E219" s="237"/>
    </row>
    <row r="220" spans="1:5" ht="36" x14ac:dyDescent="0.25">
      <c r="A220" s="233" t="s">
        <v>838</v>
      </c>
      <c r="B220" s="209" t="s">
        <v>839</v>
      </c>
      <c r="C220" s="209" t="s">
        <v>840</v>
      </c>
      <c r="D220" s="209"/>
      <c r="E220" s="209"/>
    </row>
    <row r="221" spans="1:5" ht="36" x14ac:dyDescent="0.25">
      <c r="A221" s="233" t="s">
        <v>841</v>
      </c>
      <c r="B221" s="209" t="s">
        <v>842</v>
      </c>
      <c r="C221" s="209" t="s">
        <v>843</v>
      </c>
      <c r="D221" s="209"/>
      <c r="E221" s="209"/>
    </row>
    <row r="222" spans="1:5" ht="48" x14ac:dyDescent="0.25">
      <c r="A222" s="233" t="s">
        <v>844</v>
      </c>
      <c r="B222" s="209" t="s">
        <v>845</v>
      </c>
      <c r="C222" s="209" t="s">
        <v>846</v>
      </c>
      <c r="D222" s="209"/>
      <c r="E222" s="209"/>
    </row>
    <row r="223" spans="1:5" ht="48" x14ac:dyDescent="0.25">
      <c r="A223" s="233" t="s">
        <v>847</v>
      </c>
      <c r="B223" s="209" t="s">
        <v>848</v>
      </c>
      <c r="C223" s="209" t="s">
        <v>849</v>
      </c>
      <c r="D223" s="209"/>
      <c r="E223" s="209"/>
    </row>
    <row r="224" spans="1:5" ht="72" x14ac:dyDescent="0.25">
      <c r="A224" s="233" t="s">
        <v>850</v>
      </c>
      <c r="B224" s="209" t="s">
        <v>851</v>
      </c>
      <c r="C224" s="209" t="s">
        <v>852</v>
      </c>
      <c r="D224" s="209"/>
      <c r="E224" s="209"/>
    </row>
    <row r="225" spans="1:5" ht="36" x14ac:dyDescent="0.25">
      <c r="A225" s="233" t="s">
        <v>853</v>
      </c>
      <c r="B225" s="209" t="s">
        <v>854</v>
      </c>
      <c r="C225" s="209" t="s">
        <v>855</v>
      </c>
      <c r="D225" s="209"/>
      <c r="E225" s="209"/>
    </row>
    <row r="226" spans="1:5" ht="48" x14ac:dyDescent="0.25">
      <c r="A226" s="233" t="s">
        <v>856</v>
      </c>
      <c r="B226" s="209" t="s">
        <v>857</v>
      </c>
      <c r="C226" s="209" t="s">
        <v>858</v>
      </c>
      <c r="D226" s="209"/>
      <c r="E226" s="209"/>
    </row>
    <row r="227" spans="1:5" ht="48" x14ac:dyDescent="0.25">
      <c r="A227" s="233" t="s">
        <v>859</v>
      </c>
      <c r="B227" s="209" t="s">
        <v>860</v>
      </c>
      <c r="C227" s="209" t="s">
        <v>861</v>
      </c>
      <c r="D227" s="209"/>
      <c r="E227" s="209"/>
    </row>
    <row r="228" spans="1:5" x14ac:dyDescent="0.25">
      <c r="A228" s="235" t="s">
        <v>862</v>
      </c>
      <c r="B228" s="236"/>
      <c r="C228" s="236"/>
      <c r="D228" s="236"/>
      <c r="E228" s="237"/>
    </row>
    <row r="229" spans="1:5" x14ac:dyDescent="0.25">
      <c r="A229" s="233" t="s">
        <v>863</v>
      </c>
      <c r="B229" s="233" t="s">
        <v>864</v>
      </c>
      <c r="C229" s="233" t="s">
        <v>865</v>
      </c>
      <c r="D229" s="233" t="s">
        <v>866</v>
      </c>
      <c r="E229" s="233" t="s">
        <v>527</v>
      </c>
    </row>
    <row r="230" spans="1:5" ht="48" customHeight="1" x14ac:dyDescent="0.25">
      <c r="A230" s="233" t="s">
        <v>867</v>
      </c>
      <c r="B230" s="208" t="s">
        <v>868</v>
      </c>
      <c r="C230" s="208" t="s">
        <v>869</v>
      </c>
      <c r="D230" s="209" t="s">
        <v>870</v>
      </c>
      <c r="E230" s="209" t="s">
        <v>871</v>
      </c>
    </row>
    <row r="231" spans="1:5" ht="48" customHeight="1" x14ac:dyDescent="0.25">
      <c r="A231" s="233" t="s">
        <v>872</v>
      </c>
      <c r="B231" s="208" t="s">
        <v>873</v>
      </c>
      <c r="C231" s="208" t="s">
        <v>874</v>
      </c>
      <c r="D231" s="209" t="s">
        <v>875</v>
      </c>
      <c r="E231" s="209" t="s">
        <v>876</v>
      </c>
    </row>
    <row r="232" spans="1:5" ht="48" customHeight="1" x14ac:dyDescent="0.25">
      <c r="A232" s="233" t="s">
        <v>877</v>
      </c>
      <c r="B232" s="208" t="s">
        <v>878</v>
      </c>
      <c r="C232" s="208" t="s">
        <v>879</v>
      </c>
      <c r="D232" s="209" t="s">
        <v>875</v>
      </c>
      <c r="E232" s="209" t="s">
        <v>880</v>
      </c>
    </row>
    <row r="233" spans="1:5" ht="48" customHeight="1" x14ac:dyDescent="0.25">
      <c r="A233" s="233" t="s">
        <v>881</v>
      </c>
      <c r="B233" s="208" t="s">
        <v>882</v>
      </c>
      <c r="C233" s="208" t="s">
        <v>883</v>
      </c>
      <c r="D233" s="209" t="s">
        <v>884</v>
      </c>
      <c r="E233" s="209" t="s">
        <v>885</v>
      </c>
    </row>
    <row r="235" spans="1:5" ht="48" customHeight="1" x14ac:dyDescent="0.25">
      <c r="A235" s="233" t="s">
        <v>886</v>
      </c>
      <c r="B235" s="238" t="s">
        <v>887</v>
      </c>
      <c r="C235" s="236"/>
      <c r="D235" s="236"/>
      <c r="E235" s="237"/>
    </row>
    <row r="237" spans="1:5" x14ac:dyDescent="0.25">
      <c r="A237" s="233" t="s">
        <v>888</v>
      </c>
      <c r="B237" s="244" t="s">
        <v>889</v>
      </c>
      <c r="C237" s="236"/>
      <c r="D237" s="236"/>
      <c r="E237" s="237"/>
    </row>
    <row r="242" spans="1:5" ht="15.75" x14ac:dyDescent="0.25">
      <c r="A242" s="207" t="s">
        <v>890</v>
      </c>
      <c r="B242" s="190"/>
      <c r="C242" s="190"/>
      <c r="D242" s="190"/>
      <c r="E242" s="191"/>
    </row>
    <row r="243" spans="1:5" x14ac:dyDescent="0.25">
      <c r="A243" s="233" t="s">
        <v>891</v>
      </c>
      <c r="B243" s="208" t="s">
        <v>892</v>
      </c>
      <c r="C243" s="209" t="s">
        <v>893</v>
      </c>
      <c r="D243" s="209" t="s">
        <v>894</v>
      </c>
      <c r="E243" s="209"/>
    </row>
    <row r="244" spans="1:5" x14ac:dyDescent="0.25">
      <c r="A244" s="208" t="s">
        <v>18</v>
      </c>
      <c r="B244" s="209" t="s">
        <v>895</v>
      </c>
      <c r="C244" s="209" t="s">
        <v>896</v>
      </c>
      <c r="D244" s="209" t="s">
        <v>897</v>
      </c>
      <c r="E244" s="209"/>
    </row>
    <row r="245" spans="1:5" x14ac:dyDescent="0.25">
      <c r="A245" s="208" t="s">
        <v>28</v>
      </c>
      <c r="B245" s="209" t="s">
        <v>898</v>
      </c>
      <c r="C245" s="209" t="s">
        <v>896</v>
      </c>
      <c r="D245" s="209" t="s">
        <v>897</v>
      </c>
      <c r="E245" s="209"/>
    </row>
    <row r="246" spans="1:5" x14ac:dyDescent="0.25">
      <c r="A246" s="208" t="s">
        <v>33</v>
      </c>
      <c r="B246" s="209" t="s">
        <v>899</v>
      </c>
      <c r="C246" s="209" t="s">
        <v>896</v>
      </c>
      <c r="D246" s="209" t="s">
        <v>897</v>
      </c>
      <c r="E246" s="209"/>
    </row>
    <row r="247" spans="1:5" x14ac:dyDescent="0.25">
      <c r="A247" s="208" t="s">
        <v>38</v>
      </c>
      <c r="B247" s="209" t="s">
        <v>895</v>
      </c>
      <c r="C247" s="209" t="s">
        <v>896</v>
      </c>
      <c r="D247" s="209" t="s">
        <v>897</v>
      </c>
      <c r="E247" s="209"/>
    </row>
    <row r="248" spans="1:5" x14ac:dyDescent="0.25">
      <c r="A248" s="208" t="s">
        <v>41</v>
      </c>
      <c r="B248" s="209" t="s">
        <v>900</v>
      </c>
      <c r="C248" s="209" t="s">
        <v>896</v>
      </c>
      <c r="D248" s="209" t="s">
        <v>897</v>
      </c>
      <c r="E248" s="209"/>
    </row>
    <row r="249" spans="1:5" x14ac:dyDescent="0.25">
      <c r="A249" s="208" t="s">
        <v>45</v>
      </c>
      <c r="B249" s="209" t="s">
        <v>901</v>
      </c>
      <c r="C249" s="209" t="s">
        <v>896</v>
      </c>
      <c r="D249" s="209" t="s">
        <v>897</v>
      </c>
      <c r="E249" s="209"/>
    </row>
    <row r="250" spans="1:5" x14ac:dyDescent="0.25">
      <c r="A250" s="208" t="s">
        <v>48</v>
      </c>
      <c r="B250" s="209" t="s">
        <v>901</v>
      </c>
      <c r="C250" s="209" t="s">
        <v>896</v>
      </c>
      <c r="D250" s="209" t="s">
        <v>897</v>
      </c>
      <c r="E250" s="209"/>
    </row>
    <row r="251" spans="1:5" x14ac:dyDescent="0.25">
      <c r="A251" s="208" t="s">
        <v>52</v>
      </c>
      <c r="B251" s="209" t="s">
        <v>901</v>
      </c>
      <c r="C251" s="209" t="s">
        <v>896</v>
      </c>
      <c r="D251" s="209" t="s">
        <v>897</v>
      </c>
      <c r="E251" s="209"/>
    </row>
    <row r="252" spans="1:5" x14ac:dyDescent="0.25">
      <c r="A252" s="208" t="s">
        <v>902</v>
      </c>
      <c r="B252" s="209" t="s">
        <v>903</v>
      </c>
      <c r="C252" s="209" t="s">
        <v>904</v>
      </c>
      <c r="D252" s="209" t="s">
        <v>905</v>
      </c>
      <c r="E252" s="209"/>
    </row>
    <row r="253" spans="1:5" ht="24" x14ac:dyDescent="0.25">
      <c r="A253" s="208" t="s">
        <v>906</v>
      </c>
      <c r="B253" s="209" t="s">
        <v>907</v>
      </c>
      <c r="C253" s="209" t="s">
        <v>904</v>
      </c>
      <c r="D253" s="209" t="s">
        <v>905</v>
      </c>
      <c r="E253" s="209"/>
    </row>
    <row r="254" spans="1:5" x14ac:dyDescent="0.25">
      <c r="A254" s="208" t="s">
        <v>908</v>
      </c>
      <c r="B254" s="209" t="s">
        <v>909</v>
      </c>
      <c r="C254" s="209" t="s">
        <v>904</v>
      </c>
      <c r="D254" s="209" t="s">
        <v>905</v>
      </c>
      <c r="E254" s="209"/>
    </row>
    <row r="255" spans="1:5" x14ac:dyDescent="0.25">
      <c r="A255" s="208" t="s">
        <v>81</v>
      </c>
      <c r="B255" s="209" t="s">
        <v>910</v>
      </c>
      <c r="C255" s="209" t="s">
        <v>911</v>
      </c>
      <c r="D255" s="209" t="s">
        <v>912</v>
      </c>
      <c r="E255" s="209"/>
    </row>
    <row r="256" spans="1:5" x14ac:dyDescent="0.25">
      <c r="A256" s="208" t="s">
        <v>86</v>
      </c>
      <c r="B256" s="209" t="s">
        <v>910</v>
      </c>
      <c r="C256" s="209" t="s">
        <v>913</v>
      </c>
      <c r="D256" s="209" t="s">
        <v>912</v>
      </c>
      <c r="E256" s="209"/>
    </row>
    <row r="257" spans="1:5" ht="24" x14ac:dyDescent="0.25">
      <c r="A257" s="208" t="s">
        <v>914</v>
      </c>
      <c r="B257" s="209" t="s">
        <v>915</v>
      </c>
      <c r="C257" s="209" t="s">
        <v>916</v>
      </c>
      <c r="D257" s="209" t="s">
        <v>912</v>
      </c>
      <c r="E257" s="209"/>
    </row>
    <row r="258" spans="1:5" x14ac:dyDescent="0.25">
      <c r="A258" s="208" t="s">
        <v>90</v>
      </c>
      <c r="B258" s="209" t="s">
        <v>917</v>
      </c>
      <c r="C258" s="209" t="s">
        <v>918</v>
      </c>
      <c r="D258" s="209" t="s">
        <v>919</v>
      </c>
      <c r="E258" s="209"/>
    </row>
    <row r="259" spans="1:5" ht="22.5" x14ac:dyDescent="0.25">
      <c r="A259" s="208" t="s">
        <v>920</v>
      </c>
      <c r="B259" s="209" t="s">
        <v>917</v>
      </c>
      <c r="C259" s="209" t="s">
        <v>921</v>
      </c>
      <c r="D259" s="209" t="s">
        <v>919</v>
      </c>
      <c r="E259" s="209"/>
    </row>
    <row r="260" spans="1:5" x14ac:dyDescent="0.25">
      <c r="A260" s="208" t="s">
        <v>112</v>
      </c>
      <c r="B260" s="209" t="s">
        <v>917</v>
      </c>
      <c r="C260" s="209" t="s">
        <v>922</v>
      </c>
      <c r="D260" s="209" t="s">
        <v>919</v>
      </c>
      <c r="E260" s="209"/>
    </row>
    <row r="261" spans="1:5" ht="24" x14ac:dyDescent="0.25">
      <c r="A261" s="208" t="s">
        <v>117</v>
      </c>
      <c r="B261" s="209" t="s">
        <v>923</v>
      </c>
      <c r="C261" s="209" t="s">
        <v>922</v>
      </c>
      <c r="D261" s="209" t="s">
        <v>919</v>
      </c>
      <c r="E261" s="209"/>
    </row>
    <row r="262" spans="1:5" ht="24" x14ac:dyDescent="0.25">
      <c r="A262" s="208" t="s">
        <v>122</v>
      </c>
      <c r="B262" s="209" t="s">
        <v>924</v>
      </c>
      <c r="C262" s="209" t="s">
        <v>922</v>
      </c>
      <c r="D262" s="209" t="s">
        <v>919</v>
      </c>
      <c r="E262" s="209"/>
    </row>
    <row r="263" spans="1:5" x14ac:dyDescent="0.25">
      <c r="A263" s="208" t="s">
        <v>186</v>
      </c>
      <c r="B263" s="209" t="s">
        <v>925</v>
      </c>
      <c r="C263" s="209" t="s">
        <v>926</v>
      </c>
      <c r="D263" s="209" t="s">
        <v>927</v>
      </c>
      <c r="E263" s="209"/>
    </row>
    <row r="264" spans="1:5" x14ac:dyDescent="0.25">
      <c r="A264" s="208" t="s">
        <v>195</v>
      </c>
      <c r="B264" s="209" t="s">
        <v>928</v>
      </c>
      <c r="C264" s="209" t="s">
        <v>926</v>
      </c>
      <c r="D264" s="209" t="s">
        <v>927</v>
      </c>
      <c r="E264" s="209"/>
    </row>
    <row r="265" spans="1:5" ht="24" x14ac:dyDescent="0.25">
      <c r="A265" s="208" t="s">
        <v>201</v>
      </c>
      <c r="B265" s="209" t="s">
        <v>929</v>
      </c>
      <c r="C265" s="209" t="s">
        <v>926</v>
      </c>
      <c r="D265" s="209" t="s">
        <v>927</v>
      </c>
      <c r="E265" s="209"/>
    </row>
    <row r="266" spans="1:5" ht="24" x14ac:dyDescent="0.25">
      <c r="A266" s="208" t="s">
        <v>210</v>
      </c>
      <c r="B266" s="209" t="s">
        <v>930</v>
      </c>
      <c r="C266" s="209" t="s">
        <v>926</v>
      </c>
      <c r="D266" s="209" t="s">
        <v>927</v>
      </c>
      <c r="E266" s="209"/>
    </row>
    <row r="267" spans="1:5" x14ac:dyDescent="0.25">
      <c r="A267" s="208" t="s">
        <v>216</v>
      </c>
      <c r="B267" s="209" t="s">
        <v>903</v>
      </c>
      <c r="C267" s="209" t="s">
        <v>931</v>
      </c>
      <c r="D267" s="209" t="s">
        <v>932</v>
      </c>
      <c r="E267" s="209"/>
    </row>
    <row r="268" spans="1:5" x14ac:dyDescent="0.25">
      <c r="A268" s="208" t="s">
        <v>223</v>
      </c>
      <c r="B268" s="209" t="s">
        <v>903</v>
      </c>
      <c r="C268" s="209" t="s">
        <v>933</v>
      </c>
      <c r="D268" s="209" t="s">
        <v>932</v>
      </c>
      <c r="E268" s="209"/>
    </row>
    <row r="269" spans="1:5" x14ac:dyDescent="0.25">
      <c r="A269" s="208" t="s">
        <v>229</v>
      </c>
      <c r="B269" s="209" t="s">
        <v>909</v>
      </c>
      <c r="C269" s="209" t="s">
        <v>933</v>
      </c>
      <c r="D269" s="209" t="s">
        <v>932</v>
      </c>
      <c r="E269" s="209"/>
    </row>
    <row r="270" spans="1:5" x14ac:dyDescent="0.25">
      <c r="A270" s="208" t="s">
        <v>234</v>
      </c>
      <c r="B270" s="209" t="s">
        <v>934</v>
      </c>
      <c r="C270" s="209" t="s">
        <v>933</v>
      </c>
      <c r="D270" s="209" t="s">
        <v>932</v>
      </c>
      <c r="E270" s="209"/>
    </row>
    <row r="271" spans="1:5" x14ac:dyDescent="0.25">
      <c r="A271" s="208" t="s">
        <v>241</v>
      </c>
      <c r="B271" s="209" t="s">
        <v>935</v>
      </c>
      <c r="C271" s="209" t="s">
        <v>936</v>
      </c>
      <c r="D271" s="209" t="s">
        <v>937</v>
      </c>
      <c r="E271" s="209"/>
    </row>
    <row r="272" spans="1:5" ht="24" x14ac:dyDescent="0.25">
      <c r="A272" s="208" t="s">
        <v>248</v>
      </c>
      <c r="B272" s="209" t="s">
        <v>938</v>
      </c>
      <c r="C272" s="209" t="s">
        <v>939</v>
      </c>
      <c r="D272" s="209" t="s">
        <v>23</v>
      </c>
      <c r="E272" s="209"/>
    </row>
    <row r="273" spans="1:5" ht="24" x14ac:dyDescent="0.25">
      <c r="A273" s="208" t="s">
        <v>940</v>
      </c>
      <c r="B273" s="209" t="s">
        <v>907</v>
      </c>
      <c r="C273" s="209" t="s">
        <v>941</v>
      </c>
      <c r="D273" s="209" t="s">
        <v>942</v>
      </c>
      <c r="E273" s="209"/>
    </row>
    <row r="274" spans="1:5" ht="24" x14ac:dyDescent="0.25">
      <c r="A274" s="208" t="s">
        <v>943</v>
      </c>
      <c r="B274" s="209" t="s">
        <v>944</v>
      </c>
      <c r="C274" s="209" t="s">
        <v>941</v>
      </c>
      <c r="D274" s="209" t="s">
        <v>942</v>
      </c>
      <c r="E274" s="209"/>
    </row>
    <row r="275" spans="1:5" ht="24" x14ac:dyDescent="0.25">
      <c r="A275" s="208" t="s">
        <v>945</v>
      </c>
      <c r="B275" s="209" t="s">
        <v>946</v>
      </c>
      <c r="C275" s="209" t="s">
        <v>941</v>
      </c>
      <c r="D275" s="209" t="s">
        <v>942</v>
      </c>
      <c r="E275" s="209"/>
    </row>
    <row r="276" spans="1:5" ht="24" x14ac:dyDescent="0.25">
      <c r="A276" s="208" t="s">
        <v>947</v>
      </c>
      <c r="B276" s="209" t="s">
        <v>944</v>
      </c>
      <c r="C276" s="209" t="s">
        <v>941</v>
      </c>
      <c r="D276" s="209" t="s">
        <v>942</v>
      </c>
      <c r="E276" s="209"/>
    </row>
    <row r="277" spans="1:5" ht="24" x14ac:dyDescent="0.25">
      <c r="A277" s="208" t="s">
        <v>284</v>
      </c>
      <c r="B277" s="209" t="s">
        <v>907</v>
      </c>
      <c r="C277" s="209" t="s">
        <v>941</v>
      </c>
      <c r="D277" s="209" t="s">
        <v>948</v>
      </c>
      <c r="E277" s="209"/>
    </row>
    <row r="278" spans="1:5" ht="24" x14ac:dyDescent="0.25">
      <c r="A278" s="208" t="s">
        <v>949</v>
      </c>
      <c r="B278" s="209" t="s">
        <v>944</v>
      </c>
      <c r="C278" s="209" t="s">
        <v>950</v>
      </c>
      <c r="D278" s="209" t="s">
        <v>951</v>
      </c>
      <c r="E278" s="209"/>
    </row>
    <row r="279" spans="1:5" x14ac:dyDescent="0.25">
      <c r="A279" s="208" t="s">
        <v>952</v>
      </c>
      <c r="B279" s="209" t="s">
        <v>925</v>
      </c>
      <c r="C279" s="209" t="s">
        <v>953</v>
      </c>
      <c r="D279" s="209" t="s">
        <v>948</v>
      </c>
      <c r="E279" s="209"/>
    </row>
    <row r="280" spans="1:5" ht="24" x14ac:dyDescent="0.25">
      <c r="A280" s="208" t="s">
        <v>954</v>
      </c>
      <c r="B280" s="209" t="s">
        <v>946</v>
      </c>
      <c r="C280" s="209" t="s">
        <v>953</v>
      </c>
      <c r="D280" s="209" t="s">
        <v>948</v>
      </c>
      <c r="E280" s="209"/>
    </row>
    <row r="281" spans="1:5" x14ac:dyDescent="0.25">
      <c r="A281" s="208" t="s">
        <v>955</v>
      </c>
      <c r="B281" s="209" t="s">
        <v>925</v>
      </c>
      <c r="C281" s="209" t="s">
        <v>953</v>
      </c>
      <c r="D281" s="209" t="s">
        <v>948</v>
      </c>
      <c r="E281" s="209"/>
    </row>
    <row r="282" spans="1:5" ht="24" x14ac:dyDescent="0.25">
      <c r="A282" s="208" t="s">
        <v>127</v>
      </c>
      <c r="B282" s="209" t="s">
        <v>956</v>
      </c>
      <c r="C282" s="209" t="s">
        <v>953</v>
      </c>
      <c r="D282" s="209" t="s">
        <v>957</v>
      </c>
      <c r="E282" s="209"/>
    </row>
    <row r="283" spans="1:5" x14ac:dyDescent="0.25">
      <c r="A283" s="208" t="s">
        <v>132</v>
      </c>
      <c r="B283" s="209" t="s">
        <v>925</v>
      </c>
      <c r="C283" s="209" t="s">
        <v>953</v>
      </c>
      <c r="D283" s="209" t="s">
        <v>957</v>
      </c>
      <c r="E283" s="209"/>
    </row>
    <row r="284" spans="1:5" ht="24" x14ac:dyDescent="0.25">
      <c r="A284" s="208" t="s">
        <v>958</v>
      </c>
      <c r="B284" s="209" t="s">
        <v>956</v>
      </c>
      <c r="C284" s="209" t="s">
        <v>953</v>
      </c>
      <c r="D284" s="209" t="s">
        <v>957</v>
      </c>
      <c r="E284" s="209"/>
    </row>
    <row r="285" spans="1:5" ht="24" x14ac:dyDescent="0.25">
      <c r="A285" s="208" t="s">
        <v>959</v>
      </c>
      <c r="B285" s="209" t="s">
        <v>956</v>
      </c>
      <c r="C285" s="209" t="s">
        <v>953</v>
      </c>
      <c r="D285" s="209" t="s">
        <v>957</v>
      </c>
      <c r="E285" s="209"/>
    </row>
    <row r="286" spans="1:5" ht="24" x14ac:dyDescent="0.25">
      <c r="A286" s="208" t="s">
        <v>136</v>
      </c>
      <c r="B286" s="209" t="s">
        <v>960</v>
      </c>
      <c r="C286" s="209" t="s">
        <v>953</v>
      </c>
      <c r="D286" s="209" t="s">
        <v>957</v>
      </c>
      <c r="E286" s="209"/>
    </row>
    <row r="287" spans="1:5" x14ac:dyDescent="0.25">
      <c r="A287" s="208" t="s">
        <v>961</v>
      </c>
      <c r="B287" s="209" t="s">
        <v>962</v>
      </c>
      <c r="C287" s="209" t="s">
        <v>953</v>
      </c>
      <c r="D287" s="209" t="s">
        <v>957</v>
      </c>
      <c r="E287" s="209"/>
    </row>
    <row r="288" spans="1:5" x14ac:dyDescent="0.25">
      <c r="A288" s="208" t="s">
        <v>963</v>
      </c>
      <c r="B288" s="209" t="s">
        <v>895</v>
      </c>
      <c r="C288" s="209" t="s">
        <v>953</v>
      </c>
      <c r="D288" s="209" t="s">
        <v>957</v>
      </c>
      <c r="E288" s="209"/>
    </row>
    <row r="289" spans="1:5" x14ac:dyDescent="0.25">
      <c r="A289" s="208" t="s">
        <v>140</v>
      </c>
      <c r="B289" s="209" t="s">
        <v>962</v>
      </c>
      <c r="C289" s="209" t="s">
        <v>953</v>
      </c>
      <c r="D289" s="209" t="s">
        <v>957</v>
      </c>
      <c r="E289" s="209"/>
    </row>
    <row r="290" spans="1:5" ht="24" x14ac:dyDescent="0.25">
      <c r="A290" s="208" t="s">
        <v>144</v>
      </c>
      <c r="B290" s="209" t="s">
        <v>944</v>
      </c>
      <c r="C290" s="209" t="s">
        <v>964</v>
      </c>
      <c r="D290" s="209" t="s">
        <v>965</v>
      </c>
      <c r="E290" s="209"/>
    </row>
    <row r="291" spans="1:5" x14ac:dyDescent="0.25">
      <c r="A291" s="208" t="s">
        <v>966</v>
      </c>
      <c r="B291" s="209" t="s">
        <v>967</v>
      </c>
      <c r="C291" s="209" t="s">
        <v>964</v>
      </c>
      <c r="D291" s="209" t="s">
        <v>965</v>
      </c>
      <c r="E291" s="209"/>
    </row>
    <row r="292" spans="1:5" x14ac:dyDescent="0.25">
      <c r="A292" s="208" t="s">
        <v>968</v>
      </c>
      <c r="B292" s="209" t="s">
        <v>967</v>
      </c>
      <c r="C292" s="209" t="s">
        <v>964</v>
      </c>
      <c r="D292" s="209" t="s">
        <v>965</v>
      </c>
      <c r="E292" s="209"/>
    </row>
    <row r="293" spans="1:5" x14ac:dyDescent="0.25">
      <c r="A293" s="208" t="s">
        <v>969</v>
      </c>
      <c r="B293" s="209" t="s">
        <v>970</v>
      </c>
      <c r="C293" s="209" t="s">
        <v>964</v>
      </c>
      <c r="D293" s="209" t="s">
        <v>965</v>
      </c>
      <c r="E293" s="209"/>
    </row>
  </sheetData>
  <mergeCells count="25">
    <mergeCell ref="A186:E186"/>
    <mergeCell ref="A148:E148"/>
    <mergeCell ref="A169:E169"/>
    <mergeCell ref="A107:E107"/>
    <mergeCell ref="A1:E1"/>
    <mergeCell ref="A94:E94"/>
    <mergeCell ref="A178:E178"/>
    <mergeCell ref="A88:E88"/>
    <mergeCell ref="A161:E161"/>
    <mergeCell ref="A228:E228"/>
    <mergeCell ref="A70:E70"/>
    <mergeCell ref="B237:E237"/>
    <mergeCell ref="A80:E80"/>
    <mergeCell ref="A2:E2"/>
    <mergeCell ref="A71:E71"/>
    <mergeCell ref="A47:E47"/>
    <mergeCell ref="A116:E116"/>
    <mergeCell ref="A194:E194"/>
    <mergeCell ref="B235:E235"/>
    <mergeCell ref="A203:E203"/>
    <mergeCell ref="A135:E135"/>
    <mergeCell ref="A219:E219"/>
    <mergeCell ref="A91:E91"/>
    <mergeCell ref="A29:E29"/>
    <mergeCell ref="A125:E12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M17"/>
  <sheetViews>
    <sheetView workbookViewId="0">
      <selection activeCell="I22" sqref="I22"/>
    </sheetView>
  </sheetViews>
  <sheetFormatPr defaultRowHeight="15" x14ac:dyDescent="0.25"/>
  <cols>
    <col min="1" max="1" width="4" customWidth="1"/>
    <col min="2" max="2" width="24" customWidth="1"/>
    <col min="3" max="3" width="20" customWidth="1"/>
    <col min="4" max="4" width="28" customWidth="1"/>
    <col min="5" max="6" width="10" customWidth="1"/>
    <col min="7" max="7" width="12" customWidth="1"/>
    <col min="8" max="8" width="30" customWidth="1"/>
  </cols>
  <sheetData>
    <row r="1" spans="1:13" ht="25.5" customHeight="1" x14ac:dyDescent="0.25">
      <c r="A1" s="1" t="s">
        <v>0</v>
      </c>
      <c r="B1" s="1" t="s">
        <v>6421</v>
      </c>
      <c r="C1" s="1" t="s">
        <v>6422</v>
      </c>
      <c r="D1" s="1" t="s">
        <v>6423</v>
      </c>
      <c r="E1" s="1" t="s">
        <v>6424</v>
      </c>
      <c r="F1" s="1" t="s">
        <v>983</v>
      </c>
      <c r="G1" s="1" t="s">
        <v>6425</v>
      </c>
      <c r="H1" s="1" t="s">
        <v>527</v>
      </c>
    </row>
    <row r="2" spans="1:13" ht="36" customHeight="1" x14ac:dyDescent="0.25">
      <c r="A2" s="2" t="s">
        <v>6426</v>
      </c>
      <c r="B2" s="2" t="s">
        <v>6427</v>
      </c>
      <c r="C2" s="2" t="s">
        <v>6428</v>
      </c>
      <c r="D2" s="2" t="s">
        <v>6354</v>
      </c>
      <c r="E2" s="2" t="s">
        <v>6429</v>
      </c>
      <c r="F2" s="3" t="s">
        <v>6430</v>
      </c>
      <c r="G2" s="2" t="s">
        <v>6431</v>
      </c>
      <c r="H2" s="2" t="s">
        <v>6432</v>
      </c>
      <c r="I2" s="19" t="s">
        <v>6513</v>
      </c>
      <c r="M2" t="e" vm="1">
        <v>#VALUE!</v>
      </c>
    </row>
    <row r="3" spans="1:13" ht="36" customHeight="1" x14ac:dyDescent="0.25">
      <c r="A3" s="2" t="s">
        <v>6433</v>
      </c>
      <c r="B3" s="2" t="s">
        <v>6434</v>
      </c>
      <c r="C3" s="2" t="s">
        <v>6428</v>
      </c>
      <c r="D3" s="2" t="s">
        <v>6435</v>
      </c>
      <c r="E3" s="2" t="s">
        <v>6429</v>
      </c>
      <c r="F3" s="3" t="s">
        <v>6430</v>
      </c>
      <c r="G3" s="2" t="s">
        <v>6431</v>
      </c>
      <c r="H3" s="2" t="s">
        <v>6436</v>
      </c>
      <c r="I3" s="19" t="s">
        <v>6514</v>
      </c>
      <c r="M3" t="e" vm="2">
        <v>#VALUE!</v>
      </c>
    </row>
    <row r="4" spans="1:13" ht="36" customHeight="1" x14ac:dyDescent="0.25">
      <c r="A4" s="2" t="s">
        <v>6437</v>
      </c>
      <c r="B4" s="2" t="s">
        <v>6438</v>
      </c>
      <c r="C4" s="2" t="s">
        <v>6428</v>
      </c>
      <c r="D4" s="2" t="s">
        <v>6439</v>
      </c>
      <c r="E4" s="2" t="s">
        <v>6429</v>
      </c>
      <c r="F4" s="3" t="s">
        <v>6430</v>
      </c>
      <c r="G4" s="2" t="s">
        <v>6431</v>
      </c>
      <c r="H4" s="2" t="s">
        <v>6440</v>
      </c>
      <c r="I4" s="234" t="s">
        <v>6515</v>
      </c>
      <c r="M4" t="e" vm="3">
        <v>#VALUE!</v>
      </c>
    </row>
    <row r="5" spans="1:13" ht="36" customHeight="1" x14ac:dyDescent="0.25">
      <c r="A5" s="2" t="s">
        <v>6441</v>
      </c>
      <c r="B5" s="2" t="s">
        <v>6442</v>
      </c>
      <c r="C5" s="2" t="s">
        <v>6428</v>
      </c>
      <c r="D5" s="2" t="s">
        <v>6443</v>
      </c>
      <c r="E5" s="2" t="s">
        <v>6429</v>
      </c>
      <c r="F5" s="3" t="s">
        <v>6430</v>
      </c>
      <c r="G5" s="2" t="s">
        <v>6431</v>
      </c>
      <c r="H5" s="2" t="s">
        <v>6444</v>
      </c>
      <c r="I5" s="19" t="s">
        <v>6516</v>
      </c>
      <c r="M5" t="e" vm="4">
        <v>#VALUE!</v>
      </c>
    </row>
    <row r="6" spans="1:13" ht="36" customHeight="1" x14ac:dyDescent="0.25">
      <c r="A6" s="2" t="s">
        <v>6445</v>
      </c>
      <c r="B6" s="2" t="s">
        <v>6446</v>
      </c>
      <c r="C6" s="2" t="s">
        <v>6428</v>
      </c>
      <c r="D6" s="2" t="s">
        <v>6447</v>
      </c>
      <c r="E6" s="2" t="s">
        <v>6429</v>
      </c>
      <c r="F6" s="3" t="s">
        <v>6430</v>
      </c>
      <c r="G6" s="2" t="s">
        <v>6431</v>
      </c>
      <c r="H6" s="2" t="s">
        <v>6448</v>
      </c>
      <c r="I6" s="19" t="s">
        <v>6517</v>
      </c>
      <c r="M6" t="e" vm="5">
        <v>#VALUE!</v>
      </c>
    </row>
    <row r="7" spans="1:13" ht="36" customHeight="1" x14ac:dyDescent="0.25">
      <c r="A7" s="2" t="s">
        <v>6449</v>
      </c>
      <c r="B7" s="2" t="s">
        <v>6450</v>
      </c>
      <c r="C7" s="2" t="s">
        <v>6428</v>
      </c>
      <c r="D7" s="2" t="s">
        <v>6451</v>
      </c>
      <c r="E7" s="2" t="s">
        <v>6429</v>
      </c>
      <c r="F7" s="3" t="s">
        <v>6430</v>
      </c>
      <c r="G7" s="2" t="s">
        <v>6431</v>
      </c>
      <c r="H7" s="2" t="s">
        <v>6452</v>
      </c>
      <c r="I7" s="19" t="s">
        <v>6518</v>
      </c>
      <c r="M7" t="e" vm="6">
        <v>#VALUE!</v>
      </c>
    </row>
    <row r="8" spans="1:13" ht="36" customHeight="1" x14ac:dyDescent="0.25">
      <c r="A8" s="2" t="s">
        <v>6453</v>
      </c>
      <c r="B8" s="2" t="s">
        <v>6454</v>
      </c>
      <c r="C8" s="2" t="s">
        <v>6455</v>
      </c>
      <c r="D8" s="2" t="s">
        <v>6456</v>
      </c>
      <c r="E8" s="2" t="s">
        <v>6429</v>
      </c>
      <c r="F8" s="3" t="s">
        <v>6430</v>
      </c>
      <c r="G8" s="2" t="s">
        <v>6431</v>
      </c>
      <c r="H8" s="2" t="s">
        <v>6457</v>
      </c>
      <c r="I8" s="19" t="s">
        <v>6519</v>
      </c>
      <c r="M8" t="e" vm="7">
        <v>#VALUE!</v>
      </c>
    </row>
    <row r="9" spans="1:13" ht="36" customHeight="1" x14ac:dyDescent="0.25">
      <c r="A9" s="2" t="s">
        <v>6458</v>
      </c>
      <c r="B9" s="2" t="s">
        <v>1177</v>
      </c>
      <c r="C9" s="2" t="s">
        <v>6459</v>
      </c>
      <c r="D9" s="2" t="s">
        <v>6460</v>
      </c>
      <c r="E9" s="2" t="s">
        <v>6429</v>
      </c>
      <c r="F9" s="3" t="s">
        <v>6430</v>
      </c>
      <c r="G9" s="2" t="s">
        <v>6431</v>
      </c>
      <c r="H9" s="2" t="s">
        <v>6461</v>
      </c>
      <c r="I9" s="19" t="s">
        <v>6520</v>
      </c>
      <c r="M9" t="e" vm="8">
        <v>#VALUE!</v>
      </c>
    </row>
    <row r="10" spans="1:13" ht="36" customHeight="1" x14ac:dyDescent="0.25">
      <c r="A10" s="2" t="s">
        <v>973</v>
      </c>
      <c r="B10" s="2" t="s">
        <v>900</v>
      </c>
      <c r="C10" s="2" t="s">
        <v>6428</v>
      </c>
      <c r="D10" s="2" t="s">
        <v>6371</v>
      </c>
      <c r="E10" s="2" t="s">
        <v>1718</v>
      </c>
      <c r="F10" s="3" t="s">
        <v>6430</v>
      </c>
      <c r="G10" s="2" t="s">
        <v>6431</v>
      </c>
      <c r="H10" s="2" t="s">
        <v>6462</v>
      </c>
      <c r="I10" s="19" t="s">
        <v>6521</v>
      </c>
      <c r="M10" t="e" vm="9">
        <v>#VALUE!</v>
      </c>
    </row>
    <row r="11" spans="1:13" ht="36" customHeight="1" x14ac:dyDescent="0.25">
      <c r="A11" s="2" t="s">
        <v>972</v>
      </c>
      <c r="B11" s="2" t="s">
        <v>6463</v>
      </c>
      <c r="C11" s="2" t="s">
        <v>6464</v>
      </c>
      <c r="D11" s="2" t="s">
        <v>6465</v>
      </c>
      <c r="E11" s="2" t="s">
        <v>1718</v>
      </c>
      <c r="F11" s="3" t="s">
        <v>6430</v>
      </c>
      <c r="G11" s="2" t="s">
        <v>6431</v>
      </c>
      <c r="H11" s="2" t="s">
        <v>6466</v>
      </c>
      <c r="I11" s="19" t="s">
        <v>6522</v>
      </c>
      <c r="M11" t="e" vm="10">
        <v>#VALUE!</v>
      </c>
    </row>
    <row r="12" spans="1:13" ht="36" customHeight="1" x14ac:dyDescent="0.25">
      <c r="A12" s="2" t="s">
        <v>6467</v>
      </c>
      <c r="B12" s="2" t="s">
        <v>6468</v>
      </c>
      <c r="C12" s="2" t="s">
        <v>1632</v>
      </c>
      <c r="D12" s="2" t="s">
        <v>6469</v>
      </c>
      <c r="E12" s="2" t="s">
        <v>1718</v>
      </c>
      <c r="F12" s="3" t="s">
        <v>6430</v>
      </c>
      <c r="G12" s="2" t="s">
        <v>6431</v>
      </c>
      <c r="H12" s="2" t="s">
        <v>6470</v>
      </c>
      <c r="I12" s="19" t="s">
        <v>6523</v>
      </c>
      <c r="M12" t="e" vm="11">
        <v>#VALUE!</v>
      </c>
    </row>
    <row r="13" spans="1:13" ht="36" customHeight="1" x14ac:dyDescent="0.25">
      <c r="A13" s="2" t="s">
        <v>6471</v>
      </c>
      <c r="B13" s="2" t="s">
        <v>6472</v>
      </c>
      <c r="C13" s="2" t="s">
        <v>1632</v>
      </c>
      <c r="D13" s="2" t="s">
        <v>6473</v>
      </c>
      <c r="E13" s="2" t="s">
        <v>6474</v>
      </c>
      <c r="F13" s="3" t="s">
        <v>6430</v>
      </c>
      <c r="G13" s="2" t="s">
        <v>6431</v>
      </c>
      <c r="H13" s="2" t="s">
        <v>6475</v>
      </c>
      <c r="I13" s="19" t="s">
        <v>6524</v>
      </c>
      <c r="M13" t="e" vm="12">
        <v>#VALUE!</v>
      </c>
    </row>
    <row r="14" spans="1:13" ht="36" customHeight="1" x14ac:dyDescent="0.25">
      <c r="A14" s="2" t="s">
        <v>6476</v>
      </c>
      <c r="B14" s="2" t="s">
        <v>6477</v>
      </c>
      <c r="C14" s="2" t="s">
        <v>6478</v>
      </c>
      <c r="D14" s="2" t="s">
        <v>6479</v>
      </c>
      <c r="E14" s="2" t="s">
        <v>6474</v>
      </c>
      <c r="F14" s="3" t="s">
        <v>6430</v>
      </c>
      <c r="G14" s="2" t="s">
        <v>6431</v>
      </c>
      <c r="H14" s="2" t="s">
        <v>6480</v>
      </c>
    </row>
    <row r="15" spans="1:13" ht="36" customHeight="1" x14ac:dyDescent="0.25">
      <c r="A15" s="2" t="s">
        <v>971</v>
      </c>
      <c r="B15" s="2" t="s">
        <v>6481</v>
      </c>
      <c r="C15" s="2" t="s">
        <v>6482</v>
      </c>
      <c r="D15" s="2" t="s">
        <v>6483</v>
      </c>
      <c r="E15" s="2" t="s">
        <v>1718</v>
      </c>
      <c r="F15" s="3" t="s">
        <v>6430</v>
      </c>
      <c r="G15" s="2" t="s">
        <v>6431</v>
      </c>
      <c r="H15" s="2" t="s">
        <v>6484</v>
      </c>
      <c r="I15" s="19" t="s">
        <v>6525</v>
      </c>
      <c r="M15" t="e" vm="13">
        <v>#VALUE!</v>
      </c>
    </row>
    <row r="16" spans="1:13" ht="36" customHeight="1" x14ac:dyDescent="0.25">
      <c r="A16" s="2" t="s">
        <v>6485</v>
      </c>
      <c r="B16" s="2" t="s">
        <v>6486</v>
      </c>
      <c r="C16" s="2" t="s">
        <v>1618</v>
      </c>
      <c r="D16" s="2" t="s">
        <v>6487</v>
      </c>
      <c r="E16" s="2" t="s">
        <v>1718</v>
      </c>
      <c r="F16" s="3" t="s">
        <v>6430</v>
      </c>
      <c r="G16" s="2" t="s">
        <v>6431</v>
      </c>
      <c r="H16" s="2" t="s">
        <v>6488</v>
      </c>
      <c r="M16" t="e" vm="14">
        <v>#VALUE!</v>
      </c>
    </row>
    <row r="17" spans="1:13" ht="36" customHeight="1" x14ac:dyDescent="0.25">
      <c r="A17" s="2" t="s">
        <v>6489</v>
      </c>
      <c r="B17" s="2" t="s">
        <v>6490</v>
      </c>
      <c r="C17" s="2" t="s">
        <v>6491</v>
      </c>
      <c r="D17" s="2" t="s">
        <v>6492</v>
      </c>
      <c r="E17" s="2" t="s">
        <v>1718</v>
      </c>
      <c r="F17" s="3" t="s">
        <v>6430</v>
      </c>
      <c r="G17" s="2" t="s">
        <v>6431</v>
      </c>
      <c r="H17" s="2" t="s">
        <v>6493</v>
      </c>
      <c r="M17" t="e" vm="15">
        <v>#VALUE!</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workbookViewId="0">
      <pane ySplit="1" topLeftCell="A4" activePane="bottomLeft" state="frozen"/>
      <selection pane="bottomLeft" activeCell="A15" sqref="A15:XFD21"/>
    </sheetView>
  </sheetViews>
  <sheetFormatPr defaultRowHeight="15" x14ac:dyDescent="0.25"/>
  <cols>
    <col min="1" max="1" width="18" customWidth="1"/>
    <col min="2" max="2" width="14" customWidth="1"/>
    <col min="3" max="3" width="40" customWidth="1"/>
    <col min="4" max="4" width="30" customWidth="1"/>
    <col min="5" max="5" width="20" customWidth="1"/>
    <col min="6" max="6" width="12" customWidth="1"/>
  </cols>
  <sheetData>
    <row r="1" spans="1:6" ht="30" customHeight="1" x14ac:dyDescent="0.25">
      <c r="A1" s="1" t="s">
        <v>6349</v>
      </c>
      <c r="B1" s="1" t="s">
        <v>891</v>
      </c>
      <c r="C1" s="1" t="s">
        <v>6350</v>
      </c>
      <c r="D1" s="1" t="s">
        <v>6351</v>
      </c>
      <c r="E1" s="1" t="s">
        <v>6352</v>
      </c>
      <c r="F1" s="1" t="s">
        <v>983</v>
      </c>
    </row>
    <row r="2" spans="1:6" ht="36" customHeight="1" x14ac:dyDescent="0.25">
      <c r="A2" s="2" t="s">
        <v>6353</v>
      </c>
      <c r="B2" s="2" t="s">
        <v>6354</v>
      </c>
      <c r="C2" s="2" t="s">
        <v>6355</v>
      </c>
      <c r="D2" s="2" t="s">
        <v>6356</v>
      </c>
      <c r="E2" s="2" t="s">
        <v>6357</v>
      </c>
      <c r="F2" s="4" t="s">
        <v>6358</v>
      </c>
    </row>
    <row r="3" spans="1:6" ht="36" customHeight="1" x14ac:dyDescent="0.25">
      <c r="A3" s="2" t="s">
        <v>6359</v>
      </c>
      <c r="B3" s="2" t="s">
        <v>6360</v>
      </c>
      <c r="C3" s="2" t="s">
        <v>6361</v>
      </c>
      <c r="D3" s="2" t="s">
        <v>6356</v>
      </c>
      <c r="E3" s="2" t="s">
        <v>6362</v>
      </c>
      <c r="F3" s="3" t="s">
        <v>6363</v>
      </c>
    </row>
    <row r="4" spans="1:6" ht="36" customHeight="1" x14ac:dyDescent="0.25">
      <c r="A4" s="2" t="s">
        <v>6364</v>
      </c>
      <c r="B4" s="2" t="s">
        <v>6365</v>
      </c>
      <c r="C4" s="2" t="s">
        <v>6366</v>
      </c>
      <c r="D4" s="2" t="s">
        <v>6356</v>
      </c>
      <c r="E4" s="2" t="s">
        <v>6362</v>
      </c>
      <c r="F4" s="3" t="s">
        <v>6363</v>
      </c>
    </row>
    <row r="5" spans="1:6" ht="36" customHeight="1" x14ac:dyDescent="0.25">
      <c r="A5" s="2" t="s">
        <v>6367</v>
      </c>
      <c r="B5" s="2" t="s">
        <v>6368</v>
      </c>
      <c r="C5" s="2" t="s">
        <v>6369</v>
      </c>
      <c r="D5" s="2" t="s">
        <v>6356</v>
      </c>
      <c r="E5" s="2" t="s">
        <v>6362</v>
      </c>
      <c r="F5" s="3" t="s">
        <v>6363</v>
      </c>
    </row>
    <row r="6" spans="1:6" ht="36" customHeight="1" x14ac:dyDescent="0.25">
      <c r="A6" s="2" t="s">
        <v>6370</v>
      </c>
      <c r="B6" s="2" t="s">
        <v>6371</v>
      </c>
      <c r="C6" s="2" t="s">
        <v>6372</v>
      </c>
      <c r="D6" s="2" t="s">
        <v>6356</v>
      </c>
      <c r="E6" s="2" t="s">
        <v>6373</v>
      </c>
      <c r="F6" s="4" t="s">
        <v>6358</v>
      </c>
    </row>
    <row r="7" spans="1:6" ht="36" customHeight="1" x14ac:dyDescent="0.25">
      <c r="A7" s="2" t="s">
        <v>6374</v>
      </c>
      <c r="B7" s="2" t="s">
        <v>6371</v>
      </c>
      <c r="C7" s="2" t="s">
        <v>6375</v>
      </c>
      <c r="D7" s="2" t="s">
        <v>6376</v>
      </c>
      <c r="E7" s="2" t="s">
        <v>6373</v>
      </c>
      <c r="F7" s="4" t="s">
        <v>6358</v>
      </c>
    </row>
    <row r="8" spans="1:6" ht="36" customHeight="1" x14ac:dyDescent="0.25">
      <c r="A8" s="2" t="s">
        <v>6374</v>
      </c>
      <c r="B8" s="2" t="s">
        <v>6371</v>
      </c>
      <c r="C8" s="2" t="s">
        <v>6377</v>
      </c>
      <c r="D8" s="2" t="s">
        <v>6378</v>
      </c>
      <c r="E8" s="2" t="s">
        <v>6373</v>
      </c>
      <c r="F8" s="4" t="s">
        <v>6358</v>
      </c>
    </row>
    <row r="9" spans="1:6" ht="36" customHeight="1" x14ac:dyDescent="0.25">
      <c r="A9" s="2" t="s">
        <v>6374</v>
      </c>
      <c r="B9" s="2" t="s">
        <v>6371</v>
      </c>
      <c r="C9" s="2" t="s">
        <v>6379</v>
      </c>
      <c r="D9" s="2" t="s">
        <v>6380</v>
      </c>
      <c r="E9" s="2" t="s">
        <v>6373</v>
      </c>
      <c r="F9" s="4" t="s">
        <v>6358</v>
      </c>
    </row>
    <row r="10" spans="1:6" ht="36" customHeight="1" x14ac:dyDescent="0.25">
      <c r="A10" s="2" t="s">
        <v>6381</v>
      </c>
      <c r="B10" s="2" t="s">
        <v>6382</v>
      </c>
      <c r="C10" s="2" t="s">
        <v>6383</v>
      </c>
      <c r="D10" s="2" t="s">
        <v>6384</v>
      </c>
      <c r="E10" s="2" t="s">
        <v>6385</v>
      </c>
      <c r="F10" s="4" t="s">
        <v>6358</v>
      </c>
    </row>
    <row r="11" spans="1:6" ht="36" customHeight="1" x14ac:dyDescent="0.25">
      <c r="A11" s="2" t="s">
        <v>6386</v>
      </c>
      <c r="B11" s="2" t="s">
        <v>6387</v>
      </c>
      <c r="C11" s="2" t="s">
        <v>1103</v>
      </c>
      <c r="D11" s="2" t="s">
        <v>6388</v>
      </c>
      <c r="E11" s="2" t="s">
        <v>6385</v>
      </c>
      <c r="F11" s="4" t="s">
        <v>6358</v>
      </c>
    </row>
    <row r="12" spans="1:6" ht="36" customHeight="1" x14ac:dyDescent="0.25">
      <c r="A12" s="2" t="s">
        <v>6389</v>
      </c>
      <c r="B12" s="2" t="s">
        <v>6387</v>
      </c>
      <c r="C12" s="2" t="s">
        <v>6390</v>
      </c>
      <c r="D12" s="2" t="s">
        <v>6356</v>
      </c>
      <c r="E12" s="2" t="s">
        <v>6391</v>
      </c>
      <c r="F12" s="4" t="s">
        <v>6358</v>
      </c>
    </row>
    <row r="13" spans="1:6" ht="36" customHeight="1" x14ac:dyDescent="0.25">
      <c r="A13" s="2" t="s">
        <v>6392</v>
      </c>
      <c r="B13" s="2" t="s">
        <v>6387</v>
      </c>
      <c r="C13" s="2" t="s">
        <v>6393</v>
      </c>
      <c r="D13" s="2" t="s">
        <v>6376</v>
      </c>
      <c r="E13" s="2" t="s">
        <v>6391</v>
      </c>
      <c r="F13" s="4" t="s">
        <v>6358</v>
      </c>
    </row>
    <row r="14" spans="1:6" ht="36" customHeight="1" x14ac:dyDescent="0.25">
      <c r="A14" s="2" t="s">
        <v>6392</v>
      </c>
      <c r="B14" s="2" t="s">
        <v>6387</v>
      </c>
      <c r="C14" s="2" t="s">
        <v>6394</v>
      </c>
      <c r="D14" s="2" t="s">
        <v>6378</v>
      </c>
      <c r="E14" s="2" t="s">
        <v>6391</v>
      </c>
      <c r="F14" s="4" t="s">
        <v>6358</v>
      </c>
    </row>
    <row r="15" spans="1:6" ht="36" customHeight="1" x14ac:dyDescent="0.25">
      <c r="A15" s="2" t="s">
        <v>6395</v>
      </c>
      <c r="B15" s="2" t="s">
        <v>6396</v>
      </c>
      <c r="C15" s="2" t="s">
        <v>6397</v>
      </c>
      <c r="D15" s="2" t="s">
        <v>6398</v>
      </c>
      <c r="E15" s="2" t="s">
        <v>6399</v>
      </c>
      <c r="F15" s="4" t="s">
        <v>6358</v>
      </c>
    </row>
    <row r="16" spans="1:6" ht="36" customHeight="1" x14ac:dyDescent="0.25">
      <c r="A16" s="2" t="s">
        <v>6400</v>
      </c>
      <c r="B16" s="2" t="s">
        <v>6401</v>
      </c>
      <c r="C16" s="2" t="s">
        <v>1534</v>
      </c>
      <c r="D16" s="2" t="s">
        <v>6402</v>
      </c>
      <c r="E16" s="2" t="s">
        <v>6403</v>
      </c>
      <c r="F16" s="4" t="s">
        <v>6358</v>
      </c>
    </row>
    <row r="17" spans="1:6" ht="36" customHeight="1" x14ac:dyDescent="0.25">
      <c r="A17" s="2" t="s">
        <v>6404</v>
      </c>
      <c r="B17" s="2" t="s">
        <v>6405</v>
      </c>
      <c r="C17" s="2" t="s">
        <v>1578</v>
      </c>
      <c r="D17" s="2" t="s">
        <v>6406</v>
      </c>
      <c r="E17" s="2" t="s">
        <v>6407</v>
      </c>
      <c r="F17" s="4" t="s">
        <v>6358</v>
      </c>
    </row>
    <row r="18" spans="1:6" ht="36" customHeight="1" x14ac:dyDescent="0.25">
      <c r="A18" s="2" t="s">
        <v>6408</v>
      </c>
      <c r="B18" s="2" t="s">
        <v>6409</v>
      </c>
      <c r="C18" s="2" t="s">
        <v>1597</v>
      </c>
      <c r="D18" s="2" t="s">
        <v>6410</v>
      </c>
      <c r="E18" s="2" t="s">
        <v>6411</v>
      </c>
      <c r="F18" s="4" t="s">
        <v>6358</v>
      </c>
    </row>
    <row r="19" spans="1:6" ht="36" customHeight="1" x14ac:dyDescent="0.25">
      <c r="A19" s="2" t="s">
        <v>6412</v>
      </c>
      <c r="B19" s="2" t="s">
        <v>6413</v>
      </c>
      <c r="C19" s="2" t="s">
        <v>6414</v>
      </c>
      <c r="D19" s="2" t="s">
        <v>6415</v>
      </c>
      <c r="E19" s="2" t="s">
        <v>6416</v>
      </c>
      <c r="F19" s="4" t="s">
        <v>6358</v>
      </c>
    </row>
    <row r="20" spans="1:6" ht="36" customHeight="1" x14ac:dyDescent="0.25">
      <c r="A20" s="2" t="s">
        <v>6417</v>
      </c>
      <c r="B20" s="2" t="s">
        <v>1468</v>
      </c>
      <c r="C20" s="2" t="s">
        <v>6418</v>
      </c>
      <c r="D20" s="2" t="s">
        <v>6419</v>
      </c>
      <c r="E20" s="2" t="s">
        <v>6420</v>
      </c>
      <c r="F20" s="4" t="s">
        <v>6358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Variable Map</vt:lpstr>
      <vt:lpstr>Master Question Map</vt:lpstr>
      <vt:lpstr>Reduced Typing Tool</vt:lpstr>
      <vt:lpstr>Current XML</vt:lpstr>
      <vt:lpstr>Design Specs</vt:lpstr>
      <vt:lpstr>HTML Render Tracker</vt:lpstr>
      <vt:lpstr>Routing &amp; Termination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2026-02-11T15:18:28Z</dcterms:created>
  <dcterms:modified xsi:type="dcterms:W3CDTF">2026-02-24T16:29:24Z</dcterms:modified>
</cp:coreProperties>
</file>